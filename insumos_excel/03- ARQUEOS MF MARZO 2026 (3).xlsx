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"/>
    </mc:Choice>
  </mc:AlternateContent>
  <xr:revisionPtr revIDLastSave="0" documentId="13_ncr:1_{4CB2456A-9E73-4B0D-B316-4543D22B8D30}" xr6:coauthVersionLast="47" xr6:coauthVersionMax="47" xr10:uidLastSave="{00000000-0000-0000-0000-000000000000}"/>
  <bookViews>
    <workbookView xWindow="-110" yWindow="-110" windowWidth="19420" windowHeight="10300" tabRatio="455" xr2:uid="{9144873E-EC7E-4C0A-A8AE-476FA54C6A71}"/>
  </bookViews>
  <sheets>
    <sheet name="DETALLE MF" sheetId="4" r:id="rId1"/>
    <sheet name="Lista MF" sheetId="2" r:id="rId2"/>
    <sheet name="Notas" sheetId="3" r:id="rId3"/>
    <sheet name="CP" sheetId="5" r:id="rId4"/>
    <sheet name="Hoja1" sheetId="6" r:id="rId5"/>
  </sheets>
  <externalReferences>
    <externalReference r:id="rId6"/>
  </externalReferences>
  <definedNames>
    <definedName name="_xlnm._FilterDatabase" localSheetId="3" hidden="1">CP!$A$1:$F$276</definedName>
    <definedName name="_xlnm._FilterDatabase" localSheetId="0" hidden="1">'DETALLE MF'!$A$1:$P$510</definedName>
    <definedName name="_xlnm._FilterDatabase" localSheetId="1" hidden="1">'Lista MF'!$A$1:$M$279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07" i="4" l="1"/>
  <c r="N507" i="4" s="1"/>
  <c r="M508" i="4"/>
  <c r="N508" i="4" s="1"/>
  <c r="M509" i="4"/>
  <c r="N509" i="4" s="1"/>
  <c r="M510" i="4"/>
  <c r="N510" i="4" s="1"/>
  <c r="C507" i="4"/>
  <c r="C508" i="4"/>
  <c r="C509" i="4"/>
  <c r="C510" i="4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C495" i="4"/>
  <c r="C496" i="4"/>
  <c r="C497" i="4"/>
  <c r="C498" i="4"/>
  <c r="C499" i="4"/>
  <c r="C500" i="4"/>
  <c r="C501" i="4"/>
  <c r="C502" i="4"/>
  <c r="C503" i="4"/>
  <c r="C504" i="4"/>
  <c r="C505" i="4"/>
  <c r="C506" i="4"/>
  <c r="L478" i="4"/>
  <c r="L479" i="4"/>
  <c r="L470" i="4"/>
  <c r="L468" i="4"/>
  <c r="L467" i="4"/>
  <c r="L460" i="4"/>
  <c r="L461" i="4"/>
  <c r="L462" i="4"/>
  <c r="L482" i="4"/>
  <c r="L475" i="4"/>
  <c r="L452" i="4"/>
  <c r="L421" i="4"/>
  <c r="L419" i="4"/>
  <c r="M489" i="4" l="1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C489" i="4"/>
  <c r="C490" i="4"/>
  <c r="C491" i="4"/>
  <c r="C492" i="4"/>
  <c r="C493" i="4"/>
  <c r="C494" i="4"/>
  <c r="M463" i="4"/>
  <c r="N463" i="4" s="1"/>
  <c r="M464" i="4"/>
  <c r="N464" i="4" s="1"/>
  <c r="C463" i="4"/>
  <c r="M465" i="4"/>
  <c r="N465" i="4" s="1"/>
  <c r="M466" i="4"/>
  <c r="N466" i="4" s="1"/>
  <c r="M467" i="4"/>
  <c r="N467" i="4" s="1"/>
  <c r="M459" i="4"/>
  <c r="N459" i="4" s="1"/>
  <c r="M460" i="4"/>
  <c r="N460" i="4" s="1"/>
  <c r="M461" i="4"/>
  <c r="N461" i="4" s="1"/>
  <c r="M462" i="4"/>
  <c r="N462" i="4" s="1"/>
  <c r="M468" i="4"/>
  <c r="N468" i="4" s="1"/>
  <c r="M469" i="4"/>
  <c r="N469" i="4" s="1"/>
  <c r="M470" i="4"/>
  <c r="N470" i="4" s="1"/>
  <c r="M471" i="4"/>
  <c r="N471" i="4" s="1"/>
  <c r="M472" i="4"/>
  <c r="N472" i="4" s="1"/>
  <c r="M473" i="4"/>
  <c r="N473" i="4" s="1"/>
  <c r="M474" i="4"/>
  <c r="N474" i="4" s="1"/>
  <c r="M475" i="4"/>
  <c r="N475" i="4" s="1"/>
  <c r="M476" i="4"/>
  <c r="N476" i="4" s="1"/>
  <c r="M477" i="4"/>
  <c r="N477" i="4" s="1"/>
  <c r="M478" i="4"/>
  <c r="N478" i="4" s="1"/>
  <c r="M479" i="4"/>
  <c r="N479" i="4" s="1"/>
  <c r="M480" i="4"/>
  <c r="N480" i="4" s="1"/>
  <c r="M481" i="4"/>
  <c r="N481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C459" i="4"/>
  <c r="C460" i="4"/>
  <c r="C461" i="4"/>
  <c r="C462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L450" i="4"/>
  <c r="L434" i="4"/>
  <c r="L431" i="4"/>
  <c r="L425" i="4"/>
  <c r="L408" i="4"/>
  <c r="L400" i="4"/>
  <c r="L390" i="4"/>
  <c r="L388" i="4"/>
  <c r="L406" i="4"/>
  <c r="L439" i="4" l="1"/>
  <c r="L437" i="4"/>
  <c r="M400" i="4"/>
  <c r="L393" i="4"/>
  <c r="M446" i="4" l="1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389" i="4"/>
  <c r="M389" i="4"/>
  <c r="N389" i="4" s="1"/>
  <c r="M390" i="4"/>
  <c r="N390" i="4" s="1"/>
  <c r="M391" i="4"/>
  <c r="N391" i="4" s="1"/>
  <c r="M386" i="4"/>
  <c r="N386" i="4" s="1"/>
  <c r="M387" i="4"/>
  <c r="N387" i="4" s="1"/>
  <c r="M388" i="4"/>
  <c r="N388" i="4" s="1"/>
  <c r="M392" i="4"/>
  <c r="N392" i="4" s="1"/>
  <c r="M393" i="4"/>
  <c r="N393" i="4" s="1"/>
  <c r="M394" i="4"/>
  <c r="N394" i="4" s="1"/>
  <c r="M395" i="4"/>
  <c r="N395" i="4" s="1"/>
  <c r="M396" i="4"/>
  <c r="N396" i="4" s="1"/>
  <c r="M397" i="4"/>
  <c r="N397" i="4" s="1"/>
  <c r="M398" i="4"/>
  <c r="N398" i="4" s="1"/>
  <c r="M399" i="4"/>
  <c r="N399" i="4" s="1"/>
  <c r="N400" i="4"/>
  <c r="M401" i="4"/>
  <c r="N401" i="4" s="1"/>
  <c r="M402" i="4"/>
  <c r="N402" i="4" s="1"/>
  <c r="M403" i="4"/>
  <c r="N403" i="4" s="1"/>
  <c r="M404" i="4"/>
  <c r="N404" i="4" s="1"/>
  <c r="M405" i="4"/>
  <c r="N405" i="4" s="1"/>
  <c r="M406" i="4"/>
  <c r="N406" i="4" s="1"/>
  <c r="M407" i="4"/>
  <c r="N407" i="4" s="1"/>
  <c r="M408" i="4"/>
  <c r="N408" i="4" s="1"/>
  <c r="M409" i="4"/>
  <c r="N409" i="4" s="1"/>
  <c r="M410" i="4"/>
  <c r="N410" i="4" s="1"/>
  <c r="M411" i="4"/>
  <c r="N411" i="4" s="1"/>
  <c r="M412" i="4"/>
  <c r="N412" i="4" s="1"/>
  <c r="M413" i="4"/>
  <c r="N413" i="4" s="1"/>
  <c r="M414" i="4"/>
  <c r="N414" i="4" s="1"/>
  <c r="M415" i="4"/>
  <c r="N415" i="4" s="1"/>
  <c r="M416" i="4"/>
  <c r="N416" i="4" s="1"/>
  <c r="M417" i="4"/>
  <c r="N417" i="4" s="1"/>
  <c r="M418" i="4"/>
  <c r="N418" i="4" s="1"/>
  <c r="M419" i="4"/>
  <c r="N419" i="4" s="1"/>
  <c r="M420" i="4"/>
  <c r="N420" i="4" s="1"/>
  <c r="M421" i="4"/>
  <c r="N421" i="4" s="1"/>
  <c r="M422" i="4"/>
  <c r="N422" i="4" s="1"/>
  <c r="M423" i="4"/>
  <c r="N423" i="4" s="1"/>
  <c r="M424" i="4"/>
  <c r="N424" i="4" s="1"/>
  <c r="M425" i="4"/>
  <c r="N425" i="4" s="1"/>
  <c r="M426" i="4"/>
  <c r="N426" i="4" s="1"/>
  <c r="M427" i="4"/>
  <c r="N427" i="4" s="1"/>
  <c r="M428" i="4"/>
  <c r="N428" i="4" s="1"/>
  <c r="M429" i="4"/>
  <c r="N429" i="4" s="1"/>
  <c r="M430" i="4"/>
  <c r="N430" i="4" s="1"/>
  <c r="M431" i="4"/>
  <c r="N431" i="4" s="1"/>
  <c r="M432" i="4"/>
  <c r="N432" i="4" s="1"/>
  <c r="M433" i="4"/>
  <c r="N433" i="4" s="1"/>
  <c r="M434" i="4"/>
  <c r="N434" i="4" s="1"/>
  <c r="M435" i="4"/>
  <c r="N435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C386" i="4"/>
  <c r="C387" i="4"/>
  <c r="C388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L381" i="4" l="1"/>
  <c r="I329" i="4"/>
  <c r="L339" i="4"/>
  <c r="L46" i="4"/>
  <c r="L348" i="4" l="1"/>
  <c r="L355" i="4"/>
  <c r="L328" i="4"/>
  <c r="M339" i="4" l="1"/>
  <c r="M375" i="4" l="1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C375" i="4"/>
  <c r="C376" i="4"/>
  <c r="C377" i="4"/>
  <c r="C378" i="4"/>
  <c r="C379" i="4"/>
  <c r="C380" i="4"/>
  <c r="C381" i="4"/>
  <c r="C382" i="4"/>
  <c r="C383" i="4"/>
  <c r="C384" i="4"/>
  <c r="C385" i="4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N339" i="4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355" i="4"/>
  <c r="N355" i="4" s="1"/>
  <c r="M356" i="4"/>
  <c r="N356" i="4" s="1"/>
  <c r="M357" i="4"/>
  <c r="N357" i="4" s="1"/>
  <c r="M358" i="4"/>
  <c r="N358" i="4" s="1"/>
  <c r="M359" i="4"/>
  <c r="N359" i="4" s="1"/>
  <c r="M360" i="4"/>
  <c r="N360" i="4" s="1"/>
  <c r="M361" i="4"/>
  <c r="N361" i="4" s="1"/>
  <c r="M362" i="4"/>
  <c r="N362" i="4" s="1"/>
  <c r="M363" i="4"/>
  <c r="N363" i="4" s="1"/>
  <c r="M364" i="4"/>
  <c r="N364" i="4" s="1"/>
  <c r="M365" i="4"/>
  <c r="N365" i="4" s="1"/>
  <c r="M366" i="4"/>
  <c r="N366" i="4" s="1"/>
  <c r="M367" i="4"/>
  <c r="N367" i="4" s="1"/>
  <c r="M368" i="4"/>
  <c r="N368" i="4" s="1"/>
  <c r="M369" i="4"/>
  <c r="N369" i="4" s="1"/>
  <c r="M370" i="4"/>
  <c r="N370" i="4" s="1"/>
  <c r="M371" i="4"/>
  <c r="N371" i="4" s="1"/>
  <c r="M372" i="4"/>
  <c r="N372" i="4" s="1"/>
  <c r="M373" i="4"/>
  <c r="N373" i="4" s="1"/>
  <c r="M374" i="4"/>
  <c r="N374" i="4" s="1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L324" i="4"/>
  <c r="L292" i="4"/>
  <c r="L277" i="4"/>
  <c r="L271" i="4"/>
  <c r="L268" i="4"/>
  <c r="L259" i="4" l="1"/>
  <c r="L278" i="4"/>
  <c r="M323" i="4" l="1"/>
  <c r="N323" i="4" s="1"/>
  <c r="M324" i="4"/>
  <c r="N324" i="4" s="1"/>
  <c r="M325" i="4"/>
  <c r="N325" i="4" s="1"/>
  <c r="M326" i="4"/>
  <c r="N326" i="4" s="1"/>
  <c r="M327" i="4"/>
  <c r="N327" i="4" s="1"/>
  <c r="M328" i="4"/>
  <c r="N328" i="4" s="1"/>
  <c r="C323" i="4"/>
  <c r="C324" i="4"/>
  <c r="C325" i="4"/>
  <c r="C326" i="4"/>
  <c r="C327" i="4"/>
  <c r="C328" i="4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77" i="4"/>
  <c r="N277" i="4" s="1"/>
  <c r="M278" i="4"/>
  <c r="N278" i="4" s="1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316" i="4"/>
  <c r="N316" i="4" s="1"/>
  <c r="M317" i="4"/>
  <c r="N317" i="4" s="1"/>
  <c r="M318" i="4"/>
  <c r="N318" i="4" s="1"/>
  <c r="M319" i="4"/>
  <c r="N319" i="4" s="1"/>
  <c r="M320" i="4"/>
  <c r="N320" i="4" s="1"/>
  <c r="M321" i="4"/>
  <c r="N321" i="4" s="1"/>
  <c r="M322" i="4"/>
  <c r="N322" i="4" s="1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L248" i="4" l="1"/>
  <c r="L254" i="4" l="1"/>
  <c r="L225" i="4"/>
  <c r="L247" i="4"/>
  <c r="L240" i="4"/>
  <c r="M232" i="4"/>
  <c r="M263" i="4" l="1"/>
  <c r="N263" i="4" s="1"/>
  <c r="M264" i="4"/>
  <c r="N264" i="4" s="1"/>
  <c r="M265" i="4"/>
  <c r="N265" i="4" s="1"/>
  <c r="M266" i="4"/>
  <c r="N266" i="4" s="1"/>
  <c r="C263" i="4"/>
  <c r="C264" i="4"/>
  <c r="C265" i="4"/>
  <c r="C266" i="4"/>
  <c r="N232" i="4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242" i="4"/>
  <c r="N242" i="4" s="1"/>
  <c r="M243" i="4"/>
  <c r="N243" i="4" s="1"/>
  <c r="M244" i="4"/>
  <c r="N244" i="4" s="1"/>
  <c r="M245" i="4"/>
  <c r="N245" i="4" s="1"/>
  <c r="M246" i="4"/>
  <c r="N246" i="4" s="1"/>
  <c r="M247" i="4"/>
  <c r="N247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L231" i="4"/>
  <c r="L224" i="4"/>
  <c r="L204" i="4"/>
  <c r="L109" i="4" l="1"/>
  <c r="M227" i="4" l="1"/>
  <c r="N227" i="4" s="1"/>
  <c r="M228" i="4"/>
  <c r="N228" i="4" s="1"/>
  <c r="M229" i="4"/>
  <c r="N229" i="4" s="1"/>
  <c r="M230" i="4"/>
  <c r="N230" i="4" s="1"/>
  <c r="M231" i="4"/>
  <c r="N231" i="4" s="1"/>
  <c r="C227" i="4"/>
  <c r="C228" i="4"/>
  <c r="C229" i="4"/>
  <c r="C230" i="4"/>
  <c r="C231" i="4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L189" i="4"/>
  <c r="L179" i="4"/>
  <c r="L171" i="4"/>
  <c r="L162" i="4"/>
  <c r="L156" i="4"/>
  <c r="L169" i="4"/>
  <c r="L136" i="4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C192" i="4"/>
  <c r="C193" i="4"/>
  <c r="C194" i="4"/>
  <c r="C195" i="4"/>
  <c r="C196" i="4"/>
  <c r="C197" i="4"/>
  <c r="C198" i="4"/>
  <c r="C199" i="4"/>
  <c r="C200" i="4"/>
  <c r="C201" i="4"/>
  <c r="I273" i="2" l="1"/>
  <c r="I259" i="2"/>
  <c r="I258" i="2"/>
  <c r="I254" i="2"/>
  <c r="I243" i="2"/>
  <c r="I242" i="2"/>
  <c r="I239" i="2"/>
  <c r="I236" i="2"/>
  <c r="I235" i="2"/>
  <c r="I234" i="2"/>
  <c r="I230" i="2"/>
  <c r="I218" i="2"/>
  <c r="I212" i="2"/>
  <c r="I211" i="2"/>
  <c r="I202" i="2"/>
  <c r="I195" i="2"/>
  <c r="I181" i="2"/>
  <c r="I175" i="2"/>
  <c r="I172" i="2"/>
  <c r="I153" i="2"/>
  <c r="I152" i="2"/>
  <c r="I139" i="2"/>
  <c r="I134" i="2"/>
  <c r="I122" i="2"/>
  <c r="I120" i="2"/>
  <c r="I116" i="2"/>
  <c r="I106" i="2"/>
  <c r="I94" i="2"/>
  <c r="I89" i="2"/>
  <c r="I86" i="2"/>
  <c r="I71" i="2"/>
  <c r="I43" i="2"/>
  <c r="I41" i="2"/>
  <c r="I36" i="2"/>
  <c r="I34" i="2"/>
  <c r="I28" i="2"/>
  <c r="I18" i="2"/>
  <c r="I17" i="2"/>
  <c r="I12" i="2"/>
  <c r="I11" i="2"/>
  <c r="I10" i="2"/>
  <c r="L118" i="4" l="1"/>
  <c r="L117" i="4"/>
  <c r="L67" i="4"/>
  <c r="L127" i="4"/>
  <c r="L90" i="4" l="1"/>
  <c r="L86" i="4"/>
  <c r="L80" i="4"/>
  <c r="L77" i="4"/>
  <c r="L44" i="4" l="1"/>
  <c r="L2" i="4" l="1"/>
  <c r="C19" i="4" l="1"/>
  <c r="C122" i="4"/>
  <c r="C132" i="4"/>
  <c r="C102" i="4"/>
  <c r="C100" i="4"/>
  <c r="C169" i="4"/>
  <c r="C105" i="4"/>
  <c r="C168" i="4"/>
  <c r="C99" i="4"/>
  <c r="C108" i="4"/>
  <c r="C107" i="4"/>
  <c r="C123" i="4"/>
  <c r="C93" i="4"/>
  <c r="C62" i="4"/>
  <c r="C91" i="4"/>
  <c r="C86" i="4"/>
  <c r="C74" i="4"/>
  <c r="C72" i="4"/>
  <c r="C84" i="4"/>
  <c r="C167" i="4"/>
  <c r="C81" i="4"/>
  <c r="C166" i="4"/>
  <c r="C80" i="4"/>
  <c r="C165" i="4"/>
  <c r="C164" i="4"/>
  <c r="C163" i="4"/>
  <c r="C66" i="4"/>
  <c r="C162" i="4"/>
  <c r="C71" i="4"/>
  <c r="C70" i="4"/>
  <c r="C63" i="4"/>
  <c r="C161" i="4"/>
  <c r="C191" i="4"/>
  <c r="C65" i="4"/>
  <c r="C82" i="4"/>
  <c r="C73" i="4"/>
  <c r="C190" i="4"/>
  <c r="C160" i="4"/>
  <c r="C159" i="4"/>
  <c r="C75" i="4"/>
  <c r="C189" i="4"/>
  <c r="C188" i="4"/>
  <c r="C78" i="4"/>
  <c r="C90" i="4"/>
  <c r="C77" i="4"/>
  <c r="C88" i="4"/>
  <c r="C89" i="4"/>
  <c r="C158" i="4"/>
  <c r="C157" i="4"/>
  <c r="C156" i="4"/>
  <c r="C187" i="4"/>
  <c r="C186" i="4"/>
  <c r="C69" i="4"/>
  <c r="C68" i="4"/>
  <c r="C155" i="4"/>
  <c r="C154" i="4"/>
  <c r="C76" i="4"/>
  <c r="C87" i="4"/>
  <c r="C153" i="4"/>
  <c r="C152" i="4"/>
  <c r="C151" i="4"/>
  <c r="C83" i="4"/>
  <c r="C61" i="4"/>
  <c r="C150" i="4"/>
  <c r="C149" i="4"/>
  <c r="C64" i="4"/>
  <c r="C79" i="4"/>
  <c r="C85" i="4"/>
  <c r="C148" i="4"/>
  <c r="C185" i="4"/>
  <c r="C67" i="4"/>
  <c r="C4" i="4"/>
  <c r="C3" i="4"/>
  <c r="C147" i="4"/>
  <c r="C49" i="4"/>
  <c r="C36" i="4"/>
  <c r="C33" i="4"/>
  <c r="C21" i="4"/>
  <c r="C146" i="4"/>
  <c r="C145" i="4"/>
  <c r="C54" i="4"/>
  <c r="C38" i="4"/>
  <c r="C17" i="4"/>
  <c r="C144" i="4"/>
  <c r="C45" i="4"/>
  <c r="C184" i="4"/>
  <c r="C143" i="4"/>
  <c r="C16" i="4"/>
  <c r="C183" i="4"/>
  <c r="C47" i="4"/>
  <c r="C41" i="4"/>
  <c r="C60" i="4"/>
  <c r="C13" i="4"/>
  <c r="C23" i="4"/>
  <c r="C182" i="4"/>
  <c r="C22" i="4"/>
  <c r="C142" i="4"/>
  <c r="C53" i="4"/>
  <c r="C52" i="4"/>
  <c r="C56" i="4"/>
  <c r="C141" i="4"/>
  <c r="C140" i="4"/>
  <c r="C181" i="4"/>
  <c r="C139" i="4"/>
  <c r="C34" i="4"/>
  <c r="C9" i="4"/>
  <c r="C138" i="4"/>
  <c r="C11" i="4"/>
  <c r="C55" i="4"/>
  <c r="C180" i="4"/>
  <c r="C137" i="4"/>
  <c r="C136" i="4"/>
  <c r="C48" i="4"/>
  <c r="C8" i="4"/>
  <c r="C37" i="4"/>
  <c r="C135" i="4"/>
  <c r="C32" i="4"/>
  <c r="C179" i="4"/>
  <c r="C7" i="4"/>
  <c r="C134" i="4"/>
  <c r="C26" i="4"/>
  <c r="C133" i="4"/>
  <c r="C178" i="4"/>
  <c r="C28" i="4"/>
  <c r="C51" i="4"/>
  <c r="C129" i="4"/>
  <c r="C177" i="4"/>
  <c r="C92" i="4"/>
  <c r="C176" i="4"/>
  <c r="C128" i="4"/>
  <c r="C119" i="4"/>
  <c r="C57" i="4"/>
  <c r="C29" i="4"/>
  <c r="C39" i="4"/>
  <c r="C111" i="4"/>
  <c r="C112" i="4"/>
  <c r="C18" i="4"/>
  <c r="C127" i="4"/>
  <c r="C175" i="4"/>
  <c r="C10" i="4"/>
  <c r="C30" i="4"/>
  <c r="C126" i="4"/>
  <c r="C109" i="4"/>
  <c r="C114" i="4"/>
  <c r="C43" i="4"/>
  <c r="C97" i="4"/>
  <c r="C25" i="4"/>
  <c r="C24" i="4"/>
  <c r="C42" i="4"/>
  <c r="C40" i="4"/>
  <c r="C35" i="4"/>
  <c r="C14" i="4"/>
  <c r="C6" i="4"/>
  <c r="C50" i="4"/>
  <c r="C44" i="4"/>
  <c r="C131" i="4"/>
  <c r="C130" i="4"/>
  <c r="C110" i="4"/>
  <c r="C20" i="4"/>
  <c r="C116" i="4"/>
  <c r="C115" i="4"/>
  <c r="C106" i="4"/>
  <c r="C117" i="4"/>
  <c r="C46" i="4"/>
  <c r="C59" i="4"/>
  <c r="C124" i="4"/>
  <c r="C5" i="4"/>
  <c r="C58" i="4"/>
  <c r="C174" i="4"/>
  <c r="C27" i="4"/>
  <c r="C15" i="4"/>
  <c r="C173" i="4"/>
  <c r="C172" i="4"/>
  <c r="C31" i="4"/>
  <c r="C96" i="4"/>
  <c r="C125" i="4"/>
  <c r="C121" i="4"/>
  <c r="C118" i="4"/>
  <c r="C94" i="4"/>
  <c r="C120" i="4"/>
  <c r="C98" i="4"/>
  <c r="C103" i="4"/>
  <c r="C171" i="4"/>
  <c r="C12" i="4"/>
  <c r="C2" i="4"/>
  <c r="C104" i="4"/>
  <c r="C95" i="4"/>
  <c r="C101" i="4"/>
  <c r="C113" i="4"/>
  <c r="C170" i="4"/>
  <c r="M188" i="4" l="1"/>
  <c r="N188" i="4" s="1"/>
  <c r="M189" i="4"/>
  <c r="N189" i="4" s="1"/>
  <c r="M170" i="4"/>
  <c r="N170" i="4" s="1"/>
  <c r="M190" i="4"/>
  <c r="N190" i="4" s="1"/>
  <c r="M186" i="4"/>
  <c r="N186" i="4" s="1"/>
  <c r="M178" i="4"/>
  <c r="N178" i="4" s="1"/>
  <c r="M181" i="4"/>
  <c r="N181" i="4" s="1"/>
  <c r="M184" i="4"/>
  <c r="N184" i="4" s="1"/>
  <c r="M179" i="4"/>
  <c r="N179" i="4" s="1"/>
  <c r="M191" i="4"/>
  <c r="N191" i="4" s="1"/>
  <c r="M172" i="4"/>
  <c r="N172" i="4" s="1"/>
  <c r="M182" i="4"/>
  <c r="N182" i="4" s="1"/>
  <c r="M187" i="4"/>
  <c r="N187" i="4" s="1"/>
  <c r="M183" i="4"/>
  <c r="N183" i="4" s="1"/>
  <c r="M175" i="4"/>
  <c r="N175" i="4" s="1"/>
  <c r="M171" i="4"/>
  <c r="N171" i="4" s="1"/>
  <c r="M185" i="4"/>
  <c r="N185" i="4" s="1"/>
  <c r="M180" i="4"/>
  <c r="N180" i="4" s="1"/>
  <c r="M173" i="4"/>
  <c r="N173" i="4" s="1"/>
  <c r="M174" i="4"/>
  <c r="N174" i="4" s="1"/>
  <c r="M176" i="4"/>
  <c r="N176" i="4" s="1"/>
  <c r="M177" i="4"/>
  <c r="N177" i="4" s="1"/>
  <c r="M145" i="4" l="1"/>
  <c r="N145" i="4" s="1"/>
  <c r="M126" i="4"/>
  <c r="N126" i="4" s="1"/>
  <c r="M136" i="4"/>
  <c r="N136" i="4" s="1"/>
  <c r="M94" i="4"/>
  <c r="N94" i="4" s="1"/>
  <c r="M95" i="4"/>
  <c r="N95" i="4" s="1"/>
  <c r="M125" i="4"/>
  <c r="N125" i="4" s="1"/>
  <c r="M113" i="4"/>
  <c r="N113" i="4" s="1"/>
  <c r="M115" i="4"/>
  <c r="N115" i="4" s="1"/>
  <c r="M97" i="4"/>
  <c r="N97" i="4" s="1"/>
  <c r="M127" i="4"/>
  <c r="N127" i="4" s="1"/>
  <c r="M141" i="4"/>
  <c r="N141" i="4" s="1"/>
  <c r="M104" i="4"/>
  <c r="N104" i="4" s="1"/>
  <c r="M166" i="4"/>
  <c r="N166" i="4" s="1"/>
  <c r="M160" i="4"/>
  <c r="N160" i="4" s="1"/>
  <c r="M134" i="4"/>
  <c r="N134" i="4" s="1"/>
  <c r="M161" i="4"/>
  <c r="N161" i="4" s="1"/>
  <c r="M162" i="4"/>
  <c r="N162" i="4" s="1"/>
  <c r="M147" i="4"/>
  <c r="N147" i="4" s="1"/>
  <c r="M142" i="4"/>
  <c r="N142" i="4" s="1"/>
  <c r="M118" i="4"/>
  <c r="N118" i="4" s="1"/>
  <c r="M135" i="4"/>
  <c r="N135" i="4" s="1"/>
  <c r="M138" i="4"/>
  <c r="N138" i="4" s="1"/>
  <c r="M168" i="4"/>
  <c r="N168" i="4" s="1"/>
  <c r="M163" i="4"/>
  <c r="N163" i="4" s="1"/>
  <c r="M143" i="4"/>
  <c r="N143" i="4" s="1"/>
  <c r="M110" i="4"/>
  <c r="N110" i="4" s="1"/>
  <c r="M144" i="4"/>
  <c r="N144" i="4" s="1"/>
  <c r="M148" i="4"/>
  <c r="N148" i="4" s="1"/>
  <c r="M133" i="4"/>
  <c r="N133" i="4" s="1"/>
  <c r="M112" i="4"/>
  <c r="N112" i="4" s="1"/>
  <c r="M158" i="4"/>
  <c r="N158" i="4" s="1"/>
  <c r="M131" i="4"/>
  <c r="N131" i="4" s="1"/>
  <c r="M169" i="4"/>
  <c r="N169" i="4" s="1"/>
  <c r="M167" i="4"/>
  <c r="N167" i="4" s="1"/>
  <c r="M37" i="4"/>
  <c r="N37" i="4" s="1"/>
  <c r="M124" i="4"/>
  <c r="N124" i="4" s="1"/>
  <c r="M130" i="4"/>
  <c r="N130" i="4" s="1"/>
  <c r="M129" i="4"/>
  <c r="N129" i="4" s="1"/>
  <c r="M159" i="4"/>
  <c r="N159" i="4" s="1"/>
  <c r="M146" i="4"/>
  <c r="N146" i="4" s="1"/>
  <c r="M111" i="4"/>
  <c r="N111" i="4" s="1"/>
  <c r="M139" i="4"/>
  <c r="N139" i="4" s="1"/>
  <c r="M121" i="4"/>
  <c r="N121" i="4" s="1"/>
  <c r="M156" i="4"/>
  <c r="N156" i="4" s="1"/>
  <c r="M164" i="4"/>
  <c r="N164" i="4" s="1"/>
  <c r="M165" i="4"/>
  <c r="N165" i="4" s="1"/>
  <c r="M140" i="4"/>
  <c r="N140" i="4" s="1"/>
  <c r="M114" i="4"/>
  <c r="N114" i="4" s="1"/>
  <c r="M109" i="4"/>
  <c r="N109" i="4" s="1"/>
  <c r="M149" i="4"/>
  <c r="N149" i="4" s="1"/>
  <c r="M150" i="4"/>
  <c r="N150" i="4" s="1"/>
  <c r="M137" i="4"/>
  <c r="N137" i="4" s="1"/>
  <c r="M157" i="4"/>
  <c r="N157" i="4" s="1"/>
  <c r="M103" i="4"/>
  <c r="N103" i="4" s="1"/>
  <c r="M98" i="4"/>
  <c r="N98" i="4" s="1"/>
  <c r="M120" i="4"/>
  <c r="N120" i="4" s="1"/>
  <c r="M101" i="4"/>
  <c r="N101" i="4" s="1"/>
  <c r="M117" i="4"/>
  <c r="N117" i="4" s="1"/>
  <c r="M106" i="4"/>
  <c r="N106" i="4" s="1"/>
  <c r="M119" i="4"/>
  <c r="N119" i="4" s="1"/>
  <c r="M128" i="4"/>
  <c r="N128" i="4" s="1"/>
  <c r="M151" i="4"/>
  <c r="N151" i="4" s="1"/>
  <c r="M152" i="4"/>
  <c r="N152" i="4" s="1"/>
  <c r="M153" i="4"/>
  <c r="N153" i="4" s="1"/>
  <c r="M96" i="4"/>
  <c r="N96" i="4" s="1"/>
  <c r="M116" i="4"/>
  <c r="N116" i="4" s="1"/>
  <c r="M92" i="4"/>
  <c r="N92" i="4" s="1"/>
  <c r="M154" i="4"/>
  <c r="N154" i="4" s="1"/>
  <c r="M155" i="4"/>
  <c r="N155" i="4" s="1"/>
  <c r="M78" i="4"/>
  <c r="N78" i="4" s="1"/>
  <c r="M75" i="4"/>
  <c r="N75" i="4" s="1"/>
  <c r="M77" i="4"/>
  <c r="N77" i="4" s="1"/>
  <c r="M31" i="4"/>
  <c r="N31" i="4" s="1"/>
  <c r="M122" i="4"/>
  <c r="N122" i="4" s="1"/>
  <c r="M41" i="4"/>
  <c r="N41" i="4" s="1"/>
  <c r="M38" i="4"/>
  <c r="N38" i="4" s="1"/>
  <c r="M84" i="4"/>
  <c r="N84" i="4" s="1"/>
  <c r="M23" i="4" l="1"/>
  <c r="N23" i="4" s="1"/>
  <c r="M55" i="4"/>
  <c r="N55" i="4" s="1"/>
  <c r="M34" i="4"/>
  <c r="N34" i="4" s="1"/>
  <c r="M56" i="4"/>
  <c r="N56" i="4" s="1"/>
  <c r="M52" i="4"/>
  <c r="N52" i="4" s="1"/>
  <c r="M29" i="4"/>
  <c r="N29" i="4" s="1"/>
  <c r="M3" i="4"/>
  <c r="N3" i="4" s="1"/>
  <c r="M4" i="4"/>
  <c r="N4" i="4" s="1"/>
  <c r="M64" i="4"/>
  <c r="N64" i="4" s="1"/>
  <c r="M100" i="4"/>
  <c r="N100" i="4" s="1"/>
  <c r="M63" i="4"/>
  <c r="N63" i="4" s="1"/>
  <c r="M46" i="4"/>
  <c r="N46" i="4" s="1"/>
  <c r="M45" i="4"/>
  <c r="N45" i="4" s="1"/>
  <c r="M70" i="4"/>
  <c r="N70" i="4" s="1"/>
  <c r="M107" i="4"/>
  <c r="N107" i="4" s="1"/>
  <c r="M62" i="4"/>
  <c r="N62" i="4" s="1"/>
  <c r="M8" i="4"/>
  <c r="N8" i="4" s="1"/>
  <c r="M15" i="4"/>
  <c r="N15" i="4" s="1"/>
  <c r="M19" i="4"/>
  <c r="N19" i="4" s="1"/>
  <c r="M6" i="4"/>
  <c r="N6" i="4" s="1"/>
  <c r="M43" i="4"/>
  <c r="N43" i="4" s="1"/>
  <c r="M86" i="4"/>
  <c r="N86" i="4" s="1"/>
  <c r="M72" i="4"/>
  <c r="N72" i="4" s="1"/>
  <c r="M2" i="4"/>
  <c r="N2" i="4" s="1"/>
  <c r="M49" i="4"/>
  <c r="N49" i="4" s="1"/>
  <c r="M39" i="4"/>
  <c r="N39" i="4" s="1"/>
  <c r="M24" i="4"/>
  <c r="N24" i="4" s="1"/>
  <c r="M18" i="4"/>
  <c r="N18" i="4" s="1"/>
  <c r="M85" i="4"/>
  <c r="N85" i="4" s="1"/>
  <c r="M105" i="4"/>
  <c r="N105" i="4" s="1"/>
  <c r="M11" i="4"/>
  <c r="N11" i="4" s="1"/>
  <c r="M69" i="4"/>
  <c r="N69" i="4" s="1"/>
  <c r="M42" i="4"/>
  <c r="N42" i="4" s="1"/>
  <c r="M17" i="4"/>
  <c r="N17" i="4" s="1"/>
  <c r="M20" i="4"/>
  <c r="N20" i="4" s="1"/>
  <c r="M5" i="4"/>
  <c r="N5" i="4" s="1"/>
  <c r="M16" i="4"/>
  <c r="N16" i="4" s="1"/>
  <c r="M7" i="4"/>
  <c r="N7" i="4" s="1"/>
  <c r="M26" i="4"/>
  <c r="N26" i="4" s="1"/>
  <c r="M90" i="4"/>
  <c r="N90" i="4" s="1"/>
  <c r="M36" i="4"/>
  <c r="N36" i="4" s="1"/>
  <c r="M9" i="4"/>
  <c r="N9" i="4" s="1"/>
  <c r="M21" i="4"/>
  <c r="N21" i="4" s="1"/>
  <c r="M79" i="4"/>
  <c r="N79" i="4" s="1"/>
  <c r="M83" i="4"/>
  <c r="N83" i="4" s="1"/>
  <c r="M57" i="4"/>
  <c r="N57" i="4" s="1"/>
  <c r="M30" i="4"/>
  <c r="N30" i="4" s="1"/>
  <c r="M48" i="4"/>
  <c r="N48" i="4" s="1"/>
  <c r="M61" i="4"/>
  <c r="N61" i="4" s="1"/>
  <c r="M80" i="4"/>
  <c r="N80" i="4" s="1"/>
  <c r="M51" i="4"/>
  <c r="N51" i="4" s="1"/>
  <c r="M50" i="4"/>
  <c r="N50" i="4" s="1"/>
  <c r="M22" i="4"/>
  <c r="N22" i="4" s="1"/>
  <c r="M58" i="4"/>
  <c r="N58" i="4" s="1"/>
  <c r="M123" i="4"/>
  <c r="N123" i="4" s="1"/>
  <c r="M28" i="4"/>
  <c r="N28" i="4" s="1"/>
  <c r="M47" i="4"/>
  <c r="N47" i="4" s="1"/>
  <c r="M89" i="4"/>
  <c r="N89" i="4" s="1"/>
  <c r="M81" i="4"/>
  <c r="N81" i="4" s="1"/>
  <c r="M54" i="4"/>
  <c r="N54" i="4" s="1"/>
  <c r="M13" i="4"/>
  <c r="N13" i="4" s="1"/>
  <c r="M40" i="4"/>
  <c r="N40" i="4" s="1"/>
  <c r="M65" i="4"/>
  <c r="N65" i="4" s="1"/>
  <c r="M66" i="4"/>
  <c r="N66" i="4" s="1"/>
  <c r="M35" i="4"/>
  <c r="N35" i="4" s="1"/>
  <c r="M25" i="4"/>
  <c r="N25" i="4" s="1"/>
  <c r="M33" i="4"/>
  <c r="N33" i="4" s="1"/>
  <c r="M88" i="4"/>
  <c r="N88" i="4" s="1"/>
  <c r="M10" i="4"/>
  <c r="N10" i="4" s="1"/>
  <c r="M53" i="4"/>
  <c r="N53" i="4" s="1"/>
  <c r="M87" i="4"/>
  <c r="N87" i="4" s="1"/>
  <c r="M12" i="4"/>
  <c r="N12" i="4" s="1"/>
  <c r="M67" i="4"/>
  <c r="N67" i="4" s="1"/>
  <c r="M108" i="4"/>
  <c r="N108" i="4" s="1"/>
  <c r="M99" i="4"/>
  <c r="N99" i="4" s="1"/>
  <c r="M102" i="4"/>
  <c r="N102" i="4" s="1"/>
  <c r="M132" i="4"/>
  <c r="N132" i="4" s="1"/>
  <c r="M76" i="4"/>
  <c r="N76" i="4" s="1"/>
  <c r="M73" i="4"/>
  <c r="N73" i="4" s="1"/>
  <c r="M82" i="4"/>
  <c r="N82" i="4" s="1"/>
  <c r="M44" i="4"/>
  <c r="N44" i="4" s="1"/>
  <c r="M74" i="4"/>
  <c r="N74" i="4" s="1"/>
  <c r="M71" i="4"/>
  <c r="N71" i="4" s="1"/>
  <c r="M68" i="4"/>
  <c r="N68" i="4" s="1"/>
  <c r="M27" i="4"/>
  <c r="N27" i="4" s="1"/>
  <c r="M14" i="4"/>
  <c r="N14" i="4" s="1"/>
  <c r="M60" i="4"/>
  <c r="N60" i="4" s="1"/>
  <c r="M93" i="4"/>
  <c r="N93" i="4" s="1"/>
  <c r="M91" i="4"/>
  <c r="N91" i="4" s="1"/>
  <c r="M32" i="4"/>
  <c r="N32" i="4" s="1"/>
  <c r="M59" i="4"/>
  <c r="N5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Estrada Gutierrez</author>
  </authors>
  <commentList>
    <comment ref="O113" authorId="0" shapeId="0" xr:uid="{31546940-18CC-4BAE-B9C5-7170E3553E6A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Grabaron arqueo errado, correponde al cajero 6735</t>
        </r>
      </text>
    </comment>
    <comment ref="N125" authorId="0" shapeId="0" xr:uid="{603AE3D2-917E-43BB-BC70-1A4124A3D62A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Se le reportó a la suc $242.481.100 Sobrante 
</t>
        </r>
      </text>
    </comment>
    <comment ref="O145" authorId="0" shapeId="0" xr:uid="{B9FCB8B0-2745-49C1-811F-0B32FDE99312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Grabaron arqueo errado, correponde al cajero 6735</t>
        </r>
      </text>
    </comment>
    <comment ref="O175" authorId="0" shapeId="0" xr:uid="{EF6493EC-4067-4C1C-A6E9-86E4E8AC3CD6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OJO pendiente remanente por grabar por valro de $41.856.000 ya habían grabado sobranet en caja. VALIDAR CON LORE</t>
        </r>
      </text>
    </comment>
    <comment ref="O267" authorId="0" shapeId="0" xr:uid="{EC00ACAD-C110-4B64-B936-1203A49E3682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Reportan arqueo errado en la herramienta</t>
        </r>
      </text>
    </comment>
    <comment ref="M295" authorId="0" shapeId="0" xr:uid="{FA08E21B-5494-404F-8BBA-88CCC5076BA3}">
      <text>
        <r>
          <rPr>
            <b/>
            <sz val="9"/>
            <color indexed="81"/>
            <rFont val="Tahoma"/>
            <family val="2"/>
          </rPr>
          <t>Erika Estrada Gutierrez:</t>
        </r>
        <r>
          <rPr>
            <sz val="9"/>
            <color indexed="81"/>
            <rFont val="Tahoma"/>
            <family val="2"/>
          </rPr>
          <t xml:space="preserve">
ingresaron mal el arqueo</t>
        </r>
      </text>
    </comment>
  </commentList>
</comments>
</file>

<file path=xl/sharedStrings.xml><?xml version="1.0" encoding="utf-8"?>
<sst xmlns="http://schemas.openxmlformats.org/spreadsheetml/2006/main" count="4168" uniqueCount="988">
  <si>
    <t>dispensado_corte_arqueo</t>
  </si>
  <si>
    <t>recibido_corte_arqueo</t>
  </si>
  <si>
    <t>Cod Suc</t>
  </si>
  <si>
    <t>Cajero</t>
  </si>
  <si>
    <t>Marca</t>
  </si>
  <si>
    <t xml:space="preserve">Sucursal </t>
  </si>
  <si>
    <t>BELLTECH</t>
  </si>
  <si>
    <t>Multifuncional</t>
  </si>
  <si>
    <t>CARABOBO</t>
  </si>
  <si>
    <t>AVENIDA JUNIN</t>
  </si>
  <si>
    <t>CENTRO MAYOR</t>
  </si>
  <si>
    <t>LA DORADA</t>
  </si>
  <si>
    <t>ENVIGADO</t>
  </si>
  <si>
    <t>AVENIDA 19</t>
  </si>
  <si>
    <t>LAS PALMAS</t>
  </si>
  <si>
    <t>NEIVA</t>
  </si>
  <si>
    <t>IBAGUE</t>
  </si>
  <si>
    <t>BUCARAMANGA</t>
  </si>
  <si>
    <t>MANIZALES</t>
  </si>
  <si>
    <t>CALDAS PARQUE</t>
  </si>
  <si>
    <t>MODELIA</t>
  </si>
  <si>
    <t>LAS CEIBAS</t>
  </si>
  <si>
    <t>QUINTA AVENIDA</t>
  </si>
  <si>
    <t>CARRERA OCTAVA</t>
  </si>
  <si>
    <t>VISITACION</t>
  </si>
  <si>
    <t>VALLEDUPAR</t>
  </si>
  <si>
    <t>PARQUE LA COLINA</t>
  </si>
  <si>
    <t>ALAMEDAS DEL SINU</t>
  </si>
  <si>
    <t>MALL PLAZA BUENAVISTA</t>
  </si>
  <si>
    <t>EL CARMEN DE VIBORAL</t>
  </si>
  <si>
    <t>ITAGUI</t>
  </si>
  <si>
    <t>LAURELES</t>
  </si>
  <si>
    <t>PARQUE FABRICATO</t>
  </si>
  <si>
    <t>CENTRO INTERNACIONAL</t>
  </si>
  <si>
    <t>ANTIGUO COUNTRY</t>
  </si>
  <si>
    <t>CALLE ONCE</t>
  </si>
  <si>
    <t>CENTRO 93</t>
  </si>
  <si>
    <t>CARRERA DECIMA</t>
  </si>
  <si>
    <t>CALLE 122</t>
  </si>
  <si>
    <t>AVENIDA SANTANDER</t>
  </si>
  <si>
    <t>PEREIRA</t>
  </si>
  <si>
    <t>LA QUINTA</t>
  </si>
  <si>
    <t>AVENIDA KENNEDY</t>
  </si>
  <si>
    <t>CIRCUNVALAR PEREIRA</t>
  </si>
  <si>
    <t>AVENIDA 82</t>
  </si>
  <si>
    <t>EDIFICIO 9211</t>
  </si>
  <si>
    <t>CENTRO SUBA</t>
  </si>
  <si>
    <t>SOACHA</t>
  </si>
  <si>
    <t>BARRIO RICAURTE</t>
  </si>
  <si>
    <t>DORADO PLAZA</t>
  </si>
  <si>
    <t>CAMPANARIO POPAYAN</t>
  </si>
  <si>
    <t>DUITAMA</t>
  </si>
  <si>
    <t>CENTRO COMERCIAL MAYORCA</t>
  </si>
  <si>
    <t>AUTOPISTA 98</t>
  </si>
  <si>
    <t>QUEBRADA SECA</t>
  </si>
  <si>
    <t>ZIPAQUIRA</t>
  </si>
  <si>
    <t>CHIA</t>
  </si>
  <si>
    <t>CENTRO COMERCIAL PUNTO DE LA ORIENTAL</t>
  </si>
  <si>
    <t>MADRID</t>
  </si>
  <si>
    <t>TEATRO AVENIDA</t>
  </si>
  <si>
    <t>ZONA ROSA</t>
  </si>
  <si>
    <t>TERMINAL DEL SUR</t>
  </si>
  <si>
    <t>EL BOSQUE</t>
  </si>
  <si>
    <t>PUNTO CLAVE</t>
  </si>
  <si>
    <t>SANTA MARTA</t>
  </si>
  <si>
    <t>UNICENTRO TUNJA</t>
  </si>
  <si>
    <t>FUNDADORES MANIZALES</t>
  </si>
  <si>
    <t>BARRIO TRISTE</t>
  </si>
  <si>
    <t>AVENIDA 127</t>
  </si>
  <si>
    <t>CHICO 94</t>
  </si>
  <si>
    <t>MAYALES PLAZA</t>
  </si>
  <si>
    <t>CENTRO DE PAGOS CORABASTOS</t>
  </si>
  <si>
    <t>VALVANERA</t>
  </si>
  <si>
    <t>FLORESTA</t>
  </si>
  <si>
    <t>CENTRO COMERCIAL FONTANAR</t>
  </si>
  <si>
    <t>HOTEL TEQUENDAMA</t>
  </si>
  <si>
    <t>CENTRO COMERCIAL SANTAFE MEDELLIN</t>
  </si>
  <si>
    <t>CALLE 79</t>
  </si>
  <si>
    <t>DOSQUEBRADAS</t>
  </si>
  <si>
    <t>CARTAGO</t>
  </si>
  <si>
    <t>NORTH POINT</t>
  </si>
  <si>
    <t>CARRERA 26</t>
  </si>
  <si>
    <t>LA HERRADURA</t>
  </si>
  <si>
    <t>PARQUE WASHINGTON</t>
  </si>
  <si>
    <t>BUENAVISTA SANTA MARTA</t>
  </si>
  <si>
    <t>PROFESIONALES</t>
  </si>
  <si>
    <t>BAZAR ALSACIA</t>
  </si>
  <si>
    <t>CALLE 10</t>
  </si>
  <si>
    <t>AVENIDA CERO</t>
  </si>
  <si>
    <t>ASTROCENTRO</t>
  </si>
  <si>
    <t>UNICENTRO CALI</t>
  </si>
  <si>
    <t>PRIMAVERA</t>
  </si>
  <si>
    <t>UNICENTRO VILLAVICENCIO</t>
  </si>
  <si>
    <t>LIBERTADORES</t>
  </si>
  <si>
    <t>EDIFICIO 8111 ASESORIA</t>
  </si>
  <si>
    <t>MOCOA</t>
  </si>
  <si>
    <t>MODELO POPAYAN</t>
  </si>
  <si>
    <t>NEIVA LA NUEVA</t>
  </si>
  <si>
    <t>SABANA NORTE CHIA</t>
  </si>
  <si>
    <t>DIEBOLD</t>
  </si>
  <si>
    <t>PARQUE ARBOLEDA</t>
  </si>
  <si>
    <t>PORTAL DEL PRADO</t>
  </si>
  <si>
    <t>LOS MOLINOS</t>
  </si>
  <si>
    <t>RIONEGRO</t>
  </si>
  <si>
    <t>CENTRO INDUSTRIAL</t>
  </si>
  <si>
    <t>CENTRO DE PAGOS UNICENTRO BOGOTA</t>
  </si>
  <si>
    <t>SAN NICOLAS BARRANQUILLA</t>
  </si>
  <si>
    <t>VALLE DEL LILI</t>
  </si>
  <si>
    <t>GIRARDOT</t>
  </si>
  <si>
    <t>CUCUTA</t>
  </si>
  <si>
    <t>CENTRO DE LA CONFECCION</t>
  </si>
  <si>
    <t>PLAZA DE LAS AMERICAS</t>
  </si>
  <si>
    <t>OCAÑA</t>
  </si>
  <si>
    <t>MONTERIA</t>
  </si>
  <si>
    <t>SOGAMOSO</t>
  </si>
  <si>
    <t>PASEO LA CASTELLANA</t>
  </si>
  <si>
    <t>GARZON</t>
  </si>
  <si>
    <t>CENTRO COMERCIAL PALATINO</t>
  </si>
  <si>
    <t>EL CACIQUE</t>
  </si>
  <si>
    <t>ARAUCA</t>
  </si>
  <si>
    <t>CALLE SEGUNDA</t>
  </si>
  <si>
    <t>CAUCASIA</t>
  </si>
  <si>
    <t>SAN ANDRES</t>
  </si>
  <si>
    <t>MAICAO</t>
  </si>
  <si>
    <t>QUIBDO</t>
  </si>
  <si>
    <t>BARRANCABERMEJA</t>
  </si>
  <si>
    <t>CENTRO DE PAGOS RIONEGRO</t>
  </si>
  <si>
    <t>VILLETA</t>
  </si>
  <si>
    <t>SINCELEJO</t>
  </si>
  <si>
    <t>PLAZA ESPAÑA</t>
  </si>
  <si>
    <t xml:space="preserve">BUENAVISTA MONTERIA </t>
  </si>
  <si>
    <t>ARKADIA</t>
  </si>
  <si>
    <t>CENTRO COMERCIAL SANTAFE</t>
  </si>
  <si>
    <t>CALI</t>
  </si>
  <si>
    <t>MALL PLAZA NQS</t>
  </si>
  <si>
    <t>CENTRO COMERCIAL SERREZUELA</t>
  </si>
  <si>
    <t>LA PLAYA</t>
  </si>
  <si>
    <t>AEROPUERTO OLAYA</t>
  </si>
  <si>
    <t>PASTO</t>
  </si>
  <si>
    <t>TEQUENDAMA</t>
  </si>
  <si>
    <t>SAHAGUN</t>
  </si>
  <si>
    <t>MULTIPLAZA DRIVE</t>
  </si>
  <si>
    <t>MOSQUERA</t>
  </si>
  <si>
    <t>TOBERIN</t>
  </si>
  <si>
    <t>TELEPORT</t>
  </si>
  <si>
    <t>CENTRO FINANCIERO</t>
  </si>
  <si>
    <t>GUATAPURI</t>
  </si>
  <si>
    <t>AVENIDA PEPE SIERRA</t>
  </si>
  <si>
    <t>MONTEVIDEO</t>
  </si>
  <si>
    <t>BARRIO RESTREPO</t>
  </si>
  <si>
    <t>ÉXITO COLOMBIA</t>
  </si>
  <si>
    <t>TRINIDAD GALAN</t>
  </si>
  <si>
    <t>PUERTA DEL NORTE</t>
  </si>
  <si>
    <t>TUNJA</t>
  </si>
  <si>
    <t>BOULEVAR ENVIGADO</t>
  </si>
  <si>
    <t>ITAGUI PARQUE</t>
  </si>
  <si>
    <t>CENTRAL DE ABASTOS B/MANGA</t>
  </si>
  <si>
    <t>SAN GIL</t>
  </si>
  <si>
    <t>SABANETA AVES MARIA</t>
  </si>
  <si>
    <t>CHIQUINQUIRA</t>
  </si>
  <si>
    <t>YOPAL</t>
  </si>
  <si>
    <t>TERMINAL DE TRANSPORTE NORTE</t>
  </si>
  <si>
    <t>CENTRO COMERCIAL HAYUELOS</t>
  </si>
  <si>
    <t>MARIQUITA</t>
  </si>
  <si>
    <t>VIVA VILLAVICENCIO</t>
  </si>
  <si>
    <t>VIVA BARRANQUILLA</t>
  </si>
  <si>
    <t>CENTRO COMERCIAL SAN PEDRO</t>
  </si>
  <si>
    <t>PAMPLONA</t>
  </si>
  <si>
    <t>GRANCENTRO</t>
  </si>
  <si>
    <t>MAGANGUE</t>
  </si>
  <si>
    <t>EL RODADERO</t>
  </si>
  <si>
    <t>OLIMPICA</t>
  </si>
  <si>
    <t>LA AMERICA</t>
  </si>
  <si>
    <t>BARBOSA</t>
  </si>
  <si>
    <t>BELLA SUIZA</t>
  </si>
  <si>
    <t>PLAZA DE MERCADO MONTERIA</t>
  </si>
  <si>
    <t>CONTADOR</t>
  </si>
  <si>
    <t>ALTO PRADO</t>
  </si>
  <si>
    <t>AVENIDA CAÑAS GORDAS</t>
  </si>
  <si>
    <t>LA ESTACION IBAGUE</t>
  </si>
  <si>
    <t>EL LAGO</t>
  </si>
  <si>
    <t>AVENIDA ROOSEVELT</t>
  </si>
  <si>
    <t>ARMENIA NORTE</t>
  </si>
  <si>
    <t>JAMUNDI</t>
  </si>
  <si>
    <t>PRADO PLAZA</t>
  </si>
  <si>
    <t>MANGA</t>
  </si>
  <si>
    <t>GIRON</t>
  </si>
  <si>
    <t>OESTE</t>
  </si>
  <si>
    <t>CHIPICHAPE</t>
  </si>
  <si>
    <t>VENTURA PLAZA</t>
  </si>
  <si>
    <t>BUGA</t>
  </si>
  <si>
    <t>VICTORIA PLAZA</t>
  </si>
  <si>
    <t>UNICENTRO ARMENIA</t>
  </si>
  <si>
    <t>POPAYAN</t>
  </si>
  <si>
    <t>UNICENTRO PASTO</t>
  </si>
  <si>
    <t>TUMACO</t>
  </si>
  <si>
    <t>LA FRONTERA</t>
  </si>
  <si>
    <t>OCEAN MALL</t>
  </si>
  <si>
    <t>CENTRO DE PAGOS FONTIBON</t>
  </si>
  <si>
    <t>EL TESORO</t>
  </si>
  <si>
    <t>POLO CLUB</t>
  </si>
  <si>
    <t>FLORIDA</t>
  </si>
  <si>
    <t>VILLA CAMPESTRE</t>
  </si>
  <si>
    <t>CALIMA</t>
  </si>
  <si>
    <t>CENTRAL DE ABASTOS MEDELLIN</t>
  </si>
  <si>
    <t>PLAZA DEL RIO</t>
  </si>
  <si>
    <t>SOLEDAD</t>
  </si>
  <si>
    <t>DIVER PLAZA</t>
  </si>
  <si>
    <t>PITALITO</t>
  </si>
  <si>
    <t>PASEO VILLA DEL RIO</t>
  </si>
  <si>
    <t>GRANADA META</t>
  </si>
  <si>
    <t>UNICENTRO MEDELLIN</t>
  </si>
  <si>
    <t>TURBACO</t>
  </si>
  <si>
    <t>ACACIAS</t>
  </si>
  <si>
    <t>LA PLATA</t>
  </si>
  <si>
    <t>Lider de servicio</t>
  </si>
  <si>
    <t>FECHA PROGRAMADA</t>
  </si>
  <si>
    <t>FECHA REPROGRAMACION</t>
  </si>
  <si>
    <t>FECHA ARQUEO</t>
  </si>
  <si>
    <t>OBSERVACIÓN</t>
  </si>
  <si>
    <t>Pendiente de investigación por parte de la Sección Servicios Sucursales</t>
  </si>
  <si>
    <t>Pendiente de investigación por parte de la Sucursal</t>
  </si>
  <si>
    <t xml:space="preserve">Contabilizada por la sección en la cuenta de Faltantes 168710093 el 16/12/2022 - Faltante queda en investigación por parte de la Sección Serv. Sucursales. </t>
  </si>
  <si>
    <t>Contabilizada por la sección en la cuenta de Faltantes 168710093  el  27/12/2021 - REVERSAR</t>
  </si>
  <si>
    <t>Faltante originado por sobrante contabilizado el 08/12/2021 - Se reversa el 27/12/2021</t>
  </si>
  <si>
    <t>Diferencia menor a 3.000 - No es necesario otro arqueo</t>
  </si>
  <si>
    <t>Aclarar Diferencia. En caso de no aclarar por favor realizar un nuevo arqueo al cajero.</t>
  </si>
  <si>
    <t>Aclarar Diferencia, realizar las validaciones indicadas en el correo de Faltantes. En caso de no aclarar por favor realizar un nuevo arqueo al cajero.</t>
  </si>
  <si>
    <t>REVERSAR</t>
  </si>
  <si>
    <t xml:space="preserve">Cuadrado </t>
  </si>
  <si>
    <t>*CANCELACION FALTANTES CUENTA 168710093 POR PARTE DE LAS SUCURSALES*</t>
  </si>
  <si>
    <t xml:space="preserve">TRX MEDELLIN: 2492
Para cancelar (pagar) los faltantes que tengan contabilizados en la cuenta 168710093, realizan en Medellín la transacción 2492 con código cajero MF y la cédula del cajero a quien fue cargado el faltante en su momento.
Esta Trx les da cruce a caja con entrada de efectivo.
NOTA: Antes de realizar la cancelación por favor verificar siempre la cuenta 168710093.
</t>
  </si>
  <si>
    <t>CONTABILIDADES GOLF-WOLF SUCURSALES</t>
  </si>
  <si>
    <t>0041 - Provisión Cajero Wolf - Seleccionan la TX realizada y en recuadro abajo dan la opción "Reversar"</t>
  </si>
  <si>
    <t>0105 - Remanente Cajero Wolf - Sucursal</t>
  </si>
  <si>
    <t xml:space="preserve">0095 - Faltantes en Caja </t>
  </si>
  <si>
    <t>0097 - Sobrantes en Caja</t>
  </si>
  <si>
    <t>0096 - Reintegro Faltantes en Caja</t>
  </si>
  <si>
    <t xml:space="preserve">Saldo Contable </t>
  </si>
  <si>
    <t>Naturaleza</t>
  </si>
  <si>
    <t>Gestión a Realizar</t>
  </si>
  <si>
    <t>Hora Arqueo</t>
  </si>
  <si>
    <t xml:space="preserve">Fecha Arqueo </t>
  </si>
  <si>
    <t>Efectivo Arqueado /Arqueo fisico saldo contadores</t>
  </si>
  <si>
    <t>Documento responsable</t>
  </si>
  <si>
    <t>Diferencia</t>
  </si>
  <si>
    <t>Faltante es reversado por la sección el 03 de abril, con sobrante contabilizado el día 20 de marzo</t>
  </si>
  <si>
    <t>ANDES</t>
  </si>
  <si>
    <t>MERCANTIL</t>
  </si>
  <si>
    <t>PUERTO ASIS</t>
  </si>
  <si>
    <t>VIPASA</t>
  </si>
  <si>
    <t>MALLPLAZA CALI</t>
  </si>
  <si>
    <t>FUSAGASUGA</t>
  </si>
  <si>
    <t>Desde el 12 de Junio cambia de TDV a Suc</t>
  </si>
  <si>
    <t>SUBGERENTE</t>
  </si>
  <si>
    <t>CENTRO COMERCIAL PARQUE ALEGRA</t>
  </si>
  <si>
    <t>CAÑAVERAL</t>
  </si>
  <si>
    <t>Fecha descarga arqueo</t>
  </si>
  <si>
    <t>Ipiales</t>
  </si>
  <si>
    <t>Marca herramienta</t>
  </si>
  <si>
    <t>09 de Sep inicia a ser de suc</t>
  </si>
  <si>
    <t>Cajero cuadrado, sin observación por parte de la sucursal.</t>
  </si>
  <si>
    <r>
      <t>ACLARAR DIFERENCIA Y REPETIR ARQUEO, por favor validar provisiones trocadas entre los cajeros 4517 y 4847,</t>
    </r>
    <r>
      <rPr>
        <sz val="11"/>
        <rFont val="Calibri"/>
        <family val="2"/>
        <scheme val="minor"/>
      </rPr>
      <t xml:space="preserve"> contactarme por teams una vez hayan encontrado el error para indicarles cómo proceder.</t>
    </r>
  </si>
  <si>
    <t>instalan cajero 20 de enero</t>
  </si>
  <si>
    <t>NUEVO, DESDE EL 7 DE ENERO</t>
  </si>
  <si>
    <t>Sucursal</t>
  </si>
  <si>
    <t>Inicia 15 Agosto</t>
  </si>
  <si>
    <t>Deben reintegrar el sobrante de caja y meterlo físico al cajero XXX, al cajero NO se le hace nada contable, solo ingresarle de manera física el dinero y deben realizarle nuevamente arqueo al cajero y ya este se debe reflejar cuadrado con el ajuste realizado.</t>
  </si>
  <si>
    <t>billetes falsos en cajero mf belltech, deben de hacer arqueo sin tener en cuenta el billete primero porque puede que el cajero reciba el dinero pero no haga ninguna trx y no genere descuadre, si el cajero genera descuadre deben de sacar el billete como remanente, grabar faltante en caja, enviarnos un correo para reclasificarlo a faltantes cajero y llevarlo al pyg y enviar el billete a la sección</t>
  </si>
  <si>
    <t>TURBO</t>
  </si>
  <si>
    <t>VILLAVICENCIO</t>
  </si>
  <si>
    <t>ACLARAR DIFERENCIA Y REPETIR EL ARQUEO</t>
  </si>
  <si>
    <t>Nuevo 24 Junio</t>
  </si>
  <si>
    <t>Ana Maria Echavarria Gonzalez</t>
  </si>
  <si>
    <t>NDUQUE</t>
  </si>
  <si>
    <t>Hector Mario Rendon Ocampo</t>
  </si>
  <si>
    <t>MOCANO</t>
  </si>
  <si>
    <t>Yenis Meybi Fernandez Marin</t>
  </si>
  <si>
    <t>Maria Teresa Chaves Ahumada</t>
  </si>
  <si>
    <t>VAESTRAD</t>
  </si>
  <si>
    <t>FVASQUEZ</t>
  </si>
  <si>
    <t>German Alcides Hernandez Vivero</t>
  </si>
  <si>
    <t>Astrid Alexandra Quintero Arciniegas</t>
  </si>
  <si>
    <t>LJROMERO</t>
  </si>
  <si>
    <t>Victoria Eugenia Guaqueta Murcia</t>
  </si>
  <si>
    <t>Sandra Milena Cardona Franco</t>
  </si>
  <si>
    <t>JOGRESTR</t>
  </si>
  <si>
    <t>Samuel Alexander Mendez Suarez</t>
  </si>
  <si>
    <t>SMALVARA</t>
  </si>
  <si>
    <t>Frank William Castillo Leal</t>
  </si>
  <si>
    <t>CARLBALL</t>
  </si>
  <si>
    <t>DJMONTOY</t>
  </si>
  <si>
    <t>Sergio Arias Pelaez</t>
  </si>
  <si>
    <t>CVALASQU</t>
  </si>
  <si>
    <t>Fabio Orlando Bosa Poveda</t>
  </si>
  <si>
    <t>FRICAURT</t>
  </si>
  <si>
    <t>Alicia Minerva Fontalvo Reales</t>
  </si>
  <si>
    <t>MARIADAG</t>
  </si>
  <si>
    <t>Yury Yaquelin Daza Congo</t>
  </si>
  <si>
    <t>LMCALZAT</t>
  </si>
  <si>
    <t>JHAMAYA</t>
  </si>
  <si>
    <t>Kirsys Nadyra Robelto Sanchez</t>
  </si>
  <si>
    <t>SANDGARC</t>
  </si>
  <si>
    <t>MARIMOSQ</t>
  </si>
  <si>
    <t>Juan Fernando Alzate Valencia</t>
  </si>
  <si>
    <t>ALEXASAN</t>
  </si>
  <si>
    <t>JAMESA</t>
  </si>
  <si>
    <t>Adriana Maritza Angulo Mora</t>
  </si>
  <si>
    <t>John Didier Villegas Martinez</t>
  </si>
  <si>
    <t>Norma Constanza Barrera Pabon</t>
  </si>
  <si>
    <t>AGUEVARA</t>
  </si>
  <si>
    <t>LECADAVI</t>
  </si>
  <si>
    <t>ELIZLOND</t>
  </si>
  <si>
    <t>DLASSO</t>
  </si>
  <si>
    <t>Nidya Marcela Poveda Sanchez</t>
  </si>
  <si>
    <t>FJESPINO</t>
  </si>
  <si>
    <t>SDELOS</t>
  </si>
  <si>
    <t>MPINERES</t>
  </si>
  <si>
    <t>PATOBONO</t>
  </si>
  <si>
    <t>ADMMARRO</t>
  </si>
  <si>
    <t>XNORTIZ</t>
  </si>
  <si>
    <t>OBARRERO</t>
  </si>
  <si>
    <t>LUCRAMIR</t>
  </si>
  <si>
    <t>Camilo Andres Mila Jimenez</t>
  </si>
  <si>
    <t>OGUARDO</t>
  </si>
  <si>
    <t>MCAMACHO</t>
  </si>
  <si>
    <t>AMSCABEZ</t>
  </si>
  <si>
    <t>Edwin Andres Lievano Orjuela</t>
  </si>
  <si>
    <t>Natalia Zuluaga Rodriguez</t>
  </si>
  <si>
    <t>EMMARINO</t>
  </si>
  <si>
    <t>LUFSANCH</t>
  </si>
  <si>
    <t>DRAREVAL</t>
  </si>
  <si>
    <t>LFRAMIRE</t>
  </si>
  <si>
    <t>CEAUARIA</t>
  </si>
  <si>
    <t>CAEDMART</t>
  </si>
  <si>
    <t>CLFERNAN</t>
  </si>
  <si>
    <t>Didi Alejandra Pareja Medina</t>
  </si>
  <si>
    <t>MAAREIZA</t>
  </si>
  <si>
    <t>AGUTIERR</t>
  </si>
  <si>
    <t>Julian Alejandro Rodriguez Escobar</t>
  </si>
  <si>
    <t>REGUZMAN</t>
  </si>
  <si>
    <t>CYALVARE</t>
  </si>
  <si>
    <t>HDSANCHE</t>
  </si>
  <si>
    <t>IMARTINE</t>
  </si>
  <si>
    <t>EPIRAGAU</t>
  </si>
  <si>
    <t>DMOTTA</t>
  </si>
  <si>
    <t>DRRAMIRE</t>
  </si>
  <si>
    <t>Magaly Del Socorro Cabrales Isaac</t>
  </si>
  <si>
    <t>LILMARTI</t>
  </si>
  <si>
    <t>LMCASTAN</t>
  </si>
  <si>
    <t>MIROMERO</t>
  </si>
  <si>
    <t>EBUENO</t>
  </si>
  <si>
    <t>CARLGOME</t>
  </si>
  <si>
    <t>ADIAZ</t>
  </si>
  <si>
    <t>CAMARTIN</t>
  </si>
  <si>
    <t>LUDACEVE</t>
  </si>
  <si>
    <t>ISALOPEZ</t>
  </si>
  <si>
    <t>ECROJAS</t>
  </si>
  <si>
    <t>FGUEVARA</t>
  </si>
  <si>
    <t>DIOSPINA</t>
  </si>
  <si>
    <t>ADRIGARC</t>
  </si>
  <si>
    <t>EESERRAT</t>
  </si>
  <si>
    <t>NAMAFLA</t>
  </si>
  <si>
    <t>Pedro Javier Yazzo Moreno</t>
  </si>
  <si>
    <t>PBAUTIST</t>
  </si>
  <si>
    <t>LJGOMEZ</t>
  </si>
  <si>
    <t>PAAMOREN</t>
  </si>
  <si>
    <t>AMMORA</t>
  </si>
  <si>
    <t>EDWGONZA</t>
  </si>
  <si>
    <t>GINGARZO</t>
  </si>
  <si>
    <t>MJINFANT</t>
  </si>
  <si>
    <t>JABUSTOS</t>
  </si>
  <si>
    <t>DPUELLO</t>
  </si>
  <si>
    <t>DLROJAS</t>
  </si>
  <si>
    <t>YENGONZA</t>
  </si>
  <si>
    <t>Yamileth Abella Bonilla</t>
  </si>
  <si>
    <t>SVIDAL</t>
  </si>
  <si>
    <t>GLORGIRA</t>
  </si>
  <si>
    <t>JHORINCO</t>
  </si>
  <si>
    <t>VSANDOVA</t>
  </si>
  <si>
    <t>GEBARRER</t>
  </si>
  <si>
    <t>ALEXHERN</t>
  </si>
  <si>
    <t>CLLAZARO</t>
  </si>
  <si>
    <t>YLLOZANO</t>
  </si>
  <si>
    <t>DPRODRIG</t>
  </si>
  <si>
    <t>CDOMINGU</t>
  </si>
  <si>
    <t>TMARCELA</t>
  </si>
  <si>
    <t>DMPARADA</t>
  </si>
  <si>
    <t>CRALFONS</t>
  </si>
  <si>
    <t>DERAMIRE</t>
  </si>
  <si>
    <t>DIARQUIN</t>
  </si>
  <si>
    <t>EHUERFAN</t>
  </si>
  <si>
    <t>LUISACOS</t>
  </si>
  <si>
    <t>VICARDEN</t>
  </si>
  <si>
    <t>SAESCOBA</t>
  </si>
  <si>
    <t>JGARCIAG</t>
  </si>
  <si>
    <t>ACHACON</t>
  </si>
  <si>
    <t>RYOLI</t>
  </si>
  <si>
    <t>PPOLO</t>
  </si>
  <si>
    <t>DIEGJARA</t>
  </si>
  <si>
    <t>ADCALA</t>
  </si>
  <si>
    <t>LCARRASC</t>
  </si>
  <si>
    <t>YEGARCIA</t>
  </si>
  <si>
    <t>EPAEZ</t>
  </si>
  <si>
    <t>FRSUAREZ</t>
  </si>
  <si>
    <t>LCHAVEZ</t>
  </si>
  <si>
    <t>OPSANCHE</t>
  </si>
  <si>
    <t>ESTORRES</t>
  </si>
  <si>
    <t>ETABARES</t>
  </si>
  <si>
    <t>SPANCHA</t>
  </si>
  <si>
    <t>EPONCEQ</t>
  </si>
  <si>
    <t>ABFIGUER</t>
  </si>
  <si>
    <t>PAGALLEG</t>
  </si>
  <si>
    <t>GEVALVER</t>
  </si>
  <si>
    <t>LVELEZOR</t>
  </si>
  <si>
    <t>NSARRIA</t>
  </si>
  <si>
    <t>DRDIAZ</t>
  </si>
  <si>
    <t>NMPUERTO</t>
  </si>
  <si>
    <t>ANMGIRAL</t>
  </si>
  <si>
    <t>SBOHORQU</t>
  </si>
  <si>
    <t>JOHNHERN</t>
  </si>
  <si>
    <t>CARARBOL</t>
  </si>
  <si>
    <t>NPABON</t>
  </si>
  <si>
    <t>MAILOPEZ</t>
  </si>
  <si>
    <t>MRAMIR</t>
  </si>
  <si>
    <t>ANRODRI</t>
  </si>
  <si>
    <t>ZTCARDEN</t>
  </si>
  <si>
    <t>LCPEREZ</t>
  </si>
  <si>
    <t>LUAGIRAL</t>
  </si>
  <si>
    <t>YETORRES</t>
  </si>
  <si>
    <t>EMONTOYA</t>
  </si>
  <si>
    <t>MCTRILL</t>
  </si>
  <si>
    <t>ADMAHECH</t>
  </si>
  <si>
    <t>ERPFRANC</t>
  </si>
  <si>
    <t>MAVERGAR</t>
  </si>
  <si>
    <t>TAMARIN</t>
  </si>
  <si>
    <t>NGALVIS</t>
  </si>
  <si>
    <t>YENMUNOZ</t>
  </si>
  <si>
    <t>LIPATINO</t>
  </si>
  <si>
    <t>9 Julio consola</t>
  </si>
  <si>
    <t>Provisionar con 9 millones y el cajero no funcionó</t>
  </si>
  <si>
    <t>Remanente /Provisión /Ajustes</t>
  </si>
  <si>
    <t>FLLOPEZ</t>
  </si>
  <si>
    <t>JOSORIO</t>
  </si>
  <si>
    <t>PCALDERO</t>
  </si>
  <si>
    <t>JCCRIST</t>
  </si>
  <si>
    <t>JBOGOTA</t>
  </si>
  <si>
    <t>MAMPENA</t>
  </si>
  <si>
    <t>ANGMARTI</t>
  </si>
  <si>
    <t>MCORRALE</t>
  </si>
  <si>
    <t>MARMAGON</t>
  </si>
  <si>
    <t>RVARELA</t>
  </si>
  <si>
    <t>CDSALINA</t>
  </si>
  <si>
    <t>RDMENDOZ</t>
  </si>
  <si>
    <t>DEBEDOYA</t>
  </si>
  <si>
    <t>COD. SUC</t>
  </si>
  <si>
    <t>867</t>
  </si>
  <si>
    <t>244</t>
  </si>
  <si>
    <t>829</t>
  </si>
  <si>
    <t>812</t>
  </si>
  <si>
    <t>509</t>
  </si>
  <si>
    <t>CODIGO</t>
  </si>
  <si>
    <t>Dispensador / Multifuncional</t>
  </si>
  <si>
    <t>ADMINISTRACIÓN</t>
  </si>
  <si>
    <t>SUC</t>
  </si>
  <si>
    <t>Nuevo 31 Julio, Sin servicio</t>
  </si>
  <si>
    <t>PCVARGAS</t>
  </si>
  <si>
    <t>Nuevo 26 de agosto, Sin servicio</t>
  </si>
  <si>
    <t>SHOYOS</t>
  </si>
  <si>
    <t>Nuevo 1 de Sept</t>
  </si>
  <si>
    <t>El sobrante es cruzado con faltante contabilizado el día 28/09/2025 el cual es reversado por la seccion el día 11/09/2025, la diferencia es contabilizada por la sección en la cuenta 279510020 el día 11/09/2025</t>
  </si>
  <si>
    <t>DIFGARCI</t>
  </si>
  <si>
    <t>SMBEDOYA</t>
  </si>
  <si>
    <t>Cajero nuevo, sin movimiento</t>
  </si>
  <si>
    <t>CENTRO COMERCIAL LA ESTACIÓN CALI</t>
  </si>
  <si>
    <t>AVENTURA CENTRO COMERCIAL</t>
  </si>
  <si>
    <t>CAALJARA</t>
  </si>
  <si>
    <t>ANMARODR</t>
  </si>
  <si>
    <t>CAGUAS</t>
  </si>
  <si>
    <t>DVILLARR</t>
  </si>
  <si>
    <t>LUDLOPEZ</t>
  </si>
  <si>
    <t>JTRIANA</t>
  </si>
  <si>
    <t>KRODRIGU</t>
  </si>
  <si>
    <t>JNMANCER</t>
  </si>
  <si>
    <t>OACHURY</t>
  </si>
  <si>
    <t>YCAVIEDE</t>
  </si>
  <si>
    <t>EIJARAMI</t>
  </si>
  <si>
    <t>LMRAYRAN</t>
  </si>
  <si>
    <t>LAGAITAN</t>
  </si>
  <si>
    <t>MEBARRIO</t>
  </si>
  <si>
    <t>YPULIDO</t>
  </si>
  <si>
    <t>FMILES</t>
  </si>
  <si>
    <t>ERMALDO</t>
  </si>
  <si>
    <t>Katherine Zapata Cano</t>
  </si>
  <si>
    <t>Juan Felipe Russi Gamboa</t>
  </si>
  <si>
    <t>AMRINCON</t>
  </si>
  <si>
    <t>ATM MF SUC GRAN MANZANA 1</t>
  </si>
  <si>
    <t>CAJERO SIN MOVIMIENTO</t>
  </si>
  <si>
    <t>ATM SUC MF LLANOGRAN PALMIR 1</t>
  </si>
  <si>
    <t>ATM MF SUCAVENIDA EL POBLADO 1</t>
  </si>
  <si>
    <t>Sin servicio durante el mes de diciembre</t>
  </si>
  <si>
    <t>DICARDEN</t>
  </si>
  <si>
    <t>STNINO</t>
  </si>
  <si>
    <t>DGDONADO</t>
  </si>
  <si>
    <t>JBALLEN</t>
  </si>
  <si>
    <t>LMPINILL</t>
  </si>
  <si>
    <t>DCCARTAG</t>
  </si>
  <si>
    <t>MABAEZ</t>
  </si>
  <si>
    <t>JFONTALV</t>
  </si>
  <si>
    <t>ANACAMAC</t>
  </si>
  <si>
    <t>GCARMONA</t>
  </si>
  <si>
    <t>NILSIERR</t>
  </si>
  <si>
    <t>JULOROZC</t>
  </si>
  <si>
    <t>YBRITO</t>
  </si>
  <si>
    <t>JCANTOR</t>
  </si>
  <si>
    <t>CJQUINTE</t>
  </si>
  <si>
    <t>MCJARAMI</t>
  </si>
  <si>
    <t>LRCACERE</t>
  </si>
  <si>
    <t>JUAROJAS</t>
  </si>
  <si>
    <t>JHCISNE</t>
  </si>
  <si>
    <t>GINSALAS</t>
  </si>
  <si>
    <t>DIEFLORE</t>
  </si>
  <si>
    <t>VICHINCA</t>
  </si>
  <si>
    <t>GBUSTILL</t>
  </si>
  <si>
    <t>VBURBANO</t>
  </si>
  <si>
    <t>MARARAQU</t>
  </si>
  <si>
    <t>ADARCIA</t>
  </si>
  <si>
    <t>ALBARCE</t>
  </si>
  <si>
    <t>El sobrante es cruzado con faltante contabilizado el 26/01/2026 el cual es reversado por la Gerencia De Autoservicios y Efectivo el 12/02/2026</t>
  </si>
  <si>
    <t xml:space="preserve">ACLARAR DIFERENCIA Y REPETIR EL ARQUEO </t>
  </si>
  <si>
    <t>jaolarte</t>
  </si>
  <si>
    <t>GREDONDO</t>
  </si>
  <si>
    <t>MARCA</t>
  </si>
  <si>
    <t>MULTIFUNCIONAL</t>
  </si>
  <si>
    <t>El cajero esta fuera de servicio, la oficina estuvo siendo remodelada SIN SERVICIO FEB</t>
  </si>
  <si>
    <t>14:01:00</t>
  </si>
  <si>
    <t>09:45:00</t>
  </si>
  <si>
    <t>09:42:00</t>
  </si>
  <si>
    <t>10:16:00</t>
  </si>
  <si>
    <t>09:03:00</t>
  </si>
  <si>
    <t>09:43:00</t>
  </si>
  <si>
    <t>15:26:24</t>
  </si>
  <si>
    <t>09:08:00</t>
  </si>
  <si>
    <t>09:56:00</t>
  </si>
  <si>
    <t>10:53:00</t>
  </si>
  <si>
    <t>13:43:00</t>
  </si>
  <si>
    <t>10:23:00</t>
  </si>
  <si>
    <t>08:46:00</t>
  </si>
  <si>
    <t>09:20:00</t>
  </si>
  <si>
    <t>08:50:00</t>
  </si>
  <si>
    <t>09:04:00</t>
  </si>
  <si>
    <t>10:03:00</t>
  </si>
  <si>
    <t>09:32:00</t>
  </si>
  <si>
    <t>08:41:00</t>
  </si>
  <si>
    <t>08:38:00</t>
  </si>
  <si>
    <t>12:28:41</t>
  </si>
  <si>
    <t>09:06:00</t>
  </si>
  <si>
    <t>15:25:00</t>
  </si>
  <si>
    <t>11:09:00</t>
  </si>
  <si>
    <t>14:22:00</t>
  </si>
  <si>
    <t>09:35:00</t>
  </si>
  <si>
    <t>09:05:00</t>
  </si>
  <si>
    <t>09:25:00</t>
  </si>
  <si>
    <t>09:26:00</t>
  </si>
  <si>
    <t>15:45:00</t>
  </si>
  <si>
    <t>11:23:00</t>
  </si>
  <si>
    <t>15:28:00</t>
  </si>
  <si>
    <t>09:29:00</t>
  </si>
  <si>
    <t>09:37:00</t>
  </si>
  <si>
    <t>10:41:00</t>
  </si>
  <si>
    <t>10:43:00</t>
  </si>
  <si>
    <t>15:49:00</t>
  </si>
  <si>
    <t>08:43:00</t>
  </si>
  <si>
    <t>10:18:00</t>
  </si>
  <si>
    <t>10:44:00</t>
  </si>
  <si>
    <t>10:25:00</t>
  </si>
  <si>
    <t>15:31:00</t>
  </si>
  <si>
    <t>11:29:00</t>
  </si>
  <si>
    <t>09:40:00</t>
  </si>
  <si>
    <t>09:41:00</t>
  </si>
  <si>
    <t>13:02:00</t>
  </si>
  <si>
    <t>11:48:00</t>
  </si>
  <si>
    <t>08:55:00</t>
  </si>
  <si>
    <t>09:47:00</t>
  </si>
  <si>
    <t>10:04:00</t>
  </si>
  <si>
    <t>09:23:00</t>
  </si>
  <si>
    <t>10:34:00</t>
  </si>
  <si>
    <t>09:17:00</t>
  </si>
  <si>
    <t>08:57:00</t>
  </si>
  <si>
    <t>11:06:00</t>
  </si>
  <si>
    <t>Cajero cuadrado, sin observación por parte de la sucursal</t>
  </si>
  <si>
    <t>El faltante $2.539.000 es cruzado con sobrante contabilizado el día 06/02/2026 el cual es reversado por la seccion el día 03/03/2026</t>
  </si>
  <si>
    <t>La diferencia es contabilizada por la Gerencia De Autoservicios y Efectivo de manera centralizada a la cuenta de sobrantes 279510020 el 03/03/2026</t>
  </si>
  <si>
    <t>La diferencia es contabilizada por la Gerencia De Autoservicios y Efectivo de manera centralizada a la cuenta de faltantes 168710093 el 03/03/2026, esta diferencia ingresa a proceso de investigación en el área para identificar a que corresponde.</t>
  </si>
  <si>
    <t>14:47:00</t>
  </si>
  <si>
    <t>09:09:00</t>
  </si>
  <si>
    <t>15:37:00</t>
  </si>
  <si>
    <t>11:03:00</t>
  </si>
  <si>
    <t>10:54:00</t>
  </si>
  <si>
    <t>10:59:00</t>
  </si>
  <si>
    <t>11:47:00</t>
  </si>
  <si>
    <t>10:17:00</t>
  </si>
  <si>
    <t>08:22:00</t>
  </si>
  <si>
    <t>14:44:00</t>
  </si>
  <si>
    <t>08:34:00</t>
  </si>
  <si>
    <t>16:44:00</t>
  </si>
  <si>
    <t>14:26:00</t>
  </si>
  <si>
    <t>08:49:00</t>
  </si>
  <si>
    <t>14:49:00</t>
  </si>
  <si>
    <t>09:14:00</t>
  </si>
  <si>
    <t>14:51:00</t>
  </si>
  <si>
    <t>09:00:00</t>
  </si>
  <si>
    <t>08:06:00</t>
  </si>
  <si>
    <t>09:16:00</t>
  </si>
  <si>
    <t>11:20:00</t>
  </si>
  <si>
    <t>11:36:00</t>
  </si>
  <si>
    <t>10:39:00</t>
  </si>
  <si>
    <t>09:58:00</t>
  </si>
  <si>
    <t>15:57:29</t>
  </si>
  <si>
    <t>16:33:00</t>
  </si>
  <si>
    <t>10:48:00</t>
  </si>
  <si>
    <t>15:40:00</t>
  </si>
  <si>
    <t>REPITIERON ARQUEO</t>
  </si>
  <si>
    <t>El faltante de $19.300 es cruzado con sobrante contabilizado el día 23/02/2026 el cual es reversado por la seccion el día 04/03/2026</t>
  </si>
  <si>
    <t>El faltante  de $26.000 es cruzado con sobrante contabilizado el día 11/02/2026 el cual es reversado por la seccion el día 16/02/2026</t>
  </si>
  <si>
    <t>El faltante de $1.127.000 es cruzado con sobrante contabilizado el día 17/02/2026 el cual es reversado por la seccion el día 04/03/2026</t>
  </si>
  <si>
    <t>El faltante  de $50 es cruzado con sobrante contabilizado el día 27/02/2026 el cual es reversado por la seccion el día 04/03/2026</t>
  </si>
  <si>
    <t>La diferencia es contabilizada por la Gerencia De Autoservicios y Efectivo de manera centralizada a la cuenta de sobrantes 279510020 el 04/03/2026</t>
  </si>
  <si>
    <t>La diferencia es contabilizada por la Gerencia De Autoservicios y Efectivo de manera centralizada a la cuenta de faltantes 168710093 el 04/03/2026, esta diferencia ingresa a proceso de investigación en el área para identificar a que corresponde.</t>
  </si>
  <si>
    <t>10:13:00</t>
  </si>
  <si>
    <t>10:22:00</t>
  </si>
  <si>
    <t>09:14:30</t>
  </si>
  <si>
    <t>08:05:00</t>
  </si>
  <si>
    <t>15:52:00</t>
  </si>
  <si>
    <t>10:01:00</t>
  </si>
  <si>
    <t>00:00:00</t>
  </si>
  <si>
    <t>08:13:00</t>
  </si>
  <si>
    <t>09:28:33</t>
  </si>
  <si>
    <t>09:15:00</t>
  </si>
  <si>
    <t>17:18:00</t>
  </si>
  <si>
    <t>11:34:00</t>
  </si>
  <si>
    <t>08:27:17</t>
  </si>
  <si>
    <t>10:19:00</t>
  </si>
  <si>
    <t>09:26:40</t>
  </si>
  <si>
    <t>08:53:00</t>
  </si>
  <si>
    <t>16:57:00</t>
  </si>
  <si>
    <t>13:49:00</t>
  </si>
  <si>
    <t>15:02:00</t>
  </si>
  <si>
    <t>14:37:00</t>
  </si>
  <si>
    <t>08:08:00</t>
  </si>
  <si>
    <t>11:40:00</t>
  </si>
  <si>
    <t>14:59:00</t>
  </si>
  <si>
    <t>17:31:00</t>
  </si>
  <si>
    <t>16:36:00</t>
  </si>
  <si>
    <t>10:28:00</t>
  </si>
  <si>
    <t>16:02:00</t>
  </si>
  <si>
    <t>15:27:00</t>
  </si>
  <si>
    <t>09:11:00</t>
  </si>
  <si>
    <t>El faltante  de $3.600.000 es cruzado con sobrante contabilizado el día 03/03/2026 el cual es reversado por la seccion el día 05/03/2026</t>
  </si>
  <si>
    <t>El faltante  de $89.900 es cruzado con sobrante contabilizado el día 03/03/2026 el cual es reversado por la seccion el día 05/03/2026</t>
  </si>
  <si>
    <r>
      <t xml:space="preserve">ACLARAR DIFERENCIA Y REPETIR EL ARQUEO </t>
    </r>
    <r>
      <rPr>
        <b/>
        <sz val="11"/>
        <color rgb="FFFF0000"/>
        <rFont val="Calibri"/>
        <family val="2"/>
        <scheme val="minor"/>
      </rPr>
      <t>( SE ESCRIBE A LA SUC - SE ENCONTRO REMANENTE GRABADO EN LA CUENTA DE CAJA)</t>
    </r>
  </si>
  <si>
    <t>La diferencia es contabilizada por la Gerencia De Autoservicios y Efectivo de manera centralizada a la cuenta de sobrantes 279510020 el 05/03/2026</t>
  </si>
  <si>
    <t>La diferencia es contabilizada por la Gerencia De Autoservicios y Efectivo de manera centralizada a la cuenta de faltantes 168710093 el 05/03/2026, esta diferencia ingresa a proceso de investigación en el área para identificar a que corresponde.</t>
  </si>
  <si>
    <t>FLOZANO</t>
  </si>
  <si>
    <t>YPARRA</t>
  </si>
  <si>
    <t>DIBLANDO</t>
  </si>
  <si>
    <t>ACUJIA</t>
  </si>
  <si>
    <t>MADHERNA</t>
  </si>
  <si>
    <t>MARIROME</t>
  </si>
  <si>
    <t>JOLOAIZA</t>
  </si>
  <si>
    <t>NEGARCIC</t>
  </si>
  <si>
    <t>CAMAVARG</t>
  </si>
  <si>
    <t>SPVARGAS</t>
  </si>
  <si>
    <t>CAGAVIRI</t>
  </si>
  <si>
    <t>ASAJONER</t>
  </si>
  <si>
    <t>CARMENDO</t>
  </si>
  <si>
    <t>CVRODRIG</t>
  </si>
  <si>
    <t>ERMENDOZ</t>
  </si>
  <si>
    <t>LUZMLOPE</t>
  </si>
  <si>
    <t>JUVCANTI</t>
  </si>
  <si>
    <t>08:30:00</t>
  </si>
  <si>
    <t>15:10:00</t>
  </si>
  <si>
    <t>09:51:00</t>
  </si>
  <si>
    <t>07:50:00</t>
  </si>
  <si>
    <t>14:11:00</t>
  </si>
  <si>
    <t>11:01:00</t>
  </si>
  <si>
    <t>11:31:00</t>
  </si>
  <si>
    <t>08:28:00</t>
  </si>
  <si>
    <t>10:35:00</t>
  </si>
  <si>
    <t>09:54:00</t>
  </si>
  <si>
    <t>16:21:00</t>
  </si>
  <si>
    <t>15:19:00</t>
  </si>
  <si>
    <t>08:36:00</t>
  </si>
  <si>
    <t>09:12:00</t>
  </si>
  <si>
    <t>11:54:00</t>
  </si>
  <si>
    <t>15:21:00</t>
  </si>
  <si>
    <t>08:00:00</t>
  </si>
  <si>
    <t>09:34:00</t>
  </si>
  <si>
    <t>02:41:00</t>
  </si>
  <si>
    <t>07:38:00</t>
  </si>
  <si>
    <t>09:22:00</t>
  </si>
  <si>
    <t>10:06:00</t>
  </si>
  <si>
    <t>09:27:00</t>
  </si>
  <si>
    <t>08:35:00</t>
  </si>
  <si>
    <t>07:47:00</t>
  </si>
  <si>
    <t>09:33:00</t>
  </si>
  <si>
    <t>09:10:00</t>
  </si>
  <si>
    <t>10:35:58</t>
  </si>
  <si>
    <t>09:36:00</t>
  </si>
  <si>
    <t>14:28:00</t>
  </si>
  <si>
    <t>15:30:00</t>
  </si>
  <si>
    <t>08:07:00</t>
  </si>
  <si>
    <t>09:19:00</t>
  </si>
  <si>
    <t>10:33:00</t>
  </si>
  <si>
    <t>08:21:00</t>
  </si>
  <si>
    <t>07:58:00</t>
  </si>
  <si>
    <t>08:33:00</t>
  </si>
  <si>
    <t>09:55:00</t>
  </si>
  <si>
    <t>11:59:00</t>
  </si>
  <si>
    <t>15:03:00</t>
  </si>
  <si>
    <t>11:12:00</t>
  </si>
  <si>
    <t>11:46:00</t>
  </si>
  <si>
    <t>08:42:00</t>
  </si>
  <si>
    <t>09:13:00</t>
  </si>
  <si>
    <t>11:21:00</t>
  </si>
  <si>
    <t>12:22:00</t>
  </si>
  <si>
    <t>07:51:00</t>
  </si>
  <si>
    <t>13:59:00</t>
  </si>
  <si>
    <t>La diferencia es contabilizada por la Gerencia De Autoservicios y Efectivo de manera centralizada a la cuenta de faltantes 168710093 el 06/03/2026, esta diferencia ingresa a proceso de investigación en el área para identificar a que corresponde.</t>
  </si>
  <si>
    <t>La diferencia es contabilizada por la Gerencia De Autoservicios y Efectivo de manera centralizada a la cuenta de sobrantes 279510020 el 06/03/2026</t>
  </si>
  <si>
    <t>15:11:00</t>
  </si>
  <si>
    <t>08:42:57</t>
  </si>
  <si>
    <t>14:50:00</t>
  </si>
  <si>
    <t>11:53:00</t>
  </si>
  <si>
    <t>09:52:00</t>
  </si>
  <si>
    <t>16:26:00</t>
  </si>
  <si>
    <t>15:39:00</t>
  </si>
  <si>
    <t>10:52:00</t>
  </si>
  <si>
    <t>15:00:00</t>
  </si>
  <si>
    <t>14:33:00</t>
  </si>
  <si>
    <t>14:16:00</t>
  </si>
  <si>
    <t>16:05:00</t>
  </si>
  <si>
    <t>16:27:00</t>
  </si>
  <si>
    <t>12:04:00</t>
  </si>
  <si>
    <t>14:58:00</t>
  </si>
  <si>
    <t>15:23:00</t>
  </si>
  <si>
    <t>173,319,000</t>
  </si>
  <si>
    <t>La diferencia es contabilizada por la Gerencia De Autoservicios y Efectivo de manera centralizada a la cuenta de sobrantes 279510020 el 09/03/2026</t>
  </si>
  <si>
    <t>La diferencia es contabilizada por la Gerencia De Autoservicios y Efectivo de manera centralizada a la cuenta de faltantes 168710093 el 09/03/2026, esta diferencia ingresa a proceso de investigación en el área para identificar a que corresponde.</t>
  </si>
  <si>
    <t>09:50:00</t>
  </si>
  <si>
    <t>09:07:00</t>
  </si>
  <si>
    <t>14:19:00</t>
  </si>
  <si>
    <t>08:54:00</t>
  </si>
  <si>
    <t>09:46:00</t>
  </si>
  <si>
    <t>15:17:00</t>
  </si>
  <si>
    <t>08:52:00</t>
  </si>
  <si>
    <t>10:20:00</t>
  </si>
  <si>
    <t>14:05:00</t>
  </si>
  <si>
    <t>15:47:00</t>
  </si>
  <si>
    <t>14:08:00</t>
  </si>
  <si>
    <t>16:24:00</t>
  </si>
  <si>
    <t>14:29:00</t>
  </si>
  <si>
    <t>10:45:00</t>
  </si>
  <si>
    <t>10:24:00</t>
  </si>
  <si>
    <t>11:00:00</t>
  </si>
  <si>
    <t>10:37:00</t>
  </si>
  <si>
    <t>10:02:00</t>
  </si>
  <si>
    <t>10:57:00</t>
  </si>
  <si>
    <t>10:21:00</t>
  </si>
  <si>
    <t>08:51:00</t>
  </si>
  <si>
    <t>La diferencia es contabilizada por la Gerencia De Autoservicios y Efectivo de manera centralizada a la cuenta de sobrantes 279510020 el 10/03/2026</t>
  </si>
  <si>
    <t>La diferencia es contabilizada por la Gerencia De Autoservicios y Efectivo de manera centralizada a la cuenta de faltantes 168710093 el 01003/2026, esta diferencia ingresa a proceso de investigación en el área para identificar a que corresponde.</t>
  </si>
  <si>
    <t>El faltante $5.600 es cruzado con sobrante contabilizado el día 05/03/2026 el cual es reversado por la seccion el día 10/03/2026</t>
  </si>
  <si>
    <t>El faltante $775.000 es cruzado con sobrante contabilizado el día 06/03/2026 el cual es reversado por la seccion el día 10/03/2026</t>
  </si>
  <si>
    <t>El faltante $320.000 es cruzado con sobrante contabilizado el día 06/03/2026 el cual es reversado por la seccion el día 10/03/2026</t>
  </si>
  <si>
    <t>El faltante $691.050 es cruzado con sobrante contabilizado el día 06/03/2026 el cual es reversado por la seccion el día 10/03/2026</t>
  </si>
  <si>
    <t>El faltante $57.000 es cruzado con sobrante contabilizado el día 09/03/2026 el cual es reversado por la seccion el día 10/03/2026</t>
  </si>
  <si>
    <t>El faltante $10.000 es cruzado con sobrante contabilizado el día 05/03/2026 el cual es reversado por la seccion el día 10/03/2026</t>
  </si>
  <si>
    <t>El faltante $90.000 es cruzado con sobrante contabilizado el día 06/03/2026 el cual es reversado por la seccion el día 10/03/2026</t>
  </si>
  <si>
    <t>11:10:00</t>
  </si>
  <si>
    <t>09:02:00</t>
  </si>
  <si>
    <t>15:01:00</t>
  </si>
  <si>
    <t>08:56:00</t>
  </si>
  <si>
    <t>10:56:00</t>
  </si>
  <si>
    <t>11:14:00</t>
  </si>
  <si>
    <t>08:45:00</t>
  </si>
  <si>
    <t>09:21:00</t>
  </si>
  <si>
    <t>09:57:00</t>
  </si>
  <si>
    <t>10:09:00</t>
  </si>
  <si>
    <t>09:49:00</t>
  </si>
  <si>
    <t>09:53:00</t>
  </si>
  <si>
    <t>14:00:00</t>
  </si>
  <si>
    <t>10:00:00</t>
  </si>
  <si>
    <t>11:30:00</t>
  </si>
  <si>
    <t>10:14:00</t>
  </si>
  <si>
    <t>10:05:00</t>
  </si>
  <si>
    <t>10:29:00</t>
  </si>
  <si>
    <t>16:17:00</t>
  </si>
  <si>
    <t>14:36:00</t>
  </si>
  <si>
    <t>10:50:00</t>
  </si>
  <si>
    <t>16:12:00</t>
  </si>
  <si>
    <t>10:27:00</t>
  </si>
  <si>
    <t>09:30:00</t>
  </si>
  <si>
    <t>181,539,000</t>
  </si>
  <si>
    <t>225,743,000</t>
  </si>
  <si>
    <t>La diferencia es contabilizada por la Gerencia De Autoservicios y Efectivo de manera centralizada a la cuenta de faltantes 168710093 el 11/03/2026, esta diferencia ingresa a proceso de investigación en el área para identificar a que corresponde.</t>
  </si>
  <si>
    <t>La diferencia es contabilizada por la Gerencia De Autoservicios y Efectivo de manera centralizada a la cuenta de sobrantes 279510020 el 11/03/2026</t>
  </si>
  <si>
    <t>La diferencia es contabilizada por la Gerencia De Autoservicios y Efectivo de manera centralizada a la cuenta de faltantes 168710093 el 11/03/2026, esta diferencia ingresa a proceso de investigación en el área para identificar a que corresponde.
El faltante $1.181.000 es cruzado con sobrante contabilizado el día 10/03/2026 el cual es reversado por la seccion el día 11/03/2026</t>
  </si>
  <si>
    <t>El faltante $217.800 es cruzado con sobrante contabilizado el día 10/03/2026 el cual es reversado por la seccion el día 11/03/2026</t>
  </si>
  <si>
    <t>El faltante $1.300 es cruzado con sobrante contabilizado el día 10/03/2026 el cual es reversado por la seccion el día 11/03/2026</t>
  </si>
  <si>
    <t>El faltante $200.000 es cruzado con sobrante contabilizado el día 04/03/2026 el cual es reversado por la seccion el día 11/03/2026</t>
  </si>
  <si>
    <t>El faltante $22.400.000 es cruzado con sobrante contabilizado el día 06/03/2026 el cual es reversado por la seccion el día 11/03/2026</t>
  </si>
  <si>
    <t>El faltante $639.950 es cruzado con sobrante contabilizado el día 04/03/2026 el cual es reversado por la seccion el día 11/03/2026</t>
  </si>
  <si>
    <t>El faltante $345.050 es cruzado con sobrante contabilizado el día 06/03/2026 el cual es reversado por la seccion el día 11/03/2026</t>
  </si>
  <si>
    <t>El faltante $1.910.000 es cruzado con sobrante contabilizado el día 10/03/2026 el cual es reversado por la seccion el día 11/03/2026</t>
  </si>
  <si>
    <t>El faltante $1.040.000 es cruzado con sobrante contabilizado el día 10/03/2026 el cual es reversado por la seccion el día 11/03/2026</t>
  </si>
  <si>
    <t>09:31:00</t>
  </si>
  <si>
    <t>09:21:36</t>
  </si>
  <si>
    <t>14:53:00</t>
  </si>
  <si>
    <t>11:22:00</t>
  </si>
  <si>
    <t>17:29:00</t>
  </si>
  <si>
    <t>13:06:00</t>
  </si>
  <si>
    <t>08:22:50</t>
  </si>
  <si>
    <t>09:28:00</t>
  </si>
  <si>
    <t>08:40:00</t>
  </si>
  <si>
    <t>12:26:00</t>
  </si>
  <si>
    <t>18:16:00</t>
  </si>
  <si>
    <t>15:13:00</t>
  </si>
  <si>
    <t>09:38:00</t>
  </si>
  <si>
    <t>14:12:00</t>
  </si>
  <si>
    <t>09:37:03</t>
  </si>
  <si>
    <t>08:47:00</t>
  </si>
  <si>
    <t>08:24:00</t>
  </si>
  <si>
    <t>09:48:00</t>
  </si>
  <si>
    <t>17:19:00</t>
  </si>
  <si>
    <t>81,220,000</t>
  </si>
  <si>
    <t>EN ESPERA DE ACLARAR, HOY SE GRABA DOS REMANENTES DEL 23 DE FEB</t>
  </si>
  <si>
    <t>EN ESPERA DE ACLARAR, HOY SE GRABA UN REMANENTE DEL 23 DE FEB</t>
  </si>
  <si>
    <t>La diferencia es contabilizada por la Gerencia De Autoservicios y Efectivo de manera centralizada a la cuenta de sobrantes 279510020 el 12/03/2026</t>
  </si>
  <si>
    <t>La diferencia es contabilizada por la Gerencia De Autoservicios y Efectivo de manera centralizada a la cuenta de faltantes 168710093 el 12/03/2026, esta diferencia ingresa a proceso de investigación en el área para identificar a que corresponde.</t>
  </si>
  <si>
    <t>La diferencia es contabilizada por la Gerencia De Autoservicios y Efectivo de manera centralizada a la cuenta de faltantes 168710093 el 12/03/2026, esta diferencia ingresa a proceso de investigación en el área para identificar a que corresponde.
El faltante $1.929.550 es cruzado con sobrante contabilizado el día 10/03/2026 el cual es reversado por la seccion el día 12/03/2026</t>
  </si>
  <si>
    <t>El faltante $5.875.000 es cruzado con sobrante contabilizado el día 04/03/2026 el cual es reversado por la seccion el día 12/03/2026</t>
  </si>
  <si>
    <t>El faltante $13.101.150 es cruzado con sobrante contabilizado el día 06/03/2026 el cual es reversado por la seccion el día 12/03/2026</t>
  </si>
  <si>
    <t>El faltante $100.500 es cruzado con sobrante contabilizado el día 10/03/2026 el cual es reversado por la seccion el día 12/03/2026</t>
  </si>
  <si>
    <t>La diferencia es contabilizada por la Gerencia De Autoservicios y Efectivo de manera centralizada a la cuenta de faltantes 168710093 el 12/03/2026, esta diferencia ingresa a proceso de investigación en el área para identificar a que corresponde.
El faltante $1.488.550 es cruzado con sobrante contabilizado el día 04/03/2026 el cual es reversado por la seccion el día 12/03/2026</t>
  </si>
  <si>
    <t>El faltante $2.280.000 es cruzado con sobrante contabilizado el día 04/03/2026 el cual es reversado por la seccion el día 12/03/2026</t>
  </si>
  <si>
    <t>El faltante $40.000 es cruzado con sobrante contabilizado el día 11/03/2026 el cual es reversado por la seccion el día 12/03/2026</t>
  </si>
  <si>
    <t>10:31:00</t>
  </si>
  <si>
    <t>12:15:00</t>
  </si>
  <si>
    <t>10:46:00</t>
  </si>
  <si>
    <t>13:28:00</t>
  </si>
  <si>
    <t>15:53:00</t>
  </si>
  <si>
    <t>10:42:00</t>
  </si>
  <si>
    <t>09:18:00</t>
  </si>
  <si>
    <t>15:09:00</t>
  </si>
  <si>
    <t>09:07:40</t>
  </si>
  <si>
    <t>15:33:00</t>
  </si>
  <si>
    <t>16:19:00</t>
  </si>
  <si>
    <t>11:15:00</t>
  </si>
  <si>
    <t>11:16:00</t>
  </si>
  <si>
    <t>09:27:40</t>
  </si>
  <si>
    <t>11:32:00</t>
  </si>
  <si>
    <t>08:18:00</t>
  </si>
  <si>
    <t>14:14:00</t>
  </si>
  <si>
    <t>15:54:00</t>
  </si>
  <si>
    <t>11:07:38</t>
  </si>
  <si>
    <t>14:40:24</t>
  </si>
  <si>
    <t>13:45:00</t>
  </si>
  <si>
    <t>08:59:00</t>
  </si>
  <si>
    <t>14:09:00</t>
  </si>
  <si>
    <t>10:30:00</t>
  </si>
  <si>
    <t>16:25:00</t>
  </si>
  <si>
    <t>16:13:00</t>
  </si>
  <si>
    <t>15:24:00</t>
  </si>
  <si>
    <t>12:49:00</t>
  </si>
  <si>
    <t>171,971,000</t>
  </si>
  <si>
    <t>9,750,000</t>
  </si>
  <si>
    <t>REPITIERON ARQUEO, CON SALDO EN ROJO AL 10 MARZO</t>
  </si>
  <si>
    <t>13,905,000</t>
  </si>
  <si>
    <t>La diferencia es contabilizada por la Gerencia De Autoservicios y Efectivo de manera centralizada a la cuenta de faltantes 168710093 el 13/03/2026, esta diferencia ingresa a proceso de investigación en el área para identificar a que corresponde.</t>
  </si>
  <si>
    <t>La diferencia es contabilizada por la Gerencia De Autoservicios y Efectivo de manera centralizada a la cuenta de sobrantes 279510020 el 13/03/2026</t>
  </si>
  <si>
    <t>El faltante $46.600 es cruzado con sobrante contabilizado el día 23/02/2026 el cual es reversado por la seccion el día 28/02/2026</t>
  </si>
  <si>
    <t>El faltante $2.949.950 es cruzado con sobrante contabilizado el día 03/03/2026 $10.000, 04/03/2026 $1.340.000 y  11/03/2026 $1.599.950 el cual es reversado por la seccion el día 13/03/2026</t>
  </si>
  <si>
    <t>El faltante $2.300.000 es cruzado con sobrante contabilizado el día 04/03/2026 $1.170.000 y sobrante contabilizado el día 06/03/2026 $1.130.000 el cual es reversado por la seccion el día 13/03/2026</t>
  </si>
  <si>
    <t>El faltante $5.270.000 es cruzado con sobrante contabilizado el día 10/03/2026 $1.920.000, sobrante contabilizado el día 11/03/2026 $1.150.000 y sobrante contabilizado el día 12/03/2026 $2.200.000 el cual es reversado por la seccion el día 13/03/2026</t>
  </si>
  <si>
    <t>El faltante $379.950 es cruzado con sobrante contabilizado el día 04/03/2026 el cual es reversado por la seccion el día 13/03/2026</t>
  </si>
  <si>
    <t>El faltante $6.820.000 es cruzado con sobrante contabilizado el día 10/03/2026 $2.590.000, sobrante contabilizado el día 11/03/2026 $2.970.000 y sobrante contabilizado el día 12/03/2026 $1.260.000 el cual es reversado por la seccion el día 13/03/2026</t>
  </si>
  <si>
    <t>El faltante $155.000 es cruzado con sobrante contabilizado el día 10/03/2026 $20.000  y sobrante contabilizado el día 11/03/2026 $135.000 el cual es reversado por la seccion el día 13/03/2026</t>
  </si>
  <si>
    <t>El faltante $797.000 es cruzado con sobrante contabilizado el día 04/03/2026 el cual es reversado por la seccion el día 13/03/2026</t>
  </si>
  <si>
    <t>El faltante $1.124.000 es cruzado con sobrante contabilizado el día 06/03/2026 el cual es reversado por la seccion el día 13/03/2026</t>
  </si>
  <si>
    <t>El faltante $13.715.000 es cruzado con sobrante contabilizado el día 10/03/2026 el cual es reversado por la seccion el día 13/03/2026</t>
  </si>
  <si>
    <t>El faltante $3.470.500 es cruzado con sobrante contabilizado el día 04/03/2026 $1.140.000 y sobrante contabilizado el día 10/03/2026 $2.330.500 el cual es reversado por la seccion el día 13/03/2026</t>
  </si>
  <si>
    <t>El faltante $2.409.950 es cruzado con sobrante contabilizado el día 10/03/2026 $2.202.000 y sobrante contabilizado el día 12/03/2026 $207.950 el cual es reversado por la seccion el día 13/03/2026</t>
  </si>
  <si>
    <t>El faltante $710.000 es cruzado con sobrante contabilizado el día 12/03/2026 el cual es reversado por la seccion el día 13/03/2026</t>
  </si>
  <si>
    <t>El faltante $3.180.000 es cruzado con sobrante contabilizado el día 12/03/2026 el cual es reversado por la seccion el día 13/03/2026</t>
  </si>
  <si>
    <t>ACLARAR DIFERENCIA Y REPETIR EL ARQUEO
El faltante $5.720.000 es cruzado con sobrante contabilizado el día 06/03/2026 $1.770.000, sobrante contabilizado el día 10/03/2026 $700.000, sobrante contabilizado el día 11/03/2026 $290.000 y sobrante contabilizado el día 12/03/2026 $1.770.000, el cual es reversado por la seccion el día 13/03/2026</t>
  </si>
  <si>
    <t>16:22:00</t>
  </si>
  <si>
    <t>15:36:00</t>
  </si>
  <si>
    <t>12:46:00</t>
  </si>
  <si>
    <t>11:38:00</t>
  </si>
  <si>
    <t>13:51:00</t>
  </si>
  <si>
    <t>11:07:00</t>
  </si>
  <si>
    <t>09:59:00</t>
  </si>
  <si>
    <t>10:32:00</t>
  </si>
  <si>
    <t>08:09:00</t>
  </si>
  <si>
    <t>10:08:00</t>
  </si>
  <si>
    <t>15:04:00</t>
  </si>
  <si>
    <t>10:38:00</t>
  </si>
  <si>
    <t>16:08:00</t>
  </si>
  <si>
    <t>13:27:00</t>
  </si>
  <si>
    <t>12:05:00</t>
  </si>
  <si>
    <t>14:40:00</t>
  </si>
  <si>
    <t>14:55:00</t>
  </si>
  <si>
    <t>La diferencia es contabilizada por la Gerencia De Autoservicios y Efectivo de manera centralizada a la cuenta de faltantes 168710093 el 16/03/2026, esta diferencia ingresa a proceso de investigación en el área para identificar a que corresponde.</t>
  </si>
  <si>
    <t>La diferencia es contabilizada por la Gerencia De Autoservicios y Efectivo de manera centralizada a la cuenta de sobrantes 279510020 el 16/03/2026</t>
  </si>
  <si>
    <t>El faltante $610.000 es cruzado con sobrante contabilizado el día 11/03/2026 el cual es reversado por la seccion el día 16/03/2026</t>
  </si>
  <si>
    <t>El faltante $155.000 es cruzado con sobrante contabilizado el día 10/03/2026 el cual es reversado por la seccion el día 16/03/2026</t>
  </si>
  <si>
    <t>El faltante $220.000 es cruzado con sobrante contabilizado el día 11/03/2026 el cual es reversado por la seccion el día 16/03/2026</t>
  </si>
  <si>
    <t>El faltante $170.000 es cruzado con sobrante contabilizado el día 10/03/2026 $50.000, sobrante contabilizado el día 11/03/2026 $20.000 y sobrante contabilizado el día 13/03/2026 $100.000 el cual es reversado por la seccion el día 16/03/2026</t>
  </si>
  <si>
    <t>El faltante $1.798.000 es cruzado con sobrante contabilizado el día 13/03/2026 el cual es reversado por la seccion el día 16/03/2026</t>
  </si>
  <si>
    <t>El faltante $15.150.000 es cruzado con sobrante contabilizado el día 04/03/2026 el cual es reversado por la seccion el día 16/03/2026</t>
  </si>
  <si>
    <t>El faltante $3.917.500 es cruzado con sobrante contabilizado el día 05/03/2026 $646.500, sobrante contabilizado el día 06/03/2026 $1.276.000 y sobrante contabilizado el día 10/03/2026 $1.995.000 el cual es reversado por la seccion el día 16/03/2026</t>
  </si>
  <si>
    <t>El faltante $55.000 es cruzado con sobrante contabilizado el día 06/03/2026 $1.400, sobrante contabilizado el día 10/03/2026 $3.600 y sobrante contabilizado el día 11/03/2026 $50.000 el cual es reversado por la seccion el día 16/03/2026</t>
  </si>
  <si>
    <t>El faltante $1.045.000 es cruzado con sobrante contabilizado el día 12/03/2026 el cual es reversado por la seccion el día 16/03/2026</t>
  </si>
  <si>
    <t>El faltante $12.815.000 es cruzado con sobrante contabilizado el día 11/03/2026 el cual es reversado por la seccion el día 16/03/2026</t>
  </si>
  <si>
    <t>El faltante $1.180.000 es cruzado con sobrante contabilizado el día 12/03/2026 $300.000 y sobrante contabilizado el día 13/03/2026 $880.000 el cual es reversado por la seccion el día 16/03/2026</t>
  </si>
  <si>
    <t>El faltante $99.800 es cruzado con sobrante contabilizado el día 03/03/2026 el cual es reversado por la seccion el día 16/03/2026</t>
  </si>
  <si>
    <t>IFERRO</t>
  </si>
  <si>
    <t>08:44:00</t>
  </si>
  <si>
    <t>08:49:46</t>
  </si>
  <si>
    <t>08:01:00</t>
  </si>
  <si>
    <t>grabar sobrante</t>
  </si>
  <si>
    <t>cruzar faltante $1.290.000 20260309 y $1.901.000 20260310</t>
  </si>
  <si>
    <t>El faltante $4.900 es cruzado con sobrante contabilizado el día 03/03/2026 el cual es reversado por la seccion el día 06/03/2026</t>
  </si>
  <si>
    <t>El faltante $5.895.000 es cruzado con sobrante contabilizado el día 04/03/2026 el cual es reversado por la seccion el día 06/03/2026</t>
  </si>
  <si>
    <t>El faltante $1.100 es cruzado con sobrante contabilizado el día 04/03/2026 el cual es reversado por la seccion el día 06/03/2026</t>
  </si>
  <si>
    <t>El faltante $5.426.600 es cruzado con sobrante contabilizado el día 04/03/2026 el cual es reversado por la seccion el día 06/03/2026</t>
  </si>
  <si>
    <t>El faltante $507.000 es cruzado con sobrante contabilizado el día 04/03/2026 el cual es reversado por la seccion el día 06/03/2026</t>
  </si>
  <si>
    <t>El faltante $5.854.000 es cruzado con sobrante contabilizado el día 04/03/2026 el cual es reversado por la seccion el día 06/03/2026</t>
  </si>
  <si>
    <t>El faltante $5.130.000 es cruzado con sobrante contabilizado el día 04/03/2026 el cual es reversado por la seccion el día 06/03/2026</t>
  </si>
  <si>
    <t>El faltante $88.600 es cruzado con sobrante contabilizado el día 03/03/2026 el cual es reversado por la seccion el día 06/03/2026</t>
  </si>
  <si>
    <t>El faltante $50.000 es cruzado con sobrante contabilizado el día 04/03/2026 el cual es reversado por la seccion el día 06/03/2026</t>
  </si>
  <si>
    <t>El faltante $5.250.000 es cruzado con sobrante contabilizado el día 04/03/2026 el cual es reversado por la seccion el día 06/03/2026</t>
  </si>
  <si>
    <t>El faltante $2.510.000 es cruzado con sobrante contabilizado el día 04/03/2026 el cual es reversado por la seccion el día 06/03/2026</t>
  </si>
  <si>
    <t>El faltante $9.960.550 es cruzado con sobrante contabilizado el día 04/03/2026 el cual es reversado por la seccion el día 06/03/2026</t>
  </si>
  <si>
    <t>El faltante $5.355.000 es cruzado con sobrante contabilizado el día 04/03/2026 el cual es reversado por la seccion el día 06/03/2026</t>
  </si>
  <si>
    <t>El faltante $2.945.000 es cruzado con sobrante contabilizado el día 04/03/2026 el cual es reversado por la seccion el día 06/03/2026</t>
  </si>
  <si>
    <t>El faltante $5.410.000 es cruzado con sobrante contabilizado el día 04/03/2026 el cual es reversado por la seccion el día 06/03/2026</t>
  </si>
  <si>
    <t>El faltante $1.310.000 es cruzado con sobrante contabilizado el día 04/03/2026 el cual es reversado por la seccion el día 06/03/2026</t>
  </si>
  <si>
    <t>El faltante $2.374.000 es cruzado con sobrante contabilizado el día 04/03/2026 el cual es reversado por la seccion el día 06/03/2026</t>
  </si>
  <si>
    <t xml:space="preserve"> El faltante $2.350.700 es cruzado con sobrante contabilizado el día 04/03/2026 el cual es reversado por la seccion el día 09/03/2026
REPITIERON ARQUEO</t>
  </si>
  <si>
    <t>ACLARAR DIFERENCIA Y REPETIR EL ARQUEO El faltante $7.060.000 es cruzado con sobrante contabilizado el día 04/03/2026 y sobrante contabilizado el día 06/03/2026 $40.000 el cual es reversado por la seccion el día 09/03/2026</t>
  </si>
  <si>
    <t>El faltante $3.465.000 es cruzado con sobrante contabilizado el día 05/03/2026 el cual es reversado por la seccion el día 09/03/2026</t>
  </si>
  <si>
    <t>El faltante $126.000 es cruzado con sobrante contabilizado el día 05/03/2026 el cual es reversado por la seccion el día 09/03/2026</t>
  </si>
  <si>
    <t>El faltante $2.880.000 es cruzado con sobrante contabilizado el día 06/03/2026 el cual es reversado por la seccion el día 09/03/2026</t>
  </si>
  <si>
    <t>cruzar faltante $1.350.000 con sob 20260312</t>
  </si>
  <si>
    <t>cruzar faltante $20.090.000 con sobrante 20260306 -- 9 marzo</t>
  </si>
  <si>
    <t>cruzar faltante $2.700.000 con sob 20260315</t>
  </si>
  <si>
    <t xml:space="preserve"> $ -  </t>
  </si>
  <si>
    <t>Sobrante</t>
  </si>
  <si>
    <t>RESULTADO CORRECTO</t>
  </si>
  <si>
    <t>SIN GESTIÓN AUTOMATIZACIÓN HDI</t>
  </si>
  <si>
    <t>La diferencia es contabilizada por la Gerencia De Autoservicios y Efectivo de manera centralizada a la cuenta de sobrantes 279510020 el 18/03/2026</t>
  </si>
  <si>
    <t>Cuadrado</t>
  </si>
  <si>
    <t>El faltante $3.771.250 es cruzado con sobrante contabilizado el día 17/03/2026 ($3.771.250) el cual es reversado por la seccion el día 18/03/2026</t>
  </si>
  <si>
    <t>RESPUESTA CORRECTA</t>
  </si>
  <si>
    <t>El faltante $3.771.250 es cruzado con sobrante contabilizado el día 17/03/2026 el cual es reversado por la seccion el día 18/03/2026</t>
  </si>
  <si>
    <t>Faltante</t>
  </si>
  <si>
    <t>La diferencia es contabilizada por la Gerencia De Autoservicios y Efectivo de manera centralizada a la cuenta de faltantes 168710093 el 18/03/2026, esta diferencia ingresa a proceso de investigación en el área para identificar a que corresponde.</t>
  </si>
  <si>
    <r>
      <t>El faltante $3.373.950 es cruzado con sobrante contabilizado el día 13/03/2026 ($1.180.000),</t>
    </r>
    <r>
      <rPr>
        <b/>
        <sz val="11"/>
        <color rgb="FF000000"/>
        <rFont val="Calibri"/>
        <family val="2"/>
        <scheme val="minor"/>
      </rPr>
      <t xml:space="preserve"> el día 12/03/2026 ($1.800.000)</t>
    </r>
    <r>
      <rPr>
        <sz val="11"/>
        <color rgb="FF000000"/>
        <rFont val="Calibri"/>
        <family val="2"/>
        <scheme val="minor"/>
      </rPr>
      <t>, el día 11/03/2026 ($393.950) el cual es reversado por la seccion el día 18/03/2026</t>
    </r>
  </si>
  <si>
    <t>RESULTADO INCORRECTO</t>
  </si>
  <si>
    <t>EL PENÚLTIMO ARQUEO QUE LA SUCURSAL REGISTRÓ FUE EL 06 DE MARZO, DESPUÉS DE ESTA FECHA SE GRABARON SOBRANTES POR CUADRE DIARIO EL 11, 12 Y 13 DE MARZO, LA AUTOMATIZACIÓN ESTÁ CRUZANDO LOS SOBRANTES DEL MÁS RECIENTE AL MÁS ANTIGUO Y DEBE SER DEL MÁS ANTIGUO DESPUÉS DEL PENÚLTIMO ARQUEO AL MÁS RECIENTE QUE SE GRABO POR CUADRE DIARIO; CON EL FIN DE CONTAR CON LOS SOBRANTES DISPONIBLES EN LAS FECHAS MÁS CERCANAS PARA LOS RECLAMOS DE LOS CLIENTES.</t>
  </si>
  <si>
    <t>El faltante $3.373.950 es cruzado con sobrante contabilizado el día 11/03/2026 $399.900, sobrante contabilizado el día 12/03/2026 $1.800.000 y sobrante contabilizado el día 13/03/2026 $1.174.050  el cual es reversado por la seccion el día 18/03/2026</t>
  </si>
  <si>
    <t>EL CAJERO QUEDABA CUADRADO, LA AUTOMATIZACIÓN NO REALIZÓ EL CRUCE CON EL SOBRANTE</t>
  </si>
  <si>
    <t>El faltante $490.000 es cruzado con sobrante contabilizado el día 04/03/2026 el cual es reversado por la seccion el día 18/03/2026</t>
  </si>
  <si>
    <t>El faltante $1.812.000 es cruzado con sobrante contabilizado el día 16/03/2026 ($1.520.000), el día 13/03/2026 ($292.000) el cual es reversado por la seccion el día 18/03/2026</t>
  </si>
  <si>
    <t>EL PENÚLTIMO ARQUEO QUE LA SUCURSAL REGISTRÓ FUE EL 11 DE MARZO, DESPUÉS DE ESTA FECHA SE GRABARON SOBRANTES POR CUADRE DIARIO EL 13 Y 16 DE MARZO, LA AUTOMATIZACIÓN ESTÁ CRUZANDO LOS SOBRANTES DEL MÁS RECIENTE AL MÁS ANTIGUO Y DEBE SER DEL MÁS ANTIGUO DESPUÉS DEL PENÚLTIMO ARQUEO AL MÁS RECIENTE QUE SE GRABO POR CUADRE DIARIO; CON EL FIN DE CONTAR CON LOS SOBRANTES DISPONIBLES EN LAS FECHAS MÁS CERCANAS PARA LOS RECLAMOS DE LOS CLIENTES.</t>
  </si>
  <si>
    <t>El faltante $1.812.000 es cruzado con sobrante contabilizado el día 13/03/2026 $992.000 y sobrante contabilizado el día 16/03/2026 $820.000 el cual es reversado por la seccion el día 18/03/2026</t>
  </si>
  <si>
    <t>El faltante $590.000 es cruzado con sobrante contabilizado el día 05/03/2026 ($590.000) el cual es reversado por la seccion el día 18/03/2026</t>
  </si>
  <si>
    <t>El faltante $590.000 es cruzado con sobrante contabilizado el día 05/03/2026 el cual es reversado por la seccion el día 18/03/2026</t>
  </si>
  <si>
    <t>El faltante $967.000 es cruzado con sobrante contabilizado el día 11/03/2026 ($967.000) el cual es reversado por la seccion el día 18/03/2026</t>
  </si>
  <si>
    <t>El faltante $967.000 es cruzado con sobrante contabilizado el día 11/03/2026 el cual es reversado por la seccion el día 18/03/2026</t>
  </si>
  <si>
    <t>El faltante $3.691.000 es cruzado con sobrante contabilizado el día 11/03/2026 ($3.691.000) el cual es reversado por la seccion el día 18/03/2026</t>
  </si>
  <si>
    <t>El faltante $3.691.000 es cruzado con sobrante contabilizado el día 11/03/2026 el cual es reversado por la seccion el día 18/03/2026</t>
  </si>
  <si>
    <t>El faltante $2.889.600 es cruzado con sobrante contabilizado el día 17/03/2026 ($2.235.000), el día 12/03/2026 ($654.600) el cual es reversado por la seccion el día 18/03/2026</t>
  </si>
  <si>
    <t>EL PENÚLTIMO ARQUEO QUE LA SUCURSAL REGISTRÓ FUE EL 05 DE MARZO, DESPUÉS DE ESTA FECHA SE GRABARON SOBRANTES POR CUADRE DIARIO EL 12 Y 17 DE MARZO, LA AUTOMATIZACIÓN ESTÁ CRUZANDO LOS SOBRANTES DEL MÁS RECIENTE AL MÁS ANTIGUO Y DEBE SER DEL MÁS ANTIGUO DESPUÉS DEL PENÚLTIMO ARQUEO AL MÁS RECIENTE QUE SE GRABO POR CUADRE DIARIO; CON EL FIN DE CONTAR CON LOS SOBRANTES DISPONIBLES EN LAS FECHAS MÁS CERCANAS PARA LOS RECLAMOS DE LOS CLIENTES.</t>
  </si>
  <si>
    <t>El faltante $2.889.600 es cruzado con sobrante contabilizado el día 12/03/2026 $2.080.000 y sobrante contabilizado el día 17/03/2026 $809.600 el cual es reversado por la seccion el día 18/03/2026</t>
  </si>
  <si>
    <t>El faltante $1.390.000 es cruzado con sobrante contabilizado el día 4/03/2026 $310.000, sobrante contabilizado el día 06/03/2026 $880.000, sobrante contabilizado el día 10/03/2026 $190.000 y sobrante contabilizado el día 11/03/2026 $10.000 el cual es reversado por la seccion el día 18/03/2026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</si>
</sst>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0"/>
      <name val="MS Sans Serif"/>
      <family val="2"/>
    </font>
    <font>
      <b/>
      <sz val="10"/>
      <color indexed="9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2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9" fillId="0" borderId="0"/>
    <xf numFmtId="43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10" fillId="3" borderId="1" xfId="4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0" xfId="0" applyNumberFormat="1"/>
    <xf numFmtId="164" fontId="11" fillId="0" borderId="1" xfId="1" applyNumberFormat="1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21" fontId="0" fillId="0" borderId="0" xfId="0" applyNumberFormat="1"/>
    <xf numFmtId="0" fontId="0" fillId="8" borderId="0" xfId="0" applyFill="1"/>
    <xf numFmtId="0" fontId="0" fillId="0" borderId="1" xfId="0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/>
    </xf>
    <xf numFmtId="43" fontId="0" fillId="0" borderId="1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/>
    <xf numFmtId="0" fontId="11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14" fontId="10" fillId="3" borderId="1" xfId="4" applyNumberFormat="1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vertical="center"/>
    </xf>
    <xf numFmtId="0" fontId="7" fillId="0" borderId="1" xfId="3" applyFont="1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6" fillId="0" borderId="1" xfId="3" applyFont="1" applyBorder="1" applyAlignment="1">
      <alignment horizontal="center" wrapText="1"/>
    </xf>
    <xf numFmtId="0" fontId="8" fillId="0" borderId="1" xfId="3" applyFont="1" applyBorder="1" applyAlignment="1">
      <alignment horizontal="left" wrapText="1"/>
    </xf>
    <xf numFmtId="0" fontId="0" fillId="0" borderId="1" xfId="0" applyBorder="1"/>
    <xf numFmtId="14" fontId="0" fillId="0" borderId="1" xfId="0" applyNumberFormat="1" applyBorder="1"/>
    <xf numFmtId="0" fontId="8" fillId="0" borderId="1" xfId="3" applyFont="1" applyBorder="1" applyAlignment="1">
      <alignment horizontal="center" wrapText="1"/>
    </xf>
    <xf numFmtId="0" fontId="7" fillId="12" borderId="1" xfId="3" applyFont="1" applyFill="1" applyBorder="1" applyAlignment="1">
      <alignment horizontal="center" wrapText="1"/>
    </xf>
    <xf numFmtId="0" fontId="5" fillId="12" borderId="1" xfId="3" applyFont="1" applyFill="1" applyBorder="1" applyAlignment="1">
      <alignment horizontal="center" wrapText="1"/>
    </xf>
    <xf numFmtId="0" fontId="8" fillId="12" borderId="1" xfId="3" applyFont="1" applyFill="1" applyBorder="1" applyAlignment="1">
      <alignment horizontal="left" wrapText="1"/>
    </xf>
    <xf numFmtId="0" fontId="0" fillId="12" borderId="1" xfId="0" applyFill="1" applyBorder="1"/>
    <xf numFmtId="14" fontId="0" fillId="12" borderId="1" xfId="0" applyNumberFormat="1" applyFill="1" applyBorder="1"/>
    <xf numFmtId="0" fontId="0" fillId="12" borderId="0" xfId="0" applyFill="1"/>
    <xf numFmtId="21" fontId="11" fillId="0" borderId="1" xfId="0" applyNumberFormat="1" applyFont="1" applyBorder="1" applyAlignment="1">
      <alignment horizontal="left" vertical="center"/>
    </xf>
    <xf numFmtId="0" fontId="7" fillId="13" borderId="1" xfId="3" applyFont="1" applyFill="1" applyBorder="1" applyAlignment="1">
      <alignment horizontal="center" wrapText="1"/>
    </xf>
    <xf numFmtId="0" fontId="5" fillId="13" borderId="1" xfId="3" applyFont="1" applyFill="1" applyBorder="1" applyAlignment="1">
      <alignment horizontal="center" wrapText="1"/>
    </xf>
    <xf numFmtId="0" fontId="8" fillId="13" borderId="1" xfId="3" applyFont="1" applyFill="1" applyBorder="1" applyAlignment="1">
      <alignment horizontal="left" wrapText="1"/>
    </xf>
    <xf numFmtId="0" fontId="0" fillId="13" borderId="1" xfId="0" applyFill="1" applyBorder="1"/>
    <xf numFmtId="14" fontId="0" fillId="13" borderId="1" xfId="0" applyNumberFormat="1" applyFill="1" applyBorder="1"/>
    <xf numFmtId="0" fontId="0" fillId="13" borderId="0" xfId="0" applyFill="1"/>
    <xf numFmtId="164" fontId="11" fillId="0" borderId="1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14" fontId="11" fillId="0" borderId="6" xfId="0" applyNumberFormat="1" applyFont="1" applyBorder="1" applyAlignment="1">
      <alignment vertical="center"/>
    </xf>
    <xf numFmtId="21" fontId="11" fillId="0" borderId="6" xfId="0" applyNumberFormat="1" applyFont="1" applyBorder="1" applyAlignment="1">
      <alignment horizontal="left" vertical="center"/>
    </xf>
    <xf numFmtId="164" fontId="11" fillId="0" borderId="6" xfId="1" applyNumberFormat="1" applyFont="1" applyFill="1" applyBorder="1" applyAlignment="1">
      <alignment vertical="center"/>
    </xf>
    <xf numFmtId="164" fontId="11" fillId="11" borderId="6" xfId="1" applyNumberFormat="1" applyFont="1" applyFill="1" applyBorder="1" applyAlignment="1">
      <alignment vertical="center"/>
    </xf>
    <xf numFmtId="164" fontId="0" fillId="0" borderId="6" xfId="1" applyNumberFormat="1" applyFont="1" applyFill="1" applyBorder="1" applyAlignment="1">
      <alignment vertical="center"/>
    </xf>
    <xf numFmtId="0" fontId="11" fillId="15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21" fontId="11" fillId="0" borderId="0" xfId="0" applyNumberFormat="1" applyFont="1" applyAlignment="1">
      <alignment horizontal="left" vertical="center"/>
    </xf>
    <xf numFmtId="43" fontId="0" fillId="16" borderId="1" xfId="1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14" fontId="11" fillId="18" borderId="1" xfId="0" applyNumberFormat="1" applyFont="1" applyFill="1" applyBorder="1" applyAlignment="1">
      <alignment vertical="center"/>
    </xf>
    <xf numFmtId="0" fontId="0" fillId="18" borderId="1" xfId="0" applyFill="1" applyBorder="1"/>
    <xf numFmtId="21" fontId="11" fillId="18" borderId="1" xfId="0" applyNumberFormat="1" applyFont="1" applyFill="1" applyBorder="1" applyAlignment="1">
      <alignment horizontal="left" vertical="center"/>
    </xf>
    <xf numFmtId="164" fontId="11" fillId="18" borderId="1" xfId="1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43" fontId="0" fillId="19" borderId="1" xfId="1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43" fontId="0" fillId="20" borderId="1" xfId="1" applyFont="1" applyFill="1" applyBorder="1" applyAlignment="1">
      <alignment vertical="center"/>
    </xf>
    <xf numFmtId="0" fontId="18" fillId="0" borderId="0" xfId="0" applyFont="1"/>
    <xf numFmtId="22" fontId="18" fillId="0" borderId="0" xfId="0" applyNumberFormat="1" applyFont="1"/>
    <xf numFmtId="21" fontId="18" fillId="0" borderId="0" xfId="0" applyNumberFormat="1" applyFont="1"/>
    <xf numFmtId="6" fontId="18" fillId="0" borderId="0" xfId="0" applyNumberFormat="1" applyFont="1"/>
    <xf numFmtId="0" fontId="17" fillId="0" borderId="0" xfId="0" applyFont="1"/>
  </cellXfs>
  <cellStyles count="23">
    <cellStyle name="Millares" xfId="1" builtinId="3"/>
    <cellStyle name="Millares 11" xfId="5" xr:uid="{E2213564-7C1C-4507-9F1D-68CA2D66297C}"/>
    <cellStyle name="Millares 11 2" xfId="8" xr:uid="{3486038C-359E-41EC-8BC7-33EC3E05C275}"/>
    <cellStyle name="Millares 11 2 2" xfId="12" xr:uid="{D376D92C-F9A1-442A-9CB7-581109E95E19}"/>
    <cellStyle name="Millares 11 2 2 2" xfId="14" xr:uid="{DD546A0C-6A11-40A4-BA7B-7FC07A5DCC58}"/>
    <cellStyle name="Millares 11 2 3" xfId="15" xr:uid="{07640687-BD72-435C-A723-3F6445E0803B}"/>
    <cellStyle name="Millares 11 3" xfId="10" xr:uid="{049ABBDF-A0C7-404D-97A0-071D45F40382}"/>
    <cellStyle name="Millares 11 3 2" xfId="16" xr:uid="{9CFE3C43-BFF6-4023-BE98-0D7CFD4F2985}"/>
    <cellStyle name="Millares 11 4" xfId="17" xr:uid="{03B56D2D-1E7C-404A-86ED-EBE526787F59}"/>
    <cellStyle name="Millares 2" xfId="7" xr:uid="{9F9517B9-7A03-49EC-A5B4-2C3B1620A22D}"/>
    <cellStyle name="Millares 2 2" xfId="11" xr:uid="{52086FC3-62D7-49CA-A34B-BADDE5F9E5CA}"/>
    <cellStyle name="Millares 2 2 2" xfId="18" xr:uid="{D9A8FF76-F1BE-4D11-AFB2-F1FCF73D1776}"/>
    <cellStyle name="Millares 2 3" xfId="19" xr:uid="{6C51FC9A-09AA-44B4-B805-0FF9DE53D52B}"/>
    <cellStyle name="Millares 3" xfId="9" xr:uid="{09A5721D-F804-4AC3-A9CC-E39382914816}"/>
    <cellStyle name="Millares 3 2" xfId="20" xr:uid="{CB432236-C1C9-4597-BDD2-C5767A0FF0AC}"/>
    <cellStyle name="Millares 4" xfId="21" xr:uid="{D5A8708D-AD5D-4751-840F-634B376685A8}"/>
    <cellStyle name="Moneda 2" xfId="13" xr:uid="{D91F2607-7E16-415C-A39C-88273EA3FBFB}"/>
    <cellStyle name="Moneda 2 2" xfId="22" xr:uid="{1715AB8E-343B-43B5-9362-1987E1662B9E}"/>
    <cellStyle name="Normal" xfId="0" builtinId="0"/>
    <cellStyle name="Normal 2" xfId="6" xr:uid="{32D05154-5A18-4842-87CA-5754B89DC2A7}"/>
    <cellStyle name="Normal 2 17 3" xfId="4" xr:uid="{2AD4CE48-570D-40D8-AAEE-8C8D88B444C7}"/>
    <cellStyle name="Normal_#de arqueos" xfId="2" xr:uid="{975129AC-8398-4980-A056-24D3BB2DD21D}"/>
    <cellStyle name="Normal_Hoja4" xfId="3" xr:uid="{1FCA659B-8C32-49B9-AB91-9CF1C9E6E411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00FFFF"/>
      <color rgb="FFCCFFCC"/>
      <color rgb="FFCCE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jaram/AppData/Local/Microsoft/Windows/INetCache/Content.Outlook/MESKC3VN/Programaci&#243;n%20Arqueo%20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a empresa"/>
      <sheetName val="Sucursales 2 dias"/>
      <sheetName val="Programación"/>
      <sheetName val="HORARIO SUPER SOCIEDADES "/>
    </sheetNames>
    <sheetDataSet>
      <sheetData sheetId="0"/>
      <sheetData sheetId="1"/>
      <sheetData sheetId="2">
        <row r="1">
          <cell r="A1" t="str">
            <v>hab</v>
          </cell>
          <cell r="B1" t="str">
            <v>REGIÓN</v>
          </cell>
          <cell r="C1" t="str">
            <v>LIDER_SERVICIO</v>
          </cell>
          <cell r="D1" t="str">
            <v>COD_SUC</v>
          </cell>
          <cell r="E1" t="str">
            <v>SUCURSAL</v>
          </cell>
          <cell r="F1" t="str">
            <v>MANEJA_ML</v>
          </cell>
          <cell r="G1" t="str">
            <v>MANEJA_ME</v>
          </cell>
          <cell r="H1" t="str">
            <v>USUARIO</v>
          </cell>
          <cell r="I1" t="str">
            <v>FECHA DE ARQUEO</v>
          </cell>
          <cell r="J1" t="str">
            <v>2 DÍAS Y ROTATIVOS</v>
          </cell>
        </row>
        <row r="2">
          <cell r="A2">
            <v>1</v>
          </cell>
          <cell r="B2" t="str">
            <v>ANTIOQUIA</v>
          </cell>
          <cell r="C2" t="str">
            <v>Katherine Zapata Cano</v>
          </cell>
          <cell r="D2">
            <v>1</v>
          </cell>
          <cell r="E2" t="str">
            <v>CARABOBO</v>
          </cell>
          <cell r="F2" t="str">
            <v>Si</v>
          </cell>
          <cell r="G2" t="str">
            <v>Si</v>
          </cell>
          <cell r="H2" t="str">
            <v>FLLOPEZ</v>
          </cell>
          <cell r="I2">
            <v>46086</v>
          </cell>
        </row>
        <row r="3">
          <cell r="A3">
            <v>2</v>
          </cell>
          <cell r="B3" t="str">
            <v>ANTIOQUIA</v>
          </cell>
          <cell r="C3" t="str">
            <v>Katherine Zapata Cano</v>
          </cell>
          <cell r="D3">
            <v>2</v>
          </cell>
          <cell r="E3" t="str">
            <v>CENTRO COLTEJER</v>
          </cell>
          <cell r="F3" t="str">
            <v>Si</v>
          </cell>
          <cell r="G3" t="str">
            <v>Si</v>
          </cell>
          <cell r="H3" t="str">
            <v>KPALACIO</v>
          </cell>
          <cell r="I3">
            <v>46099</v>
          </cell>
        </row>
        <row r="4">
          <cell r="A4">
            <v>4</v>
          </cell>
          <cell r="B4" t="str">
            <v>ANTIOQUIA</v>
          </cell>
          <cell r="C4" t="str">
            <v>Ana Maria Echavarria Gonzalez</v>
          </cell>
          <cell r="D4">
            <v>4</v>
          </cell>
          <cell r="E4" t="str">
            <v>LAURELES</v>
          </cell>
          <cell r="F4" t="str">
            <v>Si</v>
          </cell>
          <cell r="G4" t="str">
            <v>Si</v>
          </cell>
          <cell r="H4" t="str">
            <v>JOSORIO</v>
          </cell>
          <cell r="I4">
            <v>46099</v>
          </cell>
        </row>
        <row r="5">
          <cell r="A5">
            <v>5</v>
          </cell>
          <cell r="B5" t="str">
            <v>ANTIOQUIA</v>
          </cell>
          <cell r="C5" t="str">
            <v>Natalia Zuluaga Rodriguez</v>
          </cell>
          <cell r="D5">
            <v>5</v>
          </cell>
          <cell r="E5" t="str">
            <v>AVENIDA EL POBLADO</v>
          </cell>
          <cell r="F5" t="str">
            <v>Si</v>
          </cell>
          <cell r="G5" t="str">
            <v>No</v>
          </cell>
          <cell r="H5" t="str">
            <v>PCVARGAS</v>
          </cell>
          <cell r="I5">
            <v>46099</v>
          </cell>
        </row>
        <row r="6">
          <cell r="A6">
            <v>6</v>
          </cell>
          <cell r="B6" t="str">
            <v>ANTIOQUIA</v>
          </cell>
          <cell r="C6" t="str">
            <v>Katherine Zapata Cano</v>
          </cell>
          <cell r="D6">
            <v>6</v>
          </cell>
          <cell r="E6" t="str">
            <v>AVENIDA JUNIN</v>
          </cell>
          <cell r="F6" t="str">
            <v>Si</v>
          </cell>
          <cell r="G6" t="str">
            <v>No</v>
          </cell>
          <cell r="H6" t="str">
            <v>DJMONTOY</v>
          </cell>
          <cell r="I6">
            <v>46086</v>
          </cell>
          <cell r="J6" t="str">
            <v>2 Días</v>
          </cell>
        </row>
        <row r="7">
          <cell r="A7">
            <v>7</v>
          </cell>
          <cell r="B7" t="str">
            <v>ANTIOQUIA</v>
          </cell>
          <cell r="C7" t="str">
            <v>Ana Maria Echavarria Gonzalez</v>
          </cell>
          <cell r="D7">
            <v>7</v>
          </cell>
          <cell r="E7" t="str">
            <v>LOS MOLINOS</v>
          </cell>
          <cell r="F7" t="str">
            <v>Si</v>
          </cell>
          <cell r="G7" t="str">
            <v>Si</v>
          </cell>
          <cell r="H7" t="str">
            <v>PATOBONO</v>
          </cell>
          <cell r="I7">
            <v>46091</v>
          </cell>
        </row>
        <row r="8">
          <cell r="A8">
            <v>8</v>
          </cell>
          <cell r="B8" t="str">
            <v>ANTIOQUIA</v>
          </cell>
          <cell r="C8" t="str">
            <v>Katherine Zapata Cano</v>
          </cell>
          <cell r="D8">
            <v>8</v>
          </cell>
          <cell r="E8" t="str">
            <v>LA PLAYA</v>
          </cell>
          <cell r="F8" t="str">
            <v>Si</v>
          </cell>
          <cell r="G8" t="str">
            <v>Si</v>
          </cell>
          <cell r="H8" t="str">
            <v>OGUARDO</v>
          </cell>
          <cell r="I8">
            <v>46099</v>
          </cell>
        </row>
        <row r="9">
          <cell r="A9">
            <v>9</v>
          </cell>
          <cell r="B9" t="str">
            <v>ANTIOQUIA</v>
          </cell>
          <cell r="C9" t="str">
            <v>Ana Maria Echavarria Gonzalez</v>
          </cell>
          <cell r="D9">
            <v>9</v>
          </cell>
          <cell r="E9" t="str">
            <v>CALASANZ</v>
          </cell>
          <cell r="F9" t="str">
            <v>Si</v>
          </cell>
          <cell r="G9" t="str">
            <v>No</v>
          </cell>
          <cell r="H9" t="str">
            <v>YARREDON</v>
          </cell>
          <cell r="I9">
            <v>46093</v>
          </cell>
        </row>
        <row r="10">
          <cell r="A10">
            <v>13</v>
          </cell>
          <cell r="B10" t="str">
            <v>BOGOTA Y CUNDINAMARCA</v>
          </cell>
          <cell r="C10" t="str">
            <v>Kirsys Nadyra Robelto Sanchez</v>
          </cell>
          <cell r="D10">
            <v>13</v>
          </cell>
          <cell r="E10" t="str">
            <v>QUINTA CAMACHO</v>
          </cell>
          <cell r="F10" t="str">
            <v>Si</v>
          </cell>
          <cell r="G10" t="str">
            <v>Si</v>
          </cell>
          <cell r="H10" t="str">
            <v>LCANON</v>
          </cell>
          <cell r="I10">
            <v>46099</v>
          </cell>
          <cell r="J10" t="str">
            <v>2 Días</v>
          </cell>
        </row>
        <row r="11">
          <cell r="A11">
            <v>14</v>
          </cell>
          <cell r="B11" t="str">
            <v>ANTIOQUIA</v>
          </cell>
          <cell r="C11" t="str">
            <v>Katherine Zapata Cano</v>
          </cell>
          <cell r="D11">
            <v>14</v>
          </cell>
          <cell r="E11" t="str">
            <v>CALLE NUEVA</v>
          </cell>
          <cell r="F11" t="str">
            <v>Si</v>
          </cell>
          <cell r="G11" t="str">
            <v>Si</v>
          </cell>
          <cell r="H11" t="str">
            <v>JAVVALEN</v>
          </cell>
          <cell r="I11">
            <v>46093</v>
          </cell>
        </row>
        <row r="12">
          <cell r="A12">
            <v>15</v>
          </cell>
          <cell r="B12" t="str">
            <v>ANTIOQUIA</v>
          </cell>
          <cell r="C12" t="str">
            <v>Sandra Milena Cardona Franco</v>
          </cell>
          <cell r="D12">
            <v>15</v>
          </cell>
          <cell r="E12" t="str">
            <v>ITAGUI</v>
          </cell>
          <cell r="F12" t="str">
            <v>Si</v>
          </cell>
          <cell r="G12" t="str">
            <v>No</v>
          </cell>
          <cell r="H12" t="str">
            <v>CARARBOL</v>
          </cell>
          <cell r="I12">
            <v>46093</v>
          </cell>
        </row>
        <row r="13">
          <cell r="A13">
            <v>16</v>
          </cell>
          <cell r="B13" t="str">
            <v>ANTIOQUIA</v>
          </cell>
          <cell r="C13" t="str">
            <v>Natalia Zuluaga Rodriguez</v>
          </cell>
          <cell r="D13">
            <v>16</v>
          </cell>
          <cell r="E13" t="str">
            <v>AEROPUERTO OLAYA</v>
          </cell>
          <cell r="F13" t="str">
            <v>Si</v>
          </cell>
          <cell r="G13" t="str">
            <v>No</v>
          </cell>
          <cell r="H13" t="str">
            <v>DIFGARCI</v>
          </cell>
          <cell r="I13">
            <v>46093</v>
          </cell>
        </row>
        <row r="14">
          <cell r="A14">
            <v>17</v>
          </cell>
          <cell r="B14" t="str">
            <v>ANTIOQUIA</v>
          </cell>
          <cell r="C14" t="str">
            <v>Sandra Milena Cardona Franco</v>
          </cell>
          <cell r="D14">
            <v>17</v>
          </cell>
          <cell r="E14" t="str">
            <v>SABANETA</v>
          </cell>
          <cell r="F14" t="str">
            <v>Si</v>
          </cell>
          <cell r="G14" t="str">
            <v>Si</v>
          </cell>
          <cell r="H14" t="str">
            <v>SMONTOYA</v>
          </cell>
          <cell r="I14">
            <v>46091</v>
          </cell>
        </row>
        <row r="15">
          <cell r="A15">
            <v>19</v>
          </cell>
          <cell r="B15" t="str">
            <v>ANTIOQUIA</v>
          </cell>
          <cell r="C15" t="str">
            <v>Sandra Milena Cardona Franco</v>
          </cell>
          <cell r="D15">
            <v>19</v>
          </cell>
          <cell r="E15" t="str">
            <v>ENVIGADO</v>
          </cell>
          <cell r="F15" t="str">
            <v>Si</v>
          </cell>
          <cell r="G15" t="str">
            <v>No</v>
          </cell>
          <cell r="H15" t="str">
            <v>NILSIERR</v>
          </cell>
          <cell r="I15">
            <v>46092</v>
          </cell>
        </row>
        <row r="16">
          <cell r="A16">
            <v>20</v>
          </cell>
          <cell r="B16" t="str">
            <v>CENTRO</v>
          </cell>
          <cell r="C16" t="str">
            <v>Yenis Meybi Fernandez Marin</v>
          </cell>
          <cell r="D16">
            <v>20</v>
          </cell>
          <cell r="E16" t="str">
            <v>BUCARAMANGA</v>
          </cell>
          <cell r="F16" t="str">
            <v>Si</v>
          </cell>
          <cell r="G16" t="str">
            <v>Si</v>
          </cell>
          <cell r="H16" t="str">
            <v>TMARCELA</v>
          </cell>
          <cell r="I16">
            <v>46093</v>
          </cell>
        </row>
        <row r="17">
          <cell r="A17">
            <v>21</v>
          </cell>
          <cell r="B17" t="str">
            <v>ANTIOQUIA</v>
          </cell>
          <cell r="C17" t="str">
            <v>Juan Fernando Alzate Valencia</v>
          </cell>
          <cell r="D17">
            <v>21</v>
          </cell>
          <cell r="E17" t="str">
            <v>ALMACENTRO</v>
          </cell>
          <cell r="F17" t="str">
            <v>Si</v>
          </cell>
          <cell r="G17" t="str">
            <v>No</v>
          </cell>
          <cell r="H17" t="str">
            <v>HUCARDEN</v>
          </cell>
          <cell r="I17">
            <v>46099</v>
          </cell>
        </row>
        <row r="18">
          <cell r="A18">
            <v>23</v>
          </cell>
          <cell r="B18" t="str">
            <v>ANTIOQUIA</v>
          </cell>
          <cell r="C18" t="str">
            <v>Juan Fernando Alzate Valencia</v>
          </cell>
          <cell r="D18">
            <v>23</v>
          </cell>
          <cell r="E18" t="str">
            <v>LA CEJA</v>
          </cell>
          <cell r="F18" t="str">
            <v>Si</v>
          </cell>
          <cell r="G18" t="str">
            <v>Si</v>
          </cell>
          <cell r="H18" t="str">
            <v>DGOMEZ</v>
          </cell>
          <cell r="I18">
            <v>46099</v>
          </cell>
        </row>
        <row r="19">
          <cell r="A19">
            <v>24</v>
          </cell>
          <cell r="B19" t="str">
            <v>ANTIOQUIA</v>
          </cell>
          <cell r="C19" t="str">
            <v>Juan Fernando Alzate Valencia</v>
          </cell>
          <cell r="D19">
            <v>24</v>
          </cell>
          <cell r="E19" t="str">
            <v>RIONEGRO</v>
          </cell>
          <cell r="F19" t="str">
            <v>Si</v>
          </cell>
          <cell r="G19" t="str">
            <v>No</v>
          </cell>
          <cell r="H19" t="str">
            <v>GCARMONA</v>
          </cell>
          <cell r="I19">
            <v>46093</v>
          </cell>
        </row>
        <row r="20">
          <cell r="A20">
            <v>29</v>
          </cell>
          <cell r="B20" t="str">
            <v>ANTIOQUIA</v>
          </cell>
          <cell r="C20" t="str">
            <v>Natalia Zuluaga Rodriguez</v>
          </cell>
          <cell r="D20">
            <v>29</v>
          </cell>
          <cell r="E20" t="str">
            <v>OVIEDO</v>
          </cell>
          <cell r="F20" t="str">
            <v>Si</v>
          </cell>
          <cell r="G20" t="str">
            <v>Si</v>
          </cell>
          <cell r="H20" t="str">
            <v>LLOAIZA</v>
          </cell>
          <cell r="I20">
            <v>46093</v>
          </cell>
        </row>
        <row r="21">
          <cell r="A21">
            <v>30</v>
          </cell>
          <cell r="B21" t="str">
            <v>BOGOTA Y CUNDINAMARCA</v>
          </cell>
          <cell r="C21" t="str">
            <v>Victoria Eugenia Guaqueta Murcia</v>
          </cell>
          <cell r="D21">
            <v>30</v>
          </cell>
          <cell r="E21" t="str">
            <v>CARRERA OCTAVA</v>
          </cell>
          <cell r="F21" t="str">
            <v>Si</v>
          </cell>
          <cell r="G21" t="str">
            <v>Si</v>
          </cell>
          <cell r="H21" t="str">
            <v>SHOYOS</v>
          </cell>
          <cell r="I21">
            <v>46099</v>
          </cell>
        </row>
        <row r="22">
          <cell r="A22">
            <v>31</v>
          </cell>
          <cell r="B22" t="str">
            <v>BOGOTA Y CUNDINAMARCA</v>
          </cell>
          <cell r="C22" t="str">
            <v>Victoria Eugenia Guaqueta Murcia</v>
          </cell>
          <cell r="D22">
            <v>31</v>
          </cell>
          <cell r="E22" t="str">
            <v>CENTRO INTERNACIONAL</v>
          </cell>
          <cell r="F22" t="str">
            <v>Si</v>
          </cell>
          <cell r="G22" t="str">
            <v>Si</v>
          </cell>
          <cell r="H22" t="str">
            <v>JCCRIST</v>
          </cell>
          <cell r="I22">
            <v>46098</v>
          </cell>
        </row>
        <row r="23">
          <cell r="A23">
            <v>32</v>
          </cell>
          <cell r="B23" t="str">
            <v>BOGOTA Y CUNDINAMARCA</v>
          </cell>
          <cell r="C23" t="str">
            <v>Kirsys Nadyra Robelto Sanchez</v>
          </cell>
          <cell r="D23">
            <v>32</v>
          </cell>
          <cell r="E23" t="str">
            <v>ANTIGUO COUNTRY</v>
          </cell>
          <cell r="F23" t="str">
            <v>Si</v>
          </cell>
          <cell r="G23" t="str">
            <v>No</v>
          </cell>
          <cell r="H23" t="str">
            <v>SANDGARC</v>
          </cell>
          <cell r="I23">
            <v>46093</v>
          </cell>
        </row>
        <row r="24">
          <cell r="A24">
            <v>33</v>
          </cell>
          <cell r="B24" t="str">
            <v>BOGOTA Y CUNDINAMARCA</v>
          </cell>
          <cell r="C24" t="str">
            <v>Kirsys Nadyra Robelto Sanchez</v>
          </cell>
          <cell r="D24">
            <v>33</v>
          </cell>
          <cell r="E24" t="str">
            <v>POLO CLUB</v>
          </cell>
          <cell r="F24" t="str">
            <v>Si</v>
          </cell>
          <cell r="G24" t="str">
            <v>Si</v>
          </cell>
          <cell r="H24" t="str">
            <v>ANRODRI</v>
          </cell>
          <cell r="I24">
            <v>46086</v>
          </cell>
          <cell r="J24" t="str">
            <v>2 Días</v>
          </cell>
        </row>
        <row r="25">
          <cell r="A25">
            <v>35</v>
          </cell>
          <cell r="B25" t="str">
            <v>BOGOTA Y CUNDINAMARCA</v>
          </cell>
          <cell r="C25" t="str">
            <v>Victoria Eugenia Guaqueta Murcia</v>
          </cell>
          <cell r="D25">
            <v>35</v>
          </cell>
          <cell r="E25" t="str">
            <v>BARRIO 7 DE AGOSTO</v>
          </cell>
          <cell r="F25" t="str">
            <v>Si</v>
          </cell>
          <cell r="G25" t="str">
            <v>No</v>
          </cell>
          <cell r="H25" t="str">
            <v>ADRIMART</v>
          </cell>
          <cell r="I25">
            <v>46091</v>
          </cell>
        </row>
        <row r="26">
          <cell r="A26">
            <v>37</v>
          </cell>
          <cell r="B26" t="str">
            <v>BOGOTA Y CUNDINAMARCA</v>
          </cell>
          <cell r="C26" t="str">
            <v>Victoria Eugenia Guaqueta Murcia</v>
          </cell>
          <cell r="D26">
            <v>37</v>
          </cell>
          <cell r="E26" t="str">
            <v>CALLE ONCE</v>
          </cell>
          <cell r="F26" t="str">
            <v>Si</v>
          </cell>
          <cell r="G26" t="str">
            <v>Si</v>
          </cell>
          <cell r="H26" t="str">
            <v>CRALFONS</v>
          </cell>
          <cell r="I26">
            <v>46093</v>
          </cell>
        </row>
        <row r="27">
          <cell r="A27">
            <v>38</v>
          </cell>
          <cell r="B27" t="str">
            <v>CENTRO</v>
          </cell>
          <cell r="C27" t="str">
            <v>Yury Yaquelin Daza Congo</v>
          </cell>
          <cell r="D27">
            <v>38</v>
          </cell>
          <cell r="E27" t="str">
            <v>PAIPA</v>
          </cell>
          <cell r="F27" t="str">
            <v>Si</v>
          </cell>
          <cell r="G27" t="str">
            <v>No</v>
          </cell>
          <cell r="H27" t="str">
            <v>WALVARAD</v>
          </cell>
          <cell r="I27">
            <v>46086</v>
          </cell>
        </row>
        <row r="28">
          <cell r="A28">
            <v>40</v>
          </cell>
          <cell r="B28" t="str">
            <v>BOGOTA Y CUNDINAMARCA</v>
          </cell>
          <cell r="C28" t="str">
            <v>Kirsys Nadyra Robelto Sanchez</v>
          </cell>
          <cell r="D28">
            <v>40</v>
          </cell>
          <cell r="E28" t="str">
            <v>CENTRO 93</v>
          </cell>
          <cell r="F28" t="str">
            <v>Si</v>
          </cell>
          <cell r="G28" t="str">
            <v>No</v>
          </cell>
          <cell r="H28" t="str">
            <v>EPIRAGAU</v>
          </cell>
          <cell r="I28">
            <v>46091</v>
          </cell>
        </row>
        <row r="29">
          <cell r="A29">
            <v>41</v>
          </cell>
          <cell r="B29" t="str">
            <v>BOGOTA Y CUNDINAMARCA</v>
          </cell>
          <cell r="C29" t="str">
            <v>Victoria Eugenia Guaqueta Murcia</v>
          </cell>
          <cell r="D29">
            <v>41</v>
          </cell>
          <cell r="E29" t="str">
            <v>PLAZA ESPANA</v>
          </cell>
          <cell r="F29" t="str">
            <v>Si</v>
          </cell>
          <cell r="G29" t="str">
            <v>No</v>
          </cell>
          <cell r="H29" t="str">
            <v>SPANCHA</v>
          </cell>
          <cell r="I29">
            <v>46091</v>
          </cell>
        </row>
        <row r="30">
          <cell r="A30">
            <v>42</v>
          </cell>
          <cell r="B30" t="str">
            <v>BOGOTA Y CUNDINAMARCA</v>
          </cell>
          <cell r="C30" t="str">
            <v>Fabio Orlando Bosa Poveda</v>
          </cell>
          <cell r="D30">
            <v>42</v>
          </cell>
          <cell r="E30" t="str">
            <v>PUENTE LARGO</v>
          </cell>
          <cell r="F30" t="str">
            <v>Si</v>
          </cell>
          <cell r="G30" t="str">
            <v>No</v>
          </cell>
          <cell r="H30" t="str">
            <v>ALBAGONZ</v>
          </cell>
          <cell r="I30">
            <v>46099</v>
          </cell>
        </row>
        <row r="31">
          <cell r="A31">
            <v>43</v>
          </cell>
          <cell r="B31" t="str">
            <v>BOGOTA Y CUNDINAMARCA</v>
          </cell>
          <cell r="C31" t="str">
            <v>Samuel Alexander Mendez Suarez</v>
          </cell>
          <cell r="D31">
            <v>43</v>
          </cell>
          <cell r="E31" t="str">
            <v>PUENTE ARANDA</v>
          </cell>
          <cell r="F31" t="str">
            <v>Si</v>
          </cell>
          <cell r="G31" t="str">
            <v>Si</v>
          </cell>
          <cell r="H31" t="str">
            <v>MOBAUTIS</v>
          </cell>
          <cell r="I31">
            <v>46093</v>
          </cell>
          <cell r="J31" t="str">
            <v>2 Días</v>
          </cell>
        </row>
        <row r="32">
          <cell r="A32">
            <v>44</v>
          </cell>
          <cell r="B32" t="str">
            <v>CENTRO</v>
          </cell>
          <cell r="C32" t="str">
            <v>Frank William Castillo Leal</v>
          </cell>
          <cell r="D32">
            <v>44</v>
          </cell>
          <cell r="E32" t="str">
            <v>PIEDECUESTA</v>
          </cell>
          <cell r="F32" t="str">
            <v>Si</v>
          </cell>
          <cell r="G32" t="str">
            <v>Si</v>
          </cell>
          <cell r="H32" t="str">
            <v>SCARVAJA</v>
          </cell>
          <cell r="I32">
            <v>46086</v>
          </cell>
        </row>
        <row r="33">
          <cell r="A33">
            <v>45</v>
          </cell>
          <cell r="B33" t="str">
            <v>BOGOTA Y CUNDINAMARCA</v>
          </cell>
          <cell r="C33" t="str">
            <v>Samuel Alexander Mendez Suarez</v>
          </cell>
          <cell r="D33">
            <v>45</v>
          </cell>
          <cell r="E33" t="str">
            <v>CIUDAD KENNEDY</v>
          </cell>
          <cell r="F33" t="str">
            <v>Si</v>
          </cell>
          <cell r="G33" t="str">
            <v>Si</v>
          </cell>
          <cell r="H33" t="str">
            <v>MCHAPARR</v>
          </cell>
          <cell r="I33">
            <v>46093</v>
          </cell>
        </row>
        <row r="34">
          <cell r="A34">
            <v>48</v>
          </cell>
          <cell r="B34" t="str">
            <v>BOGOTA Y CUNDINAMARCA</v>
          </cell>
          <cell r="C34" t="str">
            <v>Kirsys Nadyra Robelto Sanchez</v>
          </cell>
          <cell r="D34">
            <v>48</v>
          </cell>
          <cell r="E34" t="str">
            <v>AVENIDA CHILE</v>
          </cell>
          <cell r="F34" t="str">
            <v>Si</v>
          </cell>
          <cell r="G34" t="str">
            <v>No</v>
          </cell>
          <cell r="H34" t="str">
            <v>APDIAZ</v>
          </cell>
          <cell r="I34">
            <v>46099</v>
          </cell>
        </row>
        <row r="35">
          <cell r="A35">
            <v>49</v>
          </cell>
          <cell r="B35" t="str">
            <v>BOGOTA Y CUNDINAMARCA</v>
          </cell>
          <cell r="C35" t="str">
            <v>Fabio Orlando Bosa Poveda</v>
          </cell>
          <cell r="D35">
            <v>49</v>
          </cell>
          <cell r="E35" t="str">
            <v>LAS FERIAS</v>
          </cell>
          <cell r="F35" t="str">
            <v>Si</v>
          </cell>
          <cell r="G35" t="str">
            <v>Si</v>
          </cell>
          <cell r="H35" t="str">
            <v>MOLIVERO</v>
          </cell>
          <cell r="I35">
            <v>46086</v>
          </cell>
        </row>
        <row r="36">
          <cell r="A36">
            <v>52</v>
          </cell>
          <cell r="B36" t="str">
            <v>BOGOTA Y CUNDINAMARCA</v>
          </cell>
          <cell r="C36" t="str">
            <v>Camilo Andres Mila Jimenez</v>
          </cell>
          <cell r="D36">
            <v>52</v>
          </cell>
          <cell r="E36" t="str">
            <v>CALLE 140</v>
          </cell>
          <cell r="F36" t="str">
            <v>Si</v>
          </cell>
          <cell r="G36" t="str">
            <v>Si</v>
          </cell>
          <cell r="H36" t="str">
            <v>OSIERRA</v>
          </cell>
          <cell r="I36">
            <v>46093</v>
          </cell>
        </row>
        <row r="37">
          <cell r="A37">
            <v>53</v>
          </cell>
          <cell r="B37" t="str">
            <v>BOGOTA Y CUNDINAMARCA</v>
          </cell>
          <cell r="C37" t="str">
            <v>Victoria Eugenia Guaqueta Murcia</v>
          </cell>
          <cell r="D37">
            <v>53</v>
          </cell>
          <cell r="E37" t="str">
            <v>CARRERA DECIMA</v>
          </cell>
          <cell r="F37" t="str">
            <v>Si</v>
          </cell>
          <cell r="G37" t="str">
            <v>No</v>
          </cell>
          <cell r="H37" t="str">
            <v>IMARTINE</v>
          </cell>
          <cell r="I37">
            <v>46099</v>
          </cell>
          <cell r="J37" t="str">
            <v>2 Días</v>
          </cell>
        </row>
        <row r="38">
          <cell r="A38">
            <v>54</v>
          </cell>
          <cell r="B38" t="str">
            <v>BOGOTA Y CUNDINAMARCA</v>
          </cell>
          <cell r="C38" t="str">
            <v>Camilo Andres Mila Jimenez</v>
          </cell>
          <cell r="D38">
            <v>54</v>
          </cell>
          <cell r="E38" t="str">
            <v>CALLE 122</v>
          </cell>
          <cell r="F38" t="str">
            <v>Si</v>
          </cell>
          <cell r="G38" t="str">
            <v>No</v>
          </cell>
          <cell r="H38" t="str">
            <v>LMRAYRAN</v>
          </cell>
          <cell r="I38">
            <v>46086</v>
          </cell>
        </row>
        <row r="39">
          <cell r="A39">
            <v>57</v>
          </cell>
          <cell r="B39" t="str">
            <v>CENTRO</v>
          </cell>
          <cell r="C39" t="str">
            <v>Juan Felipe Russi Gamboa</v>
          </cell>
          <cell r="D39">
            <v>57</v>
          </cell>
          <cell r="E39" t="str">
            <v>VILLAVICENCIO</v>
          </cell>
          <cell r="F39" t="str">
            <v>Si</v>
          </cell>
          <cell r="G39" t="str">
            <v>No</v>
          </cell>
          <cell r="H39" t="str">
            <v>JHORINCO</v>
          </cell>
          <cell r="I39">
            <v>46099</v>
          </cell>
          <cell r="J39" t="str">
            <v>2 Días</v>
          </cell>
        </row>
        <row r="40">
          <cell r="A40">
            <v>59</v>
          </cell>
          <cell r="B40" t="str">
            <v>SUR</v>
          </cell>
          <cell r="C40" t="str">
            <v>Sergio Arias Pelaez</v>
          </cell>
          <cell r="D40">
            <v>59</v>
          </cell>
          <cell r="E40" t="str">
            <v>AVENIDA SANTANDER</v>
          </cell>
          <cell r="F40" t="str">
            <v>Si</v>
          </cell>
          <cell r="G40" t="str">
            <v>No</v>
          </cell>
          <cell r="H40" t="str">
            <v>CVALASQU</v>
          </cell>
          <cell r="I40">
            <v>46100</v>
          </cell>
        </row>
        <row r="41">
          <cell r="A41">
            <v>60</v>
          </cell>
          <cell r="B41" t="str">
            <v>SUR</v>
          </cell>
          <cell r="C41" t="str">
            <v>Hector Mario Rendon Ocampo</v>
          </cell>
          <cell r="D41">
            <v>60</v>
          </cell>
          <cell r="E41" t="str">
            <v>CALI</v>
          </cell>
          <cell r="F41" t="str">
            <v>Si</v>
          </cell>
          <cell r="G41" t="str">
            <v>Si</v>
          </cell>
          <cell r="H41" t="str">
            <v>MRAMIR</v>
          </cell>
          <cell r="I41">
            <v>46086</v>
          </cell>
          <cell r="J41" t="str">
            <v>2 Días</v>
          </cell>
        </row>
        <row r="42">
          <cell r="A42">
            <v>61</v>
          </cell>
          <cell r="B42" t="str">
            <v>SUR</v>
          </cell>
          <cell r="C42" t="str">
            <v>Hector Mario Rendon Ocampo</v>
          </cell>
          <cell r="D42">
            <v>61</v>
          </cell>
          <cell r="E42" t="str">
            <v>CENTRO COMERCIAL LA ESTACION CALI</v>
          </cell>
          <cell r="F42" t="str">
            <v>Si</v>
          </cell>
          <cell r="G42" t="str">
            <v>No</v>
          </cell>
          <cell r="H42" t="str">
            <v>MOCANO</v>
          </cell>
          <cell r="I42">
            <v>46091</v>
          </cell>
        </row>
        <row r="43">
          <cell r="A43">
            <v>62</v>
          </cell>
          <cell r="B43" t="str">
            <v>SUR</v>
          </cell>
          <cell r="C43" t="str">
            <v>Hector Mario Rendon Ocampo</v>
          </cell>
          <cell r="D43">
            <v>62</v>
          </cell>
          <cell r="E43" t="str">
            <v>SAN NICOLAS CALI</v>
          </cell>
          <cell r="F43" t="str">
            <v>Si</v>
          </cell>
          <cell r="G43" t="str">
            <v>No</v>
          </cell>
          <cell r="H43" t="str">
            <v>CCZAPATA</v>
          </cell>
          <cell r="I43">
            <v>46092</v>
          </cell>
        </row>
        <row r="44">
          <cell r="A44">
            <v>64</v>
          </cell>
          <cell r="B44" t="str">
            <v>SUR</v>
          </cell>
          <cell r="C44" t="str">
            <v>Hector Mario Rendon Ocampo</v>
          </cell>
          <cell r="D44">
            <v>64</v>
          </cell>
          <cell r="E44" t="str">
            <v>VIPASA</v>
          </cell>
          <cell r="F44" t="str">
            <v>Si</v>
          </cell>
          <cell r="G44" t="str">
            <v>No</v>
          </cell>
          <cell r="H44" t="str">
            <v>EMONTOYA</v>
          </cell>
          <cell r="I44">
            <v>46098</v>
          </cell>
        </row>
        <row r="45">
          <cell r="A45">
            <v>65</v>
          </cell>
          <cell r="B45" t="str">
            <v>SUR</v>
          </cell>
          <cell r="C45" t="str">
            <v>Norma Constanza Barrera Pabon</v>
          </cell>
          <cell r="D45">
            <v>65</v>
          </cell>
          <cell r="E45" t="str">
            <v>EL BORDO CAUCA</v>
          </cell>
          <cell r="F45" t="str">
            <v>Si</v>
          </cell>
          <cell r="G45" t="str">
            <v>Si</v>
          </cell>
          <cell r="H45" t="str">
            <v>ANCIFU</v>
          </cell>
          <cell r="I45">
            <v>46098</v>
          </cell>
        </row>
        <row r="46">
          <cell r="A46">
            <v>66</v>
          </cell>
          <cell r="B46" t="str">
            <v>SUR</v>
          </cell>
          <cell r="C46" t="str">
            <v>Yamileth Abella Bonilla</v>
          </cell>
          <cell r="D46">
            <v>66</v>
          </cell>
          <cell r="E46" t="str">
            <v>PALMIRA</v>
          </cell>
          <cell r="F46" t="str">
            <v>Si</v>
          </cell>
          <cell r="G46" t="str">
            <v>No</v>
          </cell>
          <cell r="H46" t="str">
            <v>LAMQUINT</v>
          </cell>
          <cell r="I46">
            <v>46093</v>
          </cell>
        </row>
        <row r="47">
          <cell r="A47">
            <v>68</v>
          </cell>
          <cell r="B47" t="str">
            <v>CENTRO</v>
          </cell>
          <cell r="C47" t="str">
            <v>Edwin Andres Lievano Orjuela</v>
          </cell>
          <cell r="D47">
            <v>68</v>
          </cell>
          <cell r="E47" t="str">
            <v>IBAGUE</v>
          </cell>
          <cell r="F47" t="str">
            <v>Si</v>
          </cell>
          <cell r="G47" t="str">
            <v>No</v>
          </cell>
          <cell r="H47" t="str">
            <v>REGUZMAN</v>
          </cell>
          <cell r="I47">
            <v>46100</v>
          </cell>
        </row>
        <row r="48">
          <cell r="A48">
            <v>69</v>
          </cell>
          <cell r="B48" t="str">
            <v>SUR</v>
          </cell>
          <cell r="C48" t="str">
            <v>John Didier Villegas Martinez</v>
          </cell>
          <cell r="D48">
            <v>69</v>
          </cell>
          <cell r="E48" t="str">
            <v>ARMENIA CENTRO</v>
          </cell>
          <cell r="F48" t="str">
            <v>Si</v>
          </cell>
          <cell r="G48" t="str">
            <v>No</v>
          </cell>
          <cell r="H48" t="str">
            <v>MAESCORC</v>
          </cell>
          <cell r="I48">
            <v>46086</v>
          </cell>
        </row>
        <row r="49">
          <cell r="A49">
            <v>70</v>
          </cell>
          <cell r="B49" t="str">
            <v>SUR</v>
          </cell>
          <cell r="C49" t="str">
            <v>Sergio Arias Pelaez</v>
          </cell>
          <cell r="D49">
            <v>70</v>
          </cell>
          <cell r="E49" t="str">
            <v>MANIZALES</v>
          </cell>
          <cell r="F49" t="str">
            <v>Si</v>
          </cell>
          <cell r="G49" t="str">
            <v>No</v>
          </cell>
          <cell r="H49" t="str">
            <v>CARLGOME</v>
          </cell>
          <cell r="I49">
            <v>46091</v>
          </cell>
        </row>
        <row r="50">
          <cell r="A50">
            <v>73</v>
          </cell>
          <cell r="B50" t="str">
            <v>SUR</v>
          </cell>
          <cell r="C50" t="str">
            <v>Sergio Arias Pelaez</v>
          </cell>
          <cell r="D50">
            <v>73</v>
          </cell>
          <cell r="E50" t="str">
            <v>PEREIRA</v>
          </cell>
          <cell r="F50" t="str">
            <v>Si</v>
          </cell>
          <cell r="G50" t="str">
            <v>No</v>
          </cell>
          <cell r="H50" t="str">
            <v>LUFSANCH</v>
          </cell>
          <cell r="I50">
            <v>46100</v>
          </cell>
        </row>
        <row r="51">
          <cell r="A51">
            <v>74</v>
          </cell>
          <cell r="B51" t="str">
            <v>SUR</v>
          </cell>
          <cell r="C51" t="str">
            <v>Norma Constanza Barrera Pabon</v>
          </cell>
          <cell r="D51">
            <v>74</v>
          </cell>
          <cell r="E51" t="str">
            <v>PASTO</v>
          </cell>
          <cell r="F51" t="str">
            <v>Si</v>
          </cell>
          <cell r="G51" t="str">
            <v>No</v>
          </cell>
          <cell r="H51" t="str">
            <v>JHCISNE</v>
          </cell>
          <cell r="I51">
            <v>46093</v>
          </cell>
        </row>
        <row r="52">
          <cell r="A52">
            <v>76</v>
          </cell>
          <cell r="B52" t="str">
            <v>CENTRO</v>
          </cell>
          <cell r="C52" t="str">
            <v>Astrid Alexandra Quintero Arciniegas</v>
          </cell>
          <cell r="D52">
            <v>76</v>
          </cell>
          <cell r="E52" t="str">
            <v>NEIVA</v>
          </cell>
          <cell r="F52" t="str">
            <v>Si</v>
          </cell>
          <cell r="G52" t="str">
            <v>Si</v>
          </cell>
          <cell r="H52" t="str">
            <v>YENGONZA</v>
          </cell>
          <cell r="I52">
            <v>46093</v>
          </cell>
        </row>
        <row r="53">
          <cell r="A53">
            <v>77</v>
          </cell>
          <cell r="B53" t="str">
            <v>SUR</v>
          </cell>
          <cell r="C53" t="str">
            <v>Hector Mario Rendon Ocampo</v>
          </cell>
          <cell r="D53">
            <v>77</v>
          </cell>
          <cell r="E53" t="str">
            <v>TEQUENDAMA</v>
          </cell>
          <cell r="F53" t="str">
            <v>Si</v>
          </cell>
          <cell r="G53" t="str">
            <v>Si</v>
          </cell>
          <cell r="H53" t="str">
            <v>LIPATINO</v>
          </cell>
          <cell r="I53">
            <v>46092</v>
          </cell>
          <cell r="J53" t="str">
            <v>2 Días</v>
          </cell>
        </row>
        <row r="54">
          <cell r="A54">
            <v>78</v>
          </cell>
          <cell r="B54" t="str">
            <v>CENTRO</v>
          </cell>
          <cell r="C54" t="str">
            <v>Yenis Meybi Fernandez Marin</v>
          </cell>
          <cell r="D54">
            <v>78</v>
          </cell>
          <cell r="E54" t="str">
            <v>EL CACIQUE</v>
          </cell>
          <cell r="F54" t="str">
            <v>Si</v>
          </cell>
          <cell r="G54" t="str">
            <v>Si</v>
          </cell>
          <cell r="H54" t="str">
            <v>PCALDERO</v>
          </cell>
          <cell r="I54">
            <v>46099</v>
          </cell>
        </row>
        <row r="55">
          <cell r="A55">
            <v>79</v>
          </cell>
          <cell r="B55" t="str">
            <v>CENTRO</v>
          </cell>
          <cell r="C55" t="str">
            <v>Edwin Andres Lievano Orjuela</v>
          </cell>
          <cell r="D55">
            <v>79</v>
          </cell>
          <cell r="E55" t="str">
            <v>LA QUINTA</v>
          </cell>
          <cell r="F55" t="str">
            <v>Si</v>
          </cell>
          <cell r="G55" t="str">
            <v>Si</v>
          </cell>
          <cell r="H55" t="str">
            <v>CDOMINGU</v>
          </cell>
          <cell r="I55">
            <v>46086</v>
          </cell>
        </row>
        <row r="56">
          <cell r="A56">
            <v>81</v>
          </cell>
          <cell r="B56" t="str">
            <v>CARIBE</v>
          </cell>
          <cell r="C56" t="str">
            <v>German Alcides Hernandez Vivero</v>
          </cell>
          <cell r="D56">
            <v>81</v>
          </cell>
          <cell r="E56" t="str">
            <v>AVENIDA KENNEDY</v>
          </cell>
          <cell r="F56" t="str">
            <v>Si</v>
          </cell>
          <cell r="G56" t="str">
            <v>No</v>
          </cell>
          <cell r="H56" t="str">
            <v>JAMESA</v>
          </cell>
          <cell r="I56">
            <v>46091</v>
          </cell>
        </row>
        <row r="57">
          <cell r="A57">
            <v>82</v>
          </cell>
          <cell r="B57" t="str">
            <v>CARIBE</v>
          </cell>
          <cell r="C57" t="str">
            <v>Magaly Del Socorro Cabrales Isaac</v>
          </cell>
          <cell r="D57">
            <v>82</v>
          </cell>
          <cell r="E57" t="str">
            <v>LAS PENITAS</v>
          </cell>
          <cell r="F57" t="str">
            <v>Si</v>
          </cell>
          <cell r="G57" t="str">
            <v>Si</v>
          </cell>
          <cell r="H57" t="str">
            <v>ANTEJADA</v>
          </cell>
          <cell r="I57">
            <v>46099</v>
          </cell>
        </row>
        <row r="58">
          <cell r="A58">
            <v>83</v>
          </cell>
          <cell r="B58" t="str">
            <v>CARIBE</v>
          </cell>
          <cell r="C58" t="str">
            <v>German Alcides Hernandez Vivero</v>
          </cell>
          <cell r="D58">
            <v>83</v>
          </cell>
          <cell r="E58" t="str">
            <v>MIRAMAR</v>
          </cell>
          <cell r="F58" t="str">
            <v>Si</v>
          </cell>
          <cell r="G58" t="str">
            <v>Si</v>
          </cell>
          <cell r="H58" t="str">
            <v>CAFRANCO</v>
          </cell>
          <cell r="I58">
            <v>46091</v>
          </cell>
        </row>
        <row r="59">
          <cell r="A59">
            <v>84</v>
          </cell>
          <cell r="B59" t="str">
            <v>BOGOTA Y CUNDINAMARCA</v>
          </cell>
          <cell r="C59" t="str">
            <v>Camilo Andres Mila Jimenez</v>
          </cell>
          <cell r="D59">
            <v>84</v>
          </cell>
          <cell r="E59" t="str">
            <v>BULEVAR</v>
          </cell>
          <cell r="F59" t="str">
            <v>Si</v>
          </cell>
          <cell r="G59" t="str">
            <v>No</v>
          </cell>
          <cell r="H59" t="str">
            <v>ALLGARCI</v>
          </cell>
          <cell r="I59">
            <v>46098</v>
          </cell>
        </row>
        <row r="60">
          <cell r="A60">
            <v>85</v>
          </cell>
          <cell r="B60" t="str">
            <v>CARIBE</v>
          </cell>
          <cell r="C60" t="str">
            <v>Didi Alejandra Pareja Medina</v>
          </cell>
          <cell r="D60">
            <v>85</v>
          </cell>
          <cell r="E60" t="str">
            <v>CENTRO COMERCIAL SERREZUELA</v>
          </cell>
          <cell r="F60" t="str">
            <v>Si</v>
          </cell>
          <cell r="G60" t="str">
            <v>No</v>
          </cell>
          <cell r="H60" t="str">
            <v>YETORRES</v>
          </cell>
          <cell r="I60">
            <v>46100</v>
          </cell>
        </row>
        <row r="61">
          <cell r="A61">
            <v>88</v>
          </cell>
          <cell r="B61" t="str">
            <v>CENTRO</v>
          </cell>
          <cell r="C61" t="str">
            <v>Adriana Maritza Angulo Mora</v>
          </cell>
          <cell r="D61">
            <v>88</v>
          </cell>
          <cell r="E61" t="str">
            <v>CUCUTA</v>
          </cell>
          <cell r="F61" t="str">
            <v>Si</v>
          </cell>
          <cell r="G61" t="str">
            <v>No</v>
          </cell>
          <cell r="H61" t="str">
            <v>DRAREVAL</v>
          </cell>
          <cell r="I61">
            <v>46093</v>
          </cell>
        </row>
        <row r="62">
          <cell r="A62">
            <v>90</v>
          </cell>
          <cell r="B62" t="str">
            <v>CENTRO</v>
          </cell>
          <cell r="C62" t="str">
            <v>Yenis Meybi Fernandez Marin</v>
          </cell>
          <cell r="D62">
            <v>90</v>
          </cell>
          <cell r="E62" t="str">
            <v>MEGAMALL</v>
          </cell>
          <cell r="F62" t="str">
            <v>Si</v>
          </cell>
          <cell r="G62" t="str">
            <v>Si</v>
          </cell>
          <cell r="H62" t="str">
            <v>JUSLOPEZ</v>
          </cell>
          <cell r="I62">
            <v>46099</v>
          </cell>
        </row>
        <row r="63">
          <cell r="A63">
            <v>91</v>
          </cell>
          <cell r="B63" t="str">
            <v>CARIBE</v>
          </cell>
          <cell r="C63" t="str">
            <v>Magaly Del Socorro Cabrales Isaac</v>
          </cell>
          <cell r="D63">
            <v>91</v>
          </cell>
          <cell r="E63" t="str">
            <v>MONTERIA</v>
          </cell>
          <cell r="F63" t="str">
            <v>Si</v>
          </cell>
          <cell r="G63" t="str">
            <v>No</v>
          </cell>
          <cell r="H63" t="str">
            <v>DRDIAZ</v>
          </cell>
          <cell r="I63">
            <v>46092</v>
          </cell>
          <cell r="J63" t="str">
            <v>2 Días</v>
          </cell>
        </row>
        <row r="64">
          <cell r="A64">
            <v>93</v>
          </cell>
          <cell r="B64" t="str">
            <v>CARIBE</v>
          </cell>
          <cell r="C64" t="str">
            <v>Magaly Del Socorro Cabrales Isaac</v>
          </cell>
          <cell r="D64">
            <v>93</v>
          </cell>
          <cell r="E64" t="str">
            <v>SAHAGUN</v>
          </cell>
          <cell r="F64" t="str">
            <v>Si</v>
          </cell>
          <cell r="G64" t="str">
            <v>No</v>
          </cell>
          <cell r="H64" t="str">
            <v>LCHAVEZ</v>
          </cell>
          <cell r="I64">
            <v>46099</v>
          </cell>
        </row>
        <row r="65">
          <cell r="A65">
            <v>94</v>
          </cell>
          <cell r="B65" t="str">
            <v>BOGOTA Y CUNDINAMARCA</v>
          </cell>
          <cell r="C65" t="str">
            <v>Samuel Alexander Mendez Suarez</v>
          </cell>
          <cell r="D65">
            <v>94</v>
          </cell>
          <cell r="E65" t="str">
            <v>ALTAVISTA USME</v>
          </cell>
          <cell r="F65" t="str">
            <v>Si</v>
          </cell>
          <cell r="G65" t="str">
            <v>No</v>
          </cell>
          <cell r="H65" t="str">
            <v>YPMARTIN</v>
          </cell>
          <cell r="I65">
            <v>46092</v>
          </cell>
        </row>
        <row r="66">
          <cell r="A66">
            <v>96</v>
          </cell>
          <cell r="B66" t="str">
            <v>CARIBE</v>
          </cell>
          <cell r="C66" t="str">
            <v>Alicia Minerva Fontalvo Reales</v>
          </cell>
          <cell r="D66">
            <v>96</v>
          </cell>
          <cell r="E66" t="str">
            <v>MAICAO</v>
          </cell>
          <cell r="F66" t="str">
            <v>Si</v>
          </cell>
          <cell r="G66" t="str">
            <v>Si</v>
          </cell>
          <cell r="H66" t="str">
            <v>YBRITO</v>
          </cell>
          <cell r="I66">
            <v>46086</v>
          </cell>
        </row>
        <row r="67">
          <cell r="A67">
            <v>98</v>
          </cell>
          <cell r="B67" t="str">
            <v>CARIBE</v>
          </cell>
          <cell r="C67" t="str">
            <v>Didi Alejandra Pareja Medina</v>
          </cell>
          <cell r="D67">
            <v>98</v>
          </cell>
          <cell r="E67" t="str">
            <v>MALL PLAZA DEL CASTILLO</v>
          </cell>
          <cell r="F67" t="str">
            <v>Si</v>
          </cell>
          <cell r="G67" t="str">
            <v>Si</v>
          </cell>
          <cell r="H67" t="str">
            <v>ZMARENAS</v>
          </cell>
          <cell r="I67">
            <v>46098</v>
          </cell>
        </row>
        <row r="68">
          <cell r="A68">
            <v>100</v>
          </cell>
          <cell r="B68" t="str">
            <v>BOGOTA Y CUNDINAMARCA</v>
          </cell>
          <cell r="C68" t="str">
            <v>Pedro Javier Yazzo Moreno</v>
          </cell>
          <cell r="D68">
            <v>100</v>
          </cell>
          <cell r="E68" t="str">
            <v>BOSA</v>
          </cell>
          <cell r="F68" t="str">
            <v>Si</v>
          </cell>
          <cell r="G68" t="str">
            <v>No</v>
          </cell>
          <cell r="H68" t="str">
            <v>NPULIDO</v>
          </cell>
          <cell r="I68">
            <v>46100</v>
          </cell>
        </row>
        <row r="69">
          <cell r="A69">
            <v>101</v>
          </cell>
          <cell r="B69" t="str">
            <v>BOGOTA Y CUNDINAMARCA</v>
          </cell>
          <cell r="C69" t="str">
            <v>Camilo Andres Mila Jimenez</v>
          </cell>
          <cell r="D69">
            <v>101</v>
          </cell>
          <cell r="E69" t="str">
            <v>MULTIPLAZA DRIVE</v>
          </cell>
          <cell r="F69" t="str">
            <v>Si</v>
          </cell>
          <cell r="G69" t="str">
            <v>No</v>
          </cell>
          <cell r="H69" t="str">
            <v>AGUTIERR</v>
          </cell>
          <cell r="I69">
            <v>46086</v>
          </cell>
        </row>
        <row r="70">
          <cell r="A70">
            <v>105</v>
          </cell>
          <cell r="B70" t="str">
            <v>CARIBE</v>
          </cell>
          <cell r="C70" t="str">
            <v>Magaly Del Socorro Cabrales Isaac</v>
          </cell>
          <cell r="D70">
            <v>105</v>
          </cell>
          <cell r="E70" t="str">
            <v>LORICA</v>
          </cell>
          <cell r="F70" t="str">
            <v>Si</v>
          </cell>
          <cell r="G70" t="str">
            <v>No</v>
          </cell>
          <cell r="H70" t="str">
            <v>ANMAMART</v>
          </cell>
          <cell r="I70">
            <v>46099</v>
          </cell>
        </row>
        <row r="71">
          <cell r="A71">
            <v>108</v>
          </cell>
          <cell r="B71" t="str">
            <v>BOGOTA Y CUNDINAMARCA</v>
          </cell>
          <cell r="C71" t="str">
            <v>Samuel Alexander Mendez Suarez</v>
          </cell>
          <cell r="D71">
            <v>108</v>
          </cell>
          <cell r="E71" t="str">
            <v>PLAZA DE LAS AMERICAS</v>
          </cell>
          <cell r="F71" t="str">
            <v>Si</v>
          </cell>
          <cell r="G71" t="str">
            <v>No</v>
          </cell>
          <cell r="H71" t="str">
            <v>SMALVARA</v>
          </cell>
          <cell r="I71">
            <v>46099</v>
          </cell>
        </row>
        <row r="72">
          <cell r="A72">
            <v>111</v>
          </cell>
          <cell r="B72" t="str">
            <v>CARIBE</v>
          </cell>
          <cell r="C72" t="str">
            <v>Magaly Del Socorro Cabrales Isaac</v>
          </cell>
          <cell r="D72">
            <v>111</v>
          </cell>
          <cell r="E72" t="str">
            <v>COROZAL</v>
          </cell>
          <cell r="F72" t="str">
            <v>Si</v>
          </cell>
          <cell r="G72" t="str">
            <v>Si</v>
          </cell>
          <cell r="H72" t="str">
            <v>MEPEREZ</v>
          </cell>
          <cell r="I72">
            <v>46093</v>
          </cell>
        </row>
        <row r="73">
          <cell r="A73">
            <v>115</v>
          </cell>
          <cell r="B73" t="str">
            <v>SUR</v>
          </cell>
          <cell r="C73" t="str">
            <v>Sergio Arias Pelaez</v>
          </cell>
          <cell r="D73">
            <v>115</v>
          </cell>
          <cell r="E73" t="str">
            <v>CIRCUNVALAR PEREIRA</v>
          </cell>
          <cell r="F73" t="str">
            <v>Si</v>
          </cell>
          <cell r="G73" t="str">
            <v>No</v>
          </cell>
          <cell r="H73" t="str">
            <v>LUAGIRAL</v>
          </cell>
          <cell r="I73">
            <v>46092</v>
          </cell>
        </row>
        <row r="74">
          <cell r="A74">
            <v>120</v>
          </cell>
          <cell r="B74" t="str">
            <v>CARIBE</v>
          </cell>
          <cell r="C74" t="str">
            <v>Maria Teresa Chaves Ahumada</v>
          </cell>
          <cell r="D74">
            <v>120</v>
          </cell>
          <cell r="E74" t="str">
            <v>SABANALARGA</v>
          </cell>
          <cell r="F74" t="str">
            <v>Si</v>
          </cell>
          <cell r="G74" t="str">
            <v>No</v>
          </cell>
          <cell r="H74" t="str">
            <v>CMDURAN</v>
          </cell>
          <cell r="I74">
            <v>46098</v>
          </cell>
          <cell r="J74" t="str">
            <v>2 Días</v>
          </cell>
        </row>
        <row r="75">
          <cell r="A75">
            <v>123</v>
          </cell>
          <cell r="B75" t="str">
            <v>ANTIOQUIA</v>
          </cell>
          <cell r="C75" t="str">
            <v>Juan Fernando Alzate Valencia</v>
          </cell>
          <cell r="D75">
            <v>123</v>
          </cell>
          <cell r="E75" t="str">
            <v>CENTRO DE PAGOS RIONEGRO</v>
          </cell>
          <cell r="F75" t="str">
            <v>Si</v>
          </cell>
          <cell r="G75" t="str">
            <v>Si</v>
          </cell>
          <cell r="H75" t="str">
            <v>GCARMONA</v>
          </cell>
          <cell r="I75">
            <v>46099</v>
          </cell>
          <cell r="J75" t="str">
            <v>2 Días</v>
          </cell>
        </row>
        <row r="76">
          <cell r="A76">
            <v>131</v>
          </cell>
          <cell r="B76" t="str">
            <v>BOGOTA Y CUNDINAMARCA</v>
          </cell>
          <cell r="C76" t="str">
            <v>Victoria Eugenia Guaqueta Murcia</v>
          </cell>
          <cell r="D76">
            <v>131</v>
          </cell>
          <cell r="E76" t="str">
            <v>AVENIDA SEXTA BOGOTA</v>
          </cell>
          <cell r="F76" t="str">
            <v>Si</v>
          </cell>
          <cell r="G76" t="str">
            <v>Si</v>
          </cell>
          <cell r="H76" t="str">
            <v>ACHIA</v>
          </cell>
          <cell r="I76">
            <v>46093</v>
          </cell>
        </row>
        <row r="77">
          <cell r="A77">
            <v>138</v>
          </cell>
          <cell r="B77" t="str">
            <v>BOGOTA Y CUNDINAMARCA</v>
          </cell>
          <cell r="C77" t="str">
            <v>Pedro Javier Yazzo Moreno</v>
          </cell>
          <cell r="D77">
            <v>138</v>
          </cell>
          <cell r="E77" t="str">
            <v>MOSQUERA</v>
          </cell>
          <cell r="F77" t="str">
            <v>Si</v>
          </cell>
          <cell r="G77" t="str">
            <v>Si</v>
          </cell>
          <cell r="H77" t="str">
            <v>SAESCOBA</v>
          </cell>
          <cell r="I77">
            <v>46093</v>
          </cell>
        </row>
        <row r="78">
          <cell r="A78">
            <v>141</v>
          </cell>
          <cell r="B78" t="str">
            <v>BOGOTA Y CUNDINAMARCA</v>
          </cell>
          <cell r="C78" t="str">
            <v>Victoria Eugenia Guaqueta Murcia</v>
          </cell>
          <cell r="D78">
            <v>141</v>
          </cell>
          <cell r="E78" t="str">
            <v>MERCANTIL</v>
          </cell>
          <cell r="F78" t="str">
            <v>Si</v>
          </cell>
          <cell r="G78" t="str">
            <v>Si</v>
          </cell>
          <cell r="H78" t="str">
            <v>DICARDEN</v>
          </cell>
          <cell r="I78">
            <v>46099</v>
          </cell>
        </row>
        <row r="79">
          <cell r="A79">
            <v>146</v>
          </cell>
          <cell r="B79" t="str">
            <v>BOGOTA Y CUNDINAMARCA</v>
          </cell>
          <cell r="C79" t="str">
            <v>Victoria Eugenia Guaqueta Murcia</v>
          </cell>
          <cell r="D79">
            <v>146</v>
          </cell>
          <cell r="E79" t="str">
            <v>AUTOGERMANA</v>
          </cell>
          <cell r="F79" t="str">
            <v>Si</v>
          </cell>
          <cell r="G79" t="str">
            <v>Si</v>
          </cell>
          <cell r="H79" t="str">
            <v>GYMORENO</v>
          </cell>
          <cell r="I79">
            <v>46091</v>
          </cell>
        </row>
        <row r="80">
          <cell r="A80">
            <v>153</v>
          </cell>
          <cell r="B80" t="str">
            <v>CENTRO</v>
          </cell>
          <cell r="C80" t="str">
            <v>Edwin Andres Lievano Orjuela</v>
          </cell>
          <cell r="D80">
            <v>153</v>
          </cell>
          <cell r="E80" t="str">
            <v>EXITO IBAGUE</v>
          </cell>
          <cell r="F80" t="str">
            <v>Si</v>
          </cell>
          <cell r="G80" t="str">
            <v>No</v>
          </cell>
          <cell r="H80" t="str">
            <v>DPGUZMAN</v>
          </cell>
          <cell r="I80">
            <v>46100</v>
          </cell>
        </row>
        <row r="81">
          <cell r="A81">
            <v>154</v>
          </cell>
          <cell r="B81" t="str">
            <v>BOGOTA Y CUNDINAMARCA</v>
          </cell>
          <cell r="C81" t="str">
            <v>Samuel Alexander Mendez Suarez</v>
          </cell>
          <cell r="D81">
            <v>154</v>
          </cell>
          <cell r="E81" t="str">
            <v>CENTRO MAYOR</v>
          </cell>
          <cell r="F81" t="str">
            <v>Si</v>
          </cell>
          <cell r="G81" t="str">
            <v>No</v>
          </cell>
          <cell r="H81" t="str">
            <v>JBOGOTA</v>
          </cell>
          <cell r="I81">
            <v>46091</v>
          </cell>
        </row>
        <row r="82">
          <cell r="A82">
            <v>156</v>
          </cell>
          <cell r="B82" t="str">
            <v>BOGOTA Y CUNDINAMARCA</v>
          </cell>
          <cell r="C82" t="str">
            <v>Kirsys Nadyra Robelto Sanchez</v>
          </cell>
          <cell r="D82">
            <v>156</v>
          </cell>
          <cell r="E82" t="str">
            <v>BANCA COLOMBIA RESERVA DEL CHICO</v>
          </cell>
          <cell r="F82" t="str">
            <v>Si</v>
          </cell>
          <cell r="G82" t="str">
            <v>Si</v>
          </cell>
          <cell r="H82" t="str">
            <v>LECASALL</v>
          </cell>
          <cell r="I82">
            <v>46093</v>
          </cell>
        </row>
        <row r="83">
          <cell r="A83">
            <v>158</v>
          </cell>
          <cell r="B83" t="str">
            <v>BOGOTA Y CUNDINAMARCA</v>
          </cell>
          <cell r="C83" t="str">
            <v>Kirsys Nadyra Robelto Sanchez</v>
          </cell>
          <cell r="D83">
            <v>158</v>
          </cell>
          <cell r="E83" t="str">
            <v>BANCA COLOMBIA SANTA PAULA</v>
          </cell>
          <cell r="F83" t="str">
            <v>Si</v>
          </cell>
          <cell r="G83" t="str">
            <v>No</v>
          </cell>
          <cell r="H83" t="str">
            <v>ANPEREIR</v>
          </cell>
          <cell r="I83">
            <v>46091</v>
          </cell>
        </row>
        <row r="84">
          <cell r="A84">
            <v>159</v>
          </cell>
          <cell r="B84" t="str">
            <v>BOGOTA Y CUNDINAMARCA</v>
          </cell>
          <cell r="C84" t="str">
            <v>Pedro Javier Yazzo Moreno</v>
          </cell>
          <cell r="D84">
            <v>159</v>
          </cell>
          <cell r="E84" t="str">
            <v>FUNZA</v>
          </cell>
          <cell r="F84" t="str">
            <v>Si</v>
          </cell>
          <cell r="G84" t="str">
            <v>No</v>
          </cell>
          <cell r="H84" t="str">
            <v>JEMURCIA</v>
          </cell>
          <cell r="I84">
            <v>46100</v>
          </cell>
        </row>
        <row r="85">
          <cell r="A85">
            <v>161</v>
          </cell>
          <cell r="B85" t="str">
            <v>ANTIOQUIA</v>
          </cell>
          <cell r="C85" t="str">
            <v>Juan Fernando Alzate Valencia</v>
          </cell>
          <cell r="D85">
            <v>161</v>
          </cell>
          <cell r="E85" t="str">
            <v>GUARNE</v>
          </cell>
          <cell r="F85" t="str">
            <v>Si</v>
          </cell>
          <cell r="G85" t="str">
            <v>No</v>
          </cell>
          <cell r="H85" t="str">
            <v>SAMAYA</v>
          </cell>
          <cell r="I85">
            <v>46098</v>
          </cell>
        </row>
        <row r="86">
          <cell r="A86">
            <v>162</v>
          </cell>
          <cell r="B86" t="str">
            <v>ANTIOQUIA</v>
          </cell>
          <cell r="C86" t="str">
            <v>Julian Alejandro Rodriguez Escobar</v>
          </cell>
          <cell r="D86">
            <v>162</v>
          </cell>
          <cell r="E86" t="str">
            <v>SAN PEDRO</v>
          </cell>
          <cell r="F86" t="str">
            <v>Si</v>
          </cell>
          <cell r="G86" t="str">
            <v>No</v>
          </cell>
          <cell r="H86" t="str">
            <v>MJPATINO</v>
          </cell>
          <cell r="I86">
            <v>46093</v>
          </cell>
        </row>
        <row r="87">
          <cell r="A87">
            <v>163</v>
          </cell>
          <cell r="B87" t="str">
            <v>ANTIOQUIA</v>
          </cell>
          <cell r="C87" t="str">
            <v>Juan Fernando Alzate Valencia</v>
          </cell>
          <cell r="D87">
            <v>163</v>
          </cell>
          <cell r="E87" t="str">
            <v>PUERTO BERRIO</v>
          </cell>
          <cell r="F87" t="str">
            <v>Si</v>
          </cell>
          <cell r="G87" t="str">
            <v>Si</v>
          </cell>
          <cell r="H87" t="str">
            <v>DMANCERA</v>
          </cell>
          <cell r="I87">
            <v>46098</v>
          </cell>
        </row>
        <row r="88">
          <cell r="A88">
            <v>166</v>
          </cell>
          <cell r="B88" t="str">
            <v>CARIBE</v>
          </cell>
          <cell r="C88" t="str">
            <v>Magaly Del Socorro Cabrales Isaac</v>
          </cell>
          <cell r="D88">
            <v>166</v>
          </cell>
          <cell r="E88" t="str">
            <v>ALAMEDAS DEL SINU</v>
          </cell>
          <cell r="F88" t="str">
            <v>Si</v>
          </cell>
          <cell r="G88" t="str">
            <v>No</v>
          </cell>
          <cell r="H88" t="str">
            <v>GEVALVER</v>
          </cell>
          <cell r="I88">
            <v>46091</v>
          </cell>
        </row>
        <row r="89">
          <cell r="A89">
            <v>167</v>
          </cell>
          <cell r="B89" t="str">
            <v>BOGOTA Y CUNDINAMARCA</v>
          </cell>
          <cell r="C89" t="str">
            <v>Kirsys Nadyra Robelto Sanchez</v>
          </cell>
          <cell r="D89">
            <v>167</v>
          </cell>
          <cell r="E89" t="str">
            <v>AVENIDA 82</v>
          </cell>
          <cell r="F89" t="str">
            <v>Si</v>
          </cell>
          <cell r="G89" t="str">
            <v>Si</v>
          </cell>
          <cell r="H89" t="str">
            <v>MARIMOSQ</v>
          </cell>
          <cell r="I89">
            <v>46092</v>
          </cell>
        </row>
        <row r="90">
          <cell r="A90">
            <v>168</v>
          </cell>
          <cell r="B90" t="str">
            <v>BOGOTA Y CUNDINAMARCA</v>
          </cell>
          <cell r="C90" t="str">
            <v>Nidya Marcela Poveda Sanchez</v>
          </cell>
          <cell r="D90">
            <v>168</v>
          </cell>
          <cell r="E90" t="str">
            <v>TOBERIN</v>
          </cell>
          <cell r="F90" t="str">
            <v>Si</v>
          </cell>
          <cell r="G90" t="str">
            <v>No</v>
          </cell>
          <cell r="H90" t="str">
            <v>JABUSTOS</v>
          </cell>
          <cell r="I90">
            <v>46099</v>
          </cell>
        </row>
        <row r="91">
          <cell r="A91">
            <v>169</v>
          </cell>
          <cell r="B91" t="str">
            <v>BOGOTA Y CUNDINAMARCA</v>
          </cell>
          <cell r="C91" t="str">
            <v>Victoria Eugenia Guaqueta Murcia</v>
          </cell>
          <cell r="D91">
            <v>169</v>
          </cell>
          <cell r="E91" t="str">
            <v>FRIGORIFICOS BLE</v>
          </cell>
          <cell r="F91" t="str">
            <v>Si</v>
          </cell>
          <cell r="G91" t="str">
            <v>Si</v>
          </cell>
          <cell r="H91" t="str">
            <v>WHENAOOR</v>
          </cell>
          <cell r="I91">
            <v>46091</v>
          </cell>
          <cell r="J91" t="str">
            <v>2 Días</v>
          </cell>
        </row>
        <row r="92">
          <cell r="A92">
            <v>171</v>
          </cell>
          <cell r="B92" t="str">
            <v>BOGOTA Y CUNDINAMARCA</v>
          </cell>
          <cell r="C92" t="str">
            <v>Fabio Orlando Bosa Poveda</v>
          </cell>
          <cell r="D92">
            <v>171</v>
          </cell>
          <cell r="E92" t="str">
            <v>CIUDAD SALITRE</v>
          </cell>
          <cell r="F92" t="str">
            <v>Si</v>
          </cell>
          <cell r="G92" t="str">
            <v>Si</v>
          </cell>
          <cell r="H92" t="str">
            <v>JLMACIAD</v>
          </cell>
          <cell r="I92">
            <v>46093</v>
          </cell>
        </row>
        <row r="93">
          <cell r="A93">
            <v>172</v>
          </cell>
          <cell r="B93" t="str">
            <v>BOGOTA Y CUNDINAMARCA</v>
          </cell>
          <cell r="C93" t="str">
            <v>Camilo Andres Mila Jimenez</v>
          </cell>
          <cell r="D93">
            <v>172</v>
          </cell>
          <cell r="E93" t="str">
            <v>TELEPORT</v>
          </cell>
          <cell r="F93" t="str">
            <v>Si</v>
          </cell>
          <cell r="G93" t="str">
            <v>No</v>
          </cell>
          <cell r="H93" t="str">
            <v>EPONCEQ</v>
          </cell>
          <cell r="I93">
            <v>46092</v>
          </cell>
        </row>
        <row r="94">
          <cell r="A94">
            <v>174</v>
          </cell>
          <cell r="B94" t="str">
            <v>BOGOTA Y CUNDINAMARCA</v>
          </cell>
          <cell r="C94" t="str">
            <v>Victoria Eugenia Guaqueta Murcia</v>
          </cell>
          <cell r="D94">
            <v>174</v>
          </cell>
          <cell r="E94" t="str">
            <v>CHAPINERO</v>
          </cell>
          <cell r="F94" t="str">
            <v>Si</v>
          </cell>
          <cell r="G94" t="str">
            <v>No</v>
          </cell>
          <cell r="H94" t="str">
            <v>MALEAL</v>
          </cell>
          <cell r="I94">
            <v>46099</v>
          </cell>
        </row>
        <row r="95">
          <cell r="A95">
            <v>175</v>
          </cell>
          <cell r="B95" t="str">
            <v>CARIBE</v>
          </cell>
          <cell r="C95" t="str">
            <v>Didi Alejandra Pareja Medina</v>
          </cell>
          <cell r="D95">
            <v>175</v>
          </cell>
          <cell r="E95" t="str">
            <v>CARIBE PLAZA</v>
          </cell>
          <cell r="F95" t="str">
            <v>Si</v>
          </cell>
          <cell r="G95" t="str">
            <v>Si</v>
          </cell>
          <cell r="H95" t="str">
            <v>LIAGONZA</v>
          </cell>
          <cell r="I95">
            <v>46098</v>
          </cell>
        </row>
        <row r="96">
          <cell r="A96">
            <v>177</v>
          </cell>
          <cell r="B96" t="str">
            <v>BOGOTA Y CUNDINAMARCA</v>
          </cell>
          <cell r="C96" t="str">
            <v>Victoria Eugenia Guaqueta Murcia</v>
          </cell>
          <cell r="D96">
            <v>177</v>
          </cell>
          <cell r="E96" t="str">
            <v>CALLE 57</v>
          </cell>
          <cell r="F96" t="str">
            <v>Si</v>
          </cell>
          <cell r="G96" t="str">
            <v>Si</v>
          </cell>
          <cell r="H96" t="str">
            <v>MATGARCI</v>
          </cell>
          <cell r="I96">
            <v>46099</v>
          </cell>
        </row>
        <row r="97">
          <cell r="A97">
            <v>178</v>
          </cell>
          <cell r="B97" t="str">
            <v>BOGOTA Y CUNDINAMARCA</v>
          </cell>
          <cell r="C97" t="str">
            <v>Kirsys Nadyra Robelto Sanchez</v>
          </cell>
          <cell r="D97">
            <v>178</v>
          </cell>
          <cell r="E97" t="str">
            <v>CENTRO FINANCIERO</v>
          </cell>
          <cell r="F97" t="str">
            <v>Si</v>
          </cell>
          <cell r="G97" t="str">
            <v>No</v>
          </cell>
          <cell r="H97" t="str">
            <v>CLLAZARO</v>
          </cell>
          <cell r="I97">
            <v>46099</v>
          </cell>
        </row>
        <row r="98">
          <cell r="A98">
            <v>180</v>
          </cell>
          <cell r="B98" t="str">
            <v>BOGOTA Y CUNDINAMARCA</v>
          </cell>
          <cell r="C98" t="str">
            <v>Camilo Andres Mila Jimenez</v>
          </cell>
          <cell r="D98">
            <v>180</v>
          </cell>
          <cell r="E98" t="str">
            <v>UNICENTRO BOGOTA</v>
          </cell>
          <cell r="F98" t="str">
            <v>Si</v>
          </cell>
          <cell r="G98" t="str">
            <v>No</v>
          </cell>
          <cell r="H98" t="str">
            <v>LURODRIG</v>
          </cell>
          <cell r="I98">
            <v>46091</v>
          </cell>
        </row>
        <row r="99">
          <cell r="A99">
            <v>183</v>
          </cell>
          <cell r="B99" t="str">
            <v>BOGOTA Y CUNDINAMARCA</v>
          </cell>
          <cell r="C99" t="str">
            <v>Fabio Orlando Bosa Poveda</v>
          </cell>
          <cell r="D99">
            <v>183</v>
          </cell>
          <cell r="E99" t="str">
            <v>QUIRIGUA</v>
          </cell>
          <cell r="F99" t="str">
            <v>Si</v>
          </cell>
          <cell r="G99" t="str">
            <v>No</v>
          </cell>
          <cell r="H99" t="str">
            <v>JOSEGARC</v>
          </cell>
          <cell r="I99">
            <v>46091</v>
          </cell>
        </row>
        <row r="100">
          <cell r="A100">
            <v>185</v>
          </cell>
          <cell r="B100" t="str">
            <v>SUR</v>
          </cell>
          <cell r="C100" t="str">
            <v>Yamileth Abella Bonilla</v>
          </cell>
          <cell r="D100">
            <v>185</v>
          </cell>
          <cell r="E100" t="str">
            <v>LLANOGRANDE PALMIRA</v>
          </cell>
          <cell r="F100" t="str">
            <v>Si</v>
          </cell>
          <cell r="G100" t="str">
            <v>No</v>
          </cell>
          <cell r="H100" t="str">
            <v>ALBARCE</v>
          </cell>
          <cell r="I100">
            <v>46086</v>
          </cell>
        </row>
        <row r="101">
          <cell r="A101">
            <v>186</v>
          </cell>
          <cell r="B101" t="str">
            <v>BOGOTA Y CUNDINAMARCA</v>
          </cell>
          <cell r="C101" t="str">
            <v>Victoria Eugenia Guaqueta Murcia</v>
          </cell>
          <cell r="D101">
            <v>186</v>
          </cell>
          <cell r="E101" t="str">
            <v>GALERIAS</v>
          </cell>
          <cell r="F101" t="str">
            <v>Si</v>
          </cell>
          <cell r="G101" t="str">
            <v>Si</v>
          </cell>
          <cell r="H101" t="str">
            <v>EMOLANO</v>
          </cell>
          <cell r="I101">
            <v>46086</v>
          </cell>
        </row>
        <row r="102">
          <cell r="A102">
            <v>187</v>
          </cell>
          <cell r="B102" t="str">
            <v>SUR</v>
          </cell>
          <cell r="C102" t="str">
            <v>John Didier Villegas Martinez</v>
          </cell>
          <cell r="D102">
            <v>187</v>
          </cell>
          <cell r="E102" t="str">
            <v>QUIMBAYA</v>
          </cell>
          <cell r="F102" t="str">
            <v>Si</v>
          </cell>
          <cell r="G102" t="str">
            <v>No</v>
          </cell>
          <cell r="H102" t="str">
            <v>YHGIL</v>
          </cell>
          <cell r="I102">
            <v>46091</v>
          </cell>
        </row>
        <row r="103">
          <cell r="A103">
            <v>188</v>
          </cell>
          <cell r="B103" t="str">
            <v>BOGOTA Y CUNDINAMARCA</v>
          </cell>
          <cell r="C103" t="str">
            <v>Fabio Orlando Bosa Poveda</v>
          </cell>
          <cell r="D103">
            <v>188</v>
          </cell>
          <cell r="E103" t="str">
            <v>EL CAN</v>
          </cell>
          <cell r="F103" t="str">
            <v>Si</v>
          </cell>
          <cell r="G103" t="str">
            <v>Si</v>
          </cell>
          <cell r="H103" t="str">
            <v>GIVEGA</v>
          </cell>
          <cell r="I103">
            <v>46086</v>
          </cell>
        </row>
        <row r="104">
          <cell r="A104">
            <v>190</v>
          </cell>
          <cell r="B104" t="str">
            <v>SUR</v>
          </cell>
          <cell r="C104" t="str">
            <v>Norma Constanza Barrera Pabon</v>
          </cell>
          <cell r="D104">
            <v>190</v>
          </cell>
          <cell r="E104" t="str">
            <v>SANDONA</v>
          </cell>
          <cell r="F104" t="str">
            <v>Si</v>
          </cell>
          <cell r="G104" t="str">
            <v>Si</v>
          </cell>
          <cell r="H104" t="str">
            <v>JUAIBARR</v>
          </cell>
          <cell r="I104">
            <v>46100</v>
          </cell>
        </row>
        <row r="105">
          <cell r="A105">
            <v>191</v>
          </cell>
          <cell r="B105" t="str">
            <v>BOGOTA Y CUNDINAMARCA</v>
          </cell>
          <cell r="C105" t="str">
            <v>Kirsys Nadyra Robelto Sanchez</v>
          </cell>
          <cell r="D105">
            <v>191</v>
          </cell>
          <cell r="E105" t="str">
            <v>AVENIDA 19</v>
          </cell>
          <cell r="F105" t="str">
            <v>Si</v>
          </cell>
          <cell r="G105" t="str">
            <v>Si</v>
          </cell>
          <cell r="H105" t="str">
            <v>LFRAMIRE</v>
          </cell>
          <cell r="I105">
            <v>46086</v>
          </cell>
        </row>
        <row r="106">
          <cell r="A106">
            <v>192</v>
          </cell>
          <cell r="B106" t="str">
            <v>BOGOTA Y CUNDINAMARCA</v>
          </cell>
          <cell r="C106" t="str">
            <v>Victoria Eugenia Guaqueta Murcia</v>
          </cell>
          <cell r="D106">
            <v>192</v>
          </cell>
          <cell r="E106" t="str">
            <v>LA SOLEDAD BOGOTA</v>
          </cell>
          <cell r="F106" t="str">
            <v>Si</v>
          </cell>
          <cell r="G106" t="str">
            <v>Si</v>
          </cell>
          <cell r="H106" t="str">
            <v>PAMUNOZ</v>
          </cell>
          <cell r="I106">
            <v>46086</v>
          </cell>
        </row>
        <row r="107">
          <cell r="A107">
            <v>193</v>
          </cell>
          <cell r="B107" t="str">
            <v>BOGOTA Y CUNDINAMARCA</v>
          </cell>
          <cell r="C107" t="str">
            <v>Kirsys Nadyra Robelto Sanchez</v>
          </cell>
          <cell r="D107">
            <v>193</v>
          </cell>
          <cell r="E107" t="str">
            <v>EDIFICIO 9211</v>
          </cell>
          <cell r="F107" t="str">
            <v>Si</v>
          </cell>
          <cell r="G107" t="str">
            <v>Si</v>
          </cell>
          <cell r="H107" t="str">
            <v>JOHNHERN</v>
          </cell>
          <cell r="I107">
            <v>46091</v>
          </cell>
        </row>
        <row r="108">
          <cell r="A108">
            <v>195</v>
          </cell>
          <cell r="B108" t="str">
            <v>SUR</v>
          </cell>
          <cell r="C108" t="str">
            <v>Norma Constanza Barrera Pabon</v>
          </cell>
          <cell r="D108">
            <v>195</v>
          </cell>
          <cell r="E108" t="str">
            <v>LA UNION NARINO</v>
          </cell>
          <cell r="F108" t="str">
            <v>Si</v>
          </cell>
          <cell r="G108" t="str">
            <v>Si</v>
          </cell>
          <cell r="H108" t="str">
            <v>EYBARRIO</v>
          </cell>
          <cell r="I108">
            <v>46093</v>
          </cell>
        </row>
        <row r="109">
          <cell r="A109">
            <v>197</v>
          </cell>
          <cell r="B109" t="str">
            <v>CARIBE</v>
          </cell>
          <cell r="C109" t="str">
            <v>Alicia Minerva Fontalvo Reales</v>
          </cell>
          <cell r="D109">
            <v>197</v>
          </cell>
          <cell r="E109" t="str">
            <v>GUATAPURI</v>
          </cell>
          <cell r="F109" t="str">
            <v>Si</v>
          </cell>
          <cell r="G109" t="str">
            <v>No</v>
          </cell>
          <cell r="H109" t="str">
            <v>MCAMACHO</v>
          </cell>
          <cell r="I109">
            <v>46093</v>
          </cell>
        </row>
        <row r="110">
          <cell r="A110">
            <v>198</v>
          </cell>
          <cell r="B110" t="str">
            <v>BOGOTA Y CUNDINAMARCA</v>
          </cell>
          <cell r="C110" t="str">
            <v>Camilo Andres Mila Jimenez</v>
          </cell>
          <cell r="D110">
            <v>198</v>
          </cell>
          <cell r="E110" t="str">
            <v>CENTRO SUBA</v>
          </cell>
          <cell r="F110" t="str">
            <v>Si</v>
          </cell>
          <cell r="G110" t="str">
            <v>Si</v>
          </cell>
          <cell r="H110" t="str">
            <v>ECROJAS</v>
          </cell>
          <cell r="I110">
            <v>46093</v>
          </cell>
        </row>
        <row r="111">
          <cell r="A111">
            <v>201</v>
          </cell>
          <cell r="B111" t="str">
            <v>BOGOTA Y CUNDINAMARCA</v>
          </cell>
          <cell r="C111" t="str">
            <v>Camilo Andres Mila Jimenez</v>
          </cell>
          <cell r="D111">
            <v>201</v>
          </cell>
          <cell r="E111" t="str">
            <v>SANTA BARBARA DE USAQUEN</v>
          </cell>
          <cell r="F111" t="str">
            <v>Si</v>
          </cell>
          <cell r="G111" t="str">
            <v>No</v>
          </cell>
          <cell r="H111" t="str">
            <v>WCOLMENA</v>
          </cell>
          <cell r="I111">
            <v>46093</v>
          </cell>
        </row>
        <row r="112">
          <cell r="A112">
            <v>202</v>
          </cell>
          <cell r="B112" t="str">
            <v>BOGOTA Y CUNDINAMARCA</v>
          </cell>
          <cell r="C112" t="str">
            <v>Camilo Andres Mila Jimenez</v>
          </cell>
          <cell r="D112">
            <v>202</v>
          </cell>
          <cell r="E112" t="str">
            <v>AVENIDA PEPE SIERRA</v>
          </cell>
          <cell r="F112" t="str">
            <v>Si</v>
          </cell>
          <cell r="G112" t="str">
            <v>No</v>
          </cell>
          <cell r="H112" t="str">
            <v>LUISACOS</v>
          </cell>
          <cell r="I112">
            <v>46098</v>
          </cell>
        </row>
        <row r="113">
          <cell r="A113">
            <v>203</v>
          </cell>
          <cell r="B113" t="str">
            <v>BOGOTA Y CUNDINAMARCA</v>
          </cell>
          <cell r="C113" t="str">
            <v>Victoria Eugenia Guaqueta Murcia</v>
          </cell>
          <cell r="D113">
            <v>203</v>
          </cell>
          <cell r="E113" t="str">
            <v>MARLY</v>
          </cell>
          <cell r="F113" t="str">
            <v>Si</v>
          </cell>
          <cell r="G113" t="str">
            <v>No</v>
          </cell>
          <cell r="H113" t="str">
            <v>BMMEJIA</v>
          </cell>
          <cell r="I113">
            <v>46098</v>
          </cell>
        </row>
        <row r="114">
          <cell r="A114">
            <v>205</v>
          </cell>
          <cell r="B114" t="str">
            <v>SUR</v>
          </cell>
          <cell r="C114" t="str">
            <v>Hector Mario Rendon Ocampo</v>
          </cell>
          <cell r="D114">
            <v>205</v>
          </cell>
          <cell r="E114" t="str">
            <v>VILLACOLOMBIA</v>
          </cell>
          <cell r="F114" t="str">
            <v>Si</v>
          </cell>
          <cell r="G114" t="str">
            <v>No</v>
          </cell>
          <cell r="H114" t="str">
            <v>JOHVANEG</v>
          </cell>
          <cell r="I114">
            <v>46098</v>
          </cell>
        </row>
        <row r="115">
          <cell r="A115">
            <v>208</v>
          </cell>
          <cell r="B115" t="str">
            <v>BOGOTA Y CUNDINAMARCA</v>
          </cell>
          <cell r="C115" t="str">
            <v>Victoria Eugenia Guaqueta Murcia</v>
          </cell>
          <cell r="D115">
            <v>208</v>
          </cell>
          <cell r="E115" t="str">
            <v>NISSAN</v>
          </cell>
          <cell r="F115" t="str">
            <v>Si</v>
          </cell>
          <cell r="G115" t="str">
            <v>Si</v>
          </cell>
          <cell r="H115" t="str">
            <v>NISIERRA</v>
          </cell>
          <cell r="I115">
            <v>46086</v>
          </cell>
        </row>
        <row r="116">
          <cell r="A116">
            <v>210</v>
          </cell>
          <cell r="B116" t="str">
            <v>CARIBE</v>
          </cell>
          <cell r="C116" t="str">
            <v>Didi Alejandra Pareja Medina</v>
          </cell>
          <cell r="D116">
            <v>210</v>
          </cell>
          <cell r="E116" t="str">
            <v>BANCA COLOMBIA CARTAGENA</v>
          </cell>
          <cell r="F116" t="str">
            <v>Si</v>
          </cell>
          <cell r="G116" t="str">
            <v>Si</v>
          </cell>
          <cell r="H116" t="str">
            <v>JSBARRER</v>
          </cell>
          <cell r="I116">
            <v>46092</v>
          </cell>
        </row>
        <row r="117">
          <cell r="A117">
            <v>211</v>
          </cell>
          <cell r="B117" t="str">
            <v>BOGOTA Y CUNDINAMARCA</v>
          </cell>
          <cell r="C117" t="str">
            <v>Samuel Alexander Mendez Suarez</v>
          </cell>
          <cell r="D117">
            <v>211</v>
          </cell>
          <cell r="E117" t="str">
            <v>CENTRO INDUSTRIAL</v>
          </cell>
          <cell r="F117" t="str">
            <v>Si</v>
          </cell>
          <cell r="G117" t="str">
            <v>No</v>
          </cell>
          <cell r="H117" t="str">
            <v>XNORTIZ</v>
          </cell>
          <cell r="I117">
            <v>46099</v>
          </cell>
        </row>
        <row r="118">
          <cell r="A118">
            <v>213</v>
          </cell>
          <cell r="B118" t="str">
            <v>BOGOTA Y CUNDINAMARCA</v>
          </cell>
          <cell r="C118" t="str">
            <v>Samuel Alexander Mendez Suarez</v>
          </cell>
          <cell r="D118">
            <v>213</v>
          </cell>
          <cell r="E118" t="str">
            <v>MILENIO PLAZA</v>
          </cell>
          <cell r="F118" t="str">
            <v>Si</v>
          </cell>
          <cell r="G118" t="str">
            <v>Si</v>
          </cell>
          <cell r="H118" t="str">
            <v>NCASTILL</v>
          </cell>
          <cell r="I118">
            <v>46093</v>
          </cell>
        </row>
        <row r="119">
          <cell r="A119">
            <v>214</v>
          </cell>
          <cell r="B119" t="str">
            <v>CARIBE</v>
          </cell>
          <cell r="C119" t="str">
            <v>Didi Alejandra Pareja Medina</v>
          </cell>
          <cell r="D119">
            <v>214</v>
          </cell>
          <cell r="E119" t="str">
            <v>CENTRO COMERCIAL GRAN MANZANA</v>
          </cell>
          <cell r="F119" t="str">
            <v>Si</v>
          </cell>
          <cell r="G119" t="str">
            <v>Si</v>
          </cell>
          <cell r="H119" t="str">
            <v>ADARCIA</v>
          </cell>
          <cell r="I119">
            <v>46099</v>
          </cell>
        </row>
        <row r="120">
          <cell r="A120">
            <v>215</v>
          </cell>
          <cell r="B120" t="str">
            <v>BOGOTA Y CUNDINAMARCA</v>
          </cell>
          <cell r="C120" t="str">
            <v>Samuel Alexander Mendez Suarez</v>
          </cell>
          <cell r="D120">
            <v>215</v>
          </cell>
          <cell r="E120" t="str">
            <v>CORABASTOS</v>
          </cell>
          <cell r="F120" t="str">
            <v>Si</v>
          </cell>
          <cell r="G120" t="str">
            <v>No</v>
          </cell>
          <cell r="H120" t="str">
            <v>ANFORERO</v>
          </cell>
          <cell r="I120">
            <v>46093</v>
          </cell>
        </row>
        <row r="121">
          <cell r="A121">
            <v>216</v>
          </cell>
          <cell r="B121" t="str">
            <v>CENTRO</v>
          </cell>
          <cell r="C121" t="str">
            <v>Frank William Castillo Leal</v>
          </cell>
          <cell r="D121">
            <v>216</v>
          </cell>
          <cell r="E121" t="str">
            <v>SABANA DE TORRES</v>
          </cell>
          <cell r="F121" t="str">
            <v>Si</v>
          </cell>
          <cell r="G121" t="str">
            <v>Si</v>
          </cell>
          <cell r="H121" t="str">
            <v>ELIZARAZ</v>
          </cell>
          <cell r="I121">
            <v>46098</v>
          </cell>
        </row>
        <row r="122">
          <cell r="A122">
            <v>217</v>
          </cell>
          <cell r="B122" t="str">
            <v>BOGOTA Y CUNDINAMARCA</v>
          </cell>
          <cell r="C122" t="str">
            <v>Samuel Alexander Mendez Suarez</v>
          </cell>
          <cell r="D122">
            <v>217</v>
          </cell>
          <cell r="E122" t="str">
            <v>MONTEVIDEO</v>
          </cell>
          <cell r="F122" t="str">
            <v>Si</v>
          </cell>
          <cell r="G122" t="str">
            <v>Si</v>
          </cell>
          <cell r="H122" t="str">
            <v>EDWGONZA</v>
          </cell>
          <cell r="I122">
            <v>46100</v>
          </cell>
        </row>
        <row r="123">
          <cell r="A123">
            <v>218</v>
          </cell>
          <cell r="B123" t="str">
            <v>ANTIOQUIA</v>
          </cell>
          <cell r="C123" t="str">
            <v>Natalia Zuluaga Rodriguez</v>
          </cell>
          <cell r="D123">
            <v>218</v>
          </cell>
          <cell r="E123" t="str">
            <v>EXITO POBLADO</v>
          </cell>
          <cell r="F123" t="str">
            <v>Si</v>
          </cell>
          <cell r="G123" t="str">
            <v>Si</v>
          </cell>
          <cell r="H123" t="str">
            <v>LUIGIL</v>
          </cell>
          <cell r="I123">
            <v>46086</v>
          </cell>
        </row>
        <row r="124">
          <cell r="A124">
            <v>219</v>
          </cell>
          <cell r="B124" t="str">
            <v>BOGOTA Y CUNDINAMARCA</v>
          </cell>
          <cell r="C124" t="str">
            <v>Victoria Eugenia Guaqueta Murcia</v>
          </cell>
          <cell r="D124">
            <v>219</v>
          </cell>
          <cell r="E124" t="str">
            <v>CENTRO DISTRITAL</v>
          </cell>
          <cell r="F124" t="str">
            <v>Si</v>
          </cell>
          <cell r="G124" t="str">
            <v>No</v>
          </cell>
          <cell r="H124" t="str">
            <v>DANCASTA</v>
          </cell>
          <cell r="I124">
            <v>46100</v>
          </cell>
        </row>
        <row r="125">
          <cell r="A125">
            <v>220</v>
          </cell>
          <cell r="B125" t="str">
            <v>ANTIOQUIA</v>
          </cell>
          <cell r="C125" t="str">
            <v>Katherine Zapata Cano</v>
          </cell>
          <cell r="D125">
            <v>220</v>
          </cell>
          <cell r="E125" t="str">
            <v>UNIVERSIDAD NACIONAL MEDELLIN</v>
          </cell>
          <cell r="F125" t="str">
            <v>Si</v>
          </cell>
          <cell r="G125" t="str">
            <v>Si</v>
          </cell>
          <cell r="H125" t="str">
            <v>LDZAPATA</v>
          </cell>
          <cell r="I125">
            <v>46092</v>
          </cell>
        </row>
        <row r="126">
          <cell r="A126">
            <v>221</v>
          </cell>
          <cell r="B126" t="str">
            <v>BOGOTA Y CUNDINAMARCA</v>
          </cell>
          <cell r="C126" t="str">
            <v>Pedro Javier Yazzo Moreno</v>
          </cell>
          <cell r="D126">
            <v>221</v>
          </cell>
          <cell r="E126" t="str">
            <v>SOACHA</v>
          </cell>
          <cell r="F126" t="str">
            <v>Si</v>
          </cell>
          <cell r="G126" t="str">
            <v>Si</v>
          </cell>
          <cell r="H126" t="str">
            <v>JUAROJAS</v>
          </cell>
          <cell r="I126">
            <v>46099</v>
          </cell>
        </row>
        <row r="127">
          <cell r="A127">
            <v>223</v>
          </cell>
          <cell r="B127" t="str">
            <v>BOGOTA Y CUNDINAMARCA</v>
          </cell>
          <cell r="C127" t="str">
            <v>Fabio Orlando Bosa Poveda</v>
          </cell>
          <cell r="D127">
            <v>223</v>
          </cell>
          <cell r="E127" t="str">
            <v>FONTIBON</v>
          </cell>
          <cell r="F127" t="str">
            <v>Si</v>
          </cell>
          <cell r="G127" t="str">
            <v>Si</v>
          </cell>
          <cell r="H127" t="str">
            <v>SYRODRIG</v>
          </cell>
          <cell r="I127">
            <v>46100</v>
          </cell>
          <cell r="J127" t="str">
            <v>2 Días</v>
          </cell>
        </row>
        <row r="128">
          <cell r="A128">
            <v>224</v>
          </cell>
          <cell r="B128" t="str">
            <v>BOGOTA Y CUNDINAMARCA</v>
          </cell>
          <cell r="C128" t="str">
            <v>Victoria Eugenia Guaqueta Murcia</v>
          </cell>
          <cell r="D128">
            <v>224</v>
          </cell>
          <cell r="E128" t="str">
            <v>FONDO NACIONAL DEL AHORRO</v>
          </cell>
          <cell r="F128" t="str">
            <v>Si</v>
          </cell>
          <cell r="G128" t="str">
            <v>Si</v>
          </cell>
          <cell r="H128" t="str">
            <v>WHENAOOR</v>
          </cell>
          <cell r="I128">
            <v>46086</v>
          </cell>
        </row>
        <row r="129">
          <cell r="A129">
            <v>225</v>
          </cell>
          <cell r="B129" t="str">
            <v>BOGOTA Y CUNDINAMARCA</v>
          </cell>
          <cell r="C129" t="str">
            <v>Victoria Eugenia Guaqueta Murcia</v>
          </cell>
          <cell r="D129">
            <v>225</v>
          </cell>
          <cell r="E129" t="str">
            <v>MALL PLAZA NQS</v>
          </cell>
          <cell r="F129" t="str">
            <v>Si</v>
          </cell>
          <cell r="G129" t="str">
            <v>No</v>
          </cell>
          <cell r="H129" t="str">
            <v>ZTCARDEN</v>
          </cell>
          <cell r="I129">
            <v>46093</v>
          </cell>
        </row>
        <row r="130">
          <cell r="A130">
            <v>226</v>
          </cell>
          <cell r="B130" t="str">
            <v>BOGOTA Y CUNDINAMARCA</v>
          </cell>
          <cell r="C130" t="str">
            <v>Camilo Andres Mila Jimenez</v>
          </cell>
          <cell r="D130">
            <v>226</v>
          </cell>
          <cell r="E130" t="str">
            <v>EXITO COUNTRY</v>
          </cell>
          <cell r="F130" t="str">
            <v>Si</v>
          </cell>
          <cell r="G130" t="str">
            <v>Si</v>
          </cell>
          <cell r="H130" t="str">
            <v>MCPENA</v>
          </cell>
          <cell r="I130">
            <v>46093</v>
          </cell>
          <cell r="J130" t="str">
            <v>2 Días</v>
          </cell>
        </row>
        <row r="131">
          <cell r="A131">
            <v>229</v>
          </cell>
          <cell r="B131" t="str">
            <v>BOGOTA Y CUNDINAMARCA</v>
          </cell>
          <cell r="C131" t="str">
            <v>Pedro Javier Yazzo Moreno</v>
          </cell>
          <cell r="D131">
            <v>229</v>
          </cell>
          <cell r="E131" t="str">
            <v>PASEO VILLA DEL RIO</v>
          </cell>
          <cell r="F131" t="str">
            <v>Si</v>
          </cell>
          <cell r="G131" t="str">
            <v>No</v>
          </cell>
          <cell r="H131" t="str">
            <v>NGALVIS</v>
          </cell>
          <cell r="I131">
            <v>46091</v>
          </cell>
        </row>
        <row r="132">
          <cell r="A132">
            <v>230</v>
          </cell>
          <cell r="B132" t="str">
            <v>ANTIOQUIA</v>
          </cell>
          <cell r="C132" t="str">
            <v>Sandra Milena Cardona Franco</v>
          </cell>
          <cell r="D132">
            <v>230</v>
          </cell>
          <cell r="E132" t="str">
            <v>VIVA ENVIGADO</v>
          </cell>
          <cell r="F132" t="str">
            <v>Si</v>
          </cell>
          <cell r="G132" t="str">
            <v>Si</v>
          </cell>
          <cell r="H132" t="str">
            <v>DIRESTRE</v>
          </cell>
          <cell r="I132">
            <v>46091</v>
          </cell>
        </row>
        <row r="133">
          <cell r="A133">
            <v>231</v>
          </cell>
          <cell r="B133" t="str">
            <v>BOGOTA Y CUNDINAMARCA</v>
          </cell>
          <cell r="C133" t="str">
            <v>Victoria Eugenia Guaqueta Murcia</v>
          </cell>
          <cell r="D133">
            <v>231</v>
          </cell>
          <cell r="E133" t="str">
            <v>BARRIO RICAURTE</v>
          </cell>
          <cell r="F133" t="str">
            <v>Si</v>
          </cell>
          <cell r="G133" t="str">
            <v>No</v>
          </cell>
          <cell r="H133" t="str">
            <v>DPRODRIG</v>
          </cell>
          <cell r="I133">
            <v>46086</v>
          </cell>
        </row>
        <row r="134">
          <cell r="A134">
            <v>232</v>
          </cell>
          <cell r="B134" t="str">
            <v>BOGOTA Y CUNDINAMARCA</v>
          </cell>
          <cell r="C134" t="str">
            <v>Nidya Marcela Poveda Sanchez</v>
          </cell>
          <cell r="D134">
            <v>232</v>
          </cell>
          <cell r="E134" t="str">
            <v>GUASCA</v>
          </cell>
          <cell r="F134" t="str">
            <v>Si</v>
          </cell>
          <cell r="G134" t="str">
            <v>No</v>
          </cell>
          <cell r="H134" t="str">
            <v>JOALRODR</v>
          </cell>
          <cell r="I134">
            <v>46099</v>
          </cell>
        </row>
        <row r="135">
          <cell r="A135">
            <v>233</v>
          </cell>
          <cell r="B135" t="str">
            <v>BOGOTA Y CUNDINAMARCA</v>
          </cell>
          <cell r="C135" t="str">
            <v>Samuel Alexander Mendez Suarez</v>
          </cell>
          <cell r="D135">
            <v>233</v>
          </cell>
          <cell r="E135" t="str">
            <v>BARRIO RESTREPO</v>
          </cell>
          <cell r="F135" t="str">
            <v>Si</v>
          </cell>
          <cell r="G135" t="str">
            <v>No</v>
          </cell>
          <cell r="H135" t="str">
            <v>OPSANCHE</v>
          </cell>
          <cell r="I135">
            <v>46093</v>
          </cell>
        </row>
        <row r="136">
          <cell r="A136">
            <v>236</v>
          </cell>
          <cell r="B136" t="str">
            <v>ANTIOQUIA</v>
          </cell>
          <cell r="C136" t="str">
            <v>Ana Maria Echavarria Gonzalez</v>
          </cell>
          <cell r="D136">
            <v>236</v>
          </cell>
          <cell r="E136" t="str">
            <v>EXITO COLOMBIA</v>
          </cell>
          <cell r="F136" t="str">
            <v>Si</v>
          </cell>
          <cell r="G136" t="str">
            <v>Si</v>
          </cell>
          <cell r="H136" t="str">
            <v>YLLOZANO</v>
          </cell>
          <cell r="I136">
            <v>46093</v>
          </cell>
        </row>
        <row r="137">
          <cell r="A137">
            <v>237</v>
          </cell>
          <cell r="B137" t="str">
            <v>BOGOTA Y CUNDINAMARCA</v>
          </cell>
          <cell r="C137" t="str">
            <v>Fabio Orlando Bosa Poveda</v>
          </cell>
          <cell r="D137">
            <v>237</v>
          </cell>
          <cell r="E137" t="str">
            <v>DORADO PLAZA</v>
          </cell>
          <cell r="F137" t="str">
            <v>Si</v>
          </cell>
          <cell r="G137" t="str">
            <v>No</v>
          </cell>
          <cell r="H137" t="str">
            <v>EHUERFAN</v>
          </cell>
          <cell r="I137">
            <v>46093</v>
          </cell>
        </row>
        <row r="138">
          <cell r="A138">
            <v>238</v>
          </cell>
          <cell r="B138" t="str">
            <v>ANTIOQUIA</v>
          </cell>
          <cell r="C138" t="str">
            <v>Julian Alejandro Rodriguez Escobar</v>
          </cell>
          <cell r="D138">
            <v>238</v>
          </cell>
          <cell r="E138" t="str">
            <v>HOSPITAL PABLO TOBON URIBE</v>
          </cell>
          <cell r="F138" t="str">
            <v>Si</v>
          </cell>
          <cell r="G138" t="str">
            <v>No</v>
          </cell>
          <cell r="H138" t="str">
            <v>PICARDON</v>
          </cell>
          <cell r="I138">
            <v>46098</v>
          </cell>
        </row>
        <row r="139">
          <cell r="A139">
            <v>240</v>
          </cell>
          <cell r="B139" t="str">
            <v>ANTIOQUIA</v>
          </cell>
          <cell r="C139" t="str">
            <v>Julian Alejandro Rodriguez Escobar</v>
          </cell>
          <cell r="D139">
            <v>240</v>
          </cell>
          <cell r="E139" t="str">
            <v>SANTAFE DE ANTIOQUIA</v>
          </cell>
          <cell r="F139" t="str">
            <v>Si</v>
          </cell>
          <cell r="G139" t="str">
            <v>No</v>
          </cell>
          <cell r="H139" t="str">
            <v>SBENITEZ</v>
          </cell>
          <cell r="I139">
            <v>46091</v>
          </cell>
        </row>
        <row r="140">
          <cell r="A140">
            <v>243</v>
          </cell>
          <cell r="B140" t="str">
            <v>ANTIOQUIA</v>
          </cell>
          <cell r="C140" t="str">
            <v>Sandra Milena Cardona Franco</v>
          </cell>
          <cell r="D140">
            <v>243</v>
          </cell>
          <cell r="E140" t="str">
            <v>LA ESTRELLA</v>
          </cell>
          <cell r="F140" t="str">
            <v>Si</v>
          </cell>
          <cell r="G140" t="str">
            <v>No</v>
          </cell>
          <cell r="H140" t="str">
            <v>GLIMARIN</v>
          </cell>
          <cell r="I140">
            <v>46092</v>
          </cell>
        </row>
        <row r="141">
          <cell r="A141">
            <v>244</v>
          </cell>
          <cell r="B141" t="str">
            <v>BOGOTA Y CUNDINAMARCA</v>
          </cell>
          <cell r="C141" t="str">
            <v>Samuel Alexander Mendez Suarez</v>
          </cell>
          <cell r="D141">
            <v>244</v>
          </cell>
          <cell r="E141" t="str">
            <v>TRINIDAD GALAN</v>
          </cell>
          <cell r="F141" t="str">
            <v>Si</v>
          </cell>
          <cell r="G141" t="str">
            <v>No</v>
          </cell>
          <cell r="H141" t="str">
            <v>JBALLEN</v>
          </cell>
          <cell r="I141">
            <v>46099</v>
          </cell>
        </row>
        <row r="142">
          <cell r="A142">
            <v>245</v>
          </cell>
          <cell r="B142" t="str">
            <v>ANTIOQUIA</v>
          </cell>
          <cell r="C142" t="str">
            <v>Juan Fernando Alzate Valencia</v>
          </cell>
          <cell r="D142">
            <v>245</v>
          </cell>
          <cell r="E142" t="str">
            <v>PUERTA DEL RIO</v>
          </cell>
          <cell r="F142" t="str">
            <v>Si</v>
          </cell>
          <cell r="G142" t="str">
            <v>No</v>
          </cell>
          <cell r="H142" t="str">
            <v>ADVASQUE</v>
          </cell>
          <cell r="I142">
            <v>46099</v>
          </cell>
        </row>
        <row r="143">
          <cell r="A143">
            <v>247</v>
          </cell>
          <cell r="B143" t="str">
            <v>BOGOTA Y CUNDINAMARCA</v>
          </cell>
          <cell r="C143" t="str">
            <v>Samuel Alexander Mendez Suarez</v>
          </cell>
          <cell r="D143">
            <v>247</v>
          </cell>
          <cell r="E143" t="str">
            <v>BARRIO SANTANDER</v>
          </cell>
          <cell r="F143" t="str">
            <v>Si</v>
          </cell>
          <cell r="G143" t="str">
            <v>No</v>
          </cell>
          <cell r="H143" t="str">
            <v>JARIZA</v>
          </cell>
          <cell r="I143">
            <v>46093</v>
          </cell>
        </row>
        <row r="144">
          <cell r="A144">
            <v>249</v>
          </cell>
          <cell r="B144" t="str">
            <v>BOGOTA Y CUNDINAMARCA</v>
          </cell>
          <cell r="C144" t="str">
            <v>Nidya Marcela Poveda Sanchez</v>
          </cell>
          <cell r="D144">
            <v>249</v>
          </cell>
          <cell r="E144" t="str">
            <v>LA CALERA</v>
          </cell>
          <cell r="F144" t="str">
            <v>Si</v>
          </cell>
          <cell r="G144" t="str">
            <v>Si</v>
          </cell>
          <cell r="H144" t="str">
            <v>EMORENO</v>
          </cell>
          <cell r="I144">
            <v>46086</v>
          </cell>
        </row>
        <row r="145">
          <cell r="A145">
            <v>250</v>
          </cell>
          <cell r="B145" t="str">
            <v>BOGOTA Y CUNDINAMARCA</v>
          </cell>
          <cell r="C145" t="str">
            <v>Fabio Orlando Bosa Poveda</v>
          </cell>
          <cell r="D145">
            <v>250</v>
          </cell>
          <cell r="E145" t="str">
            <v>MODELIA</v>
          </cell>
          <cell r="F145" t="str">
            <v>Si</v>
          </cell>
          <cell r="G145" t="str">
            <v>Si</v>
          </cell>
          <cell r="H145" t="str">
            <v>MCJARAMI</v>
          </cell>
          <cell r="I145">
            <v>46099</v>
          </cell>
        </row>
        <row r="146">
          <cell r="A146">
            <v>253</v>
          </cell>
          <cell r="B146" t="str">
            <v>ANTIOQUIA</v>
          </cell>
          <cell r="C146" t="str">
            <v>Julian Alejandro Rodriguez Escobar</v>
          </cell>
          <cell r="D146">
            <v>253</v>
          </cell>
          <cell r="E146" t="str">
            <v>PUERTA DEL NORTE</v>
          </cell>
          <cell r="F146" t="str">
            <v>Si</v>
          </cell>
          <cell r="G146" t="str">
            <v>No</v>
          </cell>
          <cell r="H146" t="str">
            <v>ISALOPEZ</v>
          </cell>
          <cell r="I146">
            <v>46092</v>
          </cell>
        </row>
        <row r="147">
          <cell r="A147">
            <v>254</v>
          </cell>
          <cell r="B147" t="str">
            <v>ANTIOQUIA</v>
          </cell>
          <cell r="C147" t="str">
            <v>Juan Fernando Alzate Valencia</v>
          </cell>
          <cell r="D147">
            <v>254</v>
          </cell>
          <cell r="E147" t="str">
            <v>PUERTO BOYACA</v>
          </cell>
          <cell r="F147" t="str">
            <v>Si</v>
          </cell>
          <cell r="G147" t="str">
            <v>No</v>
          </cell>
          <cell r="H147" t="str">
            <v>AUQUINTE</v>
          </cell>
          <cell r="I147">
            <v>46092</v>
          </cell>
        </row>
        <row r="148">
          <cell r="A148">
            <v>255</v>
          </cell>
          <cell r="B148" t="str">
            <v>ANTIOQUIA</v>
          </cell>
          <cell r="C148" t="str">
            <v>Juan Fernando Alzate Valencia</v>
          </cell>
          <cell r="D148">
            <v>255</v>
          </cell>
          <cell r="E148" t="str">
            <v>PREMIUM PLAZA</v>
          </cell>
          <cell r="F148" t="str">
            <v>Si</v>
          </cell>
          <cell r="G148" t="str">
            <v>Si</v>
          </cell>
          <cell r="H148" t="str">
            <v>JUANJMON</v>
          </cell>
          <cell r="I148">
            <v>46092</v>
          </cell>
        </row>
        <row r="149">
          <cell r="A149">
            <v>258</v>
          </cell>
          <cell r="B149" t="str">
            <v>CENTRO</v>
          </cell>
          <cell r="C149" t="str">
            <v>Yury Yaquelin Daza Congo</v>
          </cell>
          <cell r="D149">
            <v>258</v>
          </cell>
          <cell r="E149" t="str">
            <v>TUNJA</v>
          </cell>
          <cell r="F149" t="str">
            <v>Si</v>
          </cell>
          <cell r="G149" t="str">
            <v>Si</v>
          </cell>
          <cell r="H149" t="str">
            <v>MIROMERO</v>
          </cell>
          <cell r="I149">
            <v>46093</v>
          </cell>
        </row>
        <row r="150">
          <cell r="A150">
            <v>259</v>
          </cell>
          <cell r="B150" t="str">
            <v>ANTIOQUIA</v>
          </cell>
          <cell r="C150" t="str">
            <v>Natalia Zuluaga Rodriguez</v>
          </cell>
          <cell r="D150">
            <v>259</v>
          </cell>
          <cell r="E150" t="str">
            <v>SAN LUCAS PLAZA</v>
          </cell>
          <cell r="F150" t="str">
            <v>Si</v>
          </cell>
          <cell r="G150" t="str">
            <v>Si</v>
          </cell>
          <cell r="H150" t="str">
            <v>JHETORRE</v>
          </cell>
          <cell r="I150">
            <v>46100</v>
          </cell>
        </row>
        <row r="151">
          <cell r="A151">
            <v>261</v>
          </cell>
          <cell r="B151" t="str">
            <v>SUR</v>
          </cell>
          <cell r="C151" t="str">
            <v>Norma Constanza Barrera Pabon</v>
          </cell>
          <cell r="D151">
            <v>261</v>
          </cell>
          <cell r="E151" t="str">
            <v>CAMPANARIO POPAYAN</v>
          </cell>
          <cell r="F151" t="str">
            <v>Si</v>
          </cell>
          <cell r="G151" t="str">
            <v>Si</v>
          </cell>
          <cell r="H151" t="str">
            <v>DLASSO</v>
          </cell>
          <cell r="I151">
            <v>46093</v>
          </cell>
        </row>
        <row r="152">
          <cell r="A152">
            <v>262</v>
          </cell>
          <cell r="B152" t="str">
            <v>CENTRO</v>
          </cell>
          <cell r="C152" t="str">
            <v>Yury Yaquelin Daza Congo</v>
          </cell>
          <cell r="D152">
            <v>262</v>
          </cell>
          <cell r="E152" t="str">
            <v>DUITAMA</v>
          </cell>
          <cell r="F152" t="str">
            <v>Si</v>
          </cell>
          <cell r="G152" t="str">
            <v>Si</v>
          </cell>
          <cell r="H152" t="str">
            <v>LMCASTAN</v>
          </cell>
          <cell r="I152">
            <v>46100</v>
          </cell>
        </row>
        <row r="153">
          <cell r="A153">
            <v>264</v>
          </cell>
          <cell r="B153" t="str">
            <v>BOGOTA Y CUNDINAMARCA</v>
          </cell>
          <cell r="C153" t="str">
            <v>Pedro Javier Yazzo Moreno</v>
          </cell>
          <cell r="D153">
            <v>264</v>
          </cell>
          <cell r="E153" t="str">
            <v>FUSAGASUGA</v>
          </cell>
          <cell r="F153" t="str">
            <v>Si</v>
          </cell>
          <cell r="G153" t="str">
            <v>No</v>
          </cell>
          <cell r="H153" t="str">
            <v>MJINFANT</v>
          </cell>
          <cell r="I153">
            <v>46091</v>
          </cell>
        </row>
        <row r="154">
          <cell r="A154">
            <v>265</v>
          </cell>
          <cell r="B154" t="str">
            <v>SUR</v>
          </cell>
          <cell r="C154" t="str">
            <v>Hector Mario Rendon Ocampo</v>
          </cell>
          <cell r="D154">
            <v>265</v>
          </cell>
          <cell r="E154" t="str">
            <v>VALLE DEL LILI</v>
          </cell>
          <cell r="F154" t="str">
            <v>Si</v>
          </cell>
          <cell r="G154" t="str">
            <v>Si</v>
          </cell>
          <cell r="H154" t="str">
            <v>MADHERNA</v>
          </cell>
          <cell r="I154">
            <v>46093</v>
          </cell>
        </row>
        <row r="155">
          <cell r="A155">
            <v>267</v>
          </cell>
          <cell r="B155" t="str">
            <v>ANTIOQUIA</v>
          </cell>
          <cell r="C155" t="str">
            <v>Natalia Zuluaga Rodriguez</v>
          </cell>
          <cell r="D155">
            <v>267</v>
          </cell>
          <cell r="E155" t="str">
            <v>VISITACION</v>
          </cell>
          <cell r="F155" t="str">
            <v>Si</v>
          </cell>
          <cell r="G155" t="str">
            <v>No</v>
          </cell>
          <cell r="H155" t="str">
            <v>EIJARAMI</v>
          </cell>
          <cell r="I155">
            <v>46100</v>
          </cell>
        </row>
        <row r="156">
          <cell r="A156">
            <v>270</v>
          </cell>
          <cell r="B156" t="str">
            <v>SUR</v>
          </cell>
          <cell r="C156" t="str">
            <v>Sergio Arias Pelaez</v>
          </cell>
          <cell r="D156">
            <v>270</v>
          </cell>
          <cell r="E156" t="str">
            <v>UNICENTRO PEREIRA</v>
          </cell>
          <cell r="F156" t="str">
            <v>Si</v>
          </cell>
          <cell r="G156" t="str">
            <v>No</v>
          </cell>
          <cell r="H156" t="str">
            <v>JUCGONZA</v>
          </cell>
          <cell r="I156">
            <v>46100</v>
          </cell>
          <cell r="J156" t="str">
            <v>2 Días</v>
          </cell>
        </row>
        <row r="157">
          <cell r="A157">
            <v>272</v>
          </cell>
          <cell r="B157" t="str">
            <v>ANTIOQUIA</v>
          </cell>
          <cell r="C157" t="str">
            <v>Ana Maria Echavarria Gonzalez</v>
          </cell>
          <cell r="D157">
            <v>272</v>
          </cell>
          <cell r="E157" t="str">
            <v>CARRERA 70</v>
          </cell>
          <cell r="F157" t="str">
            <v>Si</v>
          </cell>
          <cell r="G157" t="str">
            <v>No</v>
          </cell>
          <cell r="H157" t="str">
            <v>DEGARCIA</v>
          </cell>
          <cell r="I157">
            <v>46091</v>
          </cell>
        </row>
        <row r="158">
          <cell r="A158">
            <v>273</v>
          </cell>
          <cell r="B158" t="str">
            <v>BOGOTA Y CUNDINAMARCA</v>
          </cell>
          <cell r="C158" t="str">
            <v>Nidya Marcela Poveda Sanchez</v>
          </cell>
          <cell r="D158">
            <v>273</v>
          </cell>
          <cell r="E158" t="str">
            <v>SIBERIA</v>
          </cell>
          <cell r="F158" t="str">
            <v>Si</v>
          </cell>
          <cell r="G158" t="str">
            <v>No</v>
          </cell>
          <cell r="H158" t="str">
            <v>RVELASQU</v>
          </cell>
          <cell r="I158">
            <v>46086</v>
          </cell>
        </row>
        <row r="159">
          <cell r="A159">
            <v>275</v>
          </cell>
          <cell r="B159" t="str">
            <v>ANTIOQUIA</v>
          </cell>
          <cell r="C159" t="str">
            <v>Sandra Milena Cardona Franco</v>
          </cell>
          <cell r="D159">
            <v>275</v>
          </cell>
          <cell r="E159" t="str">
            <v>BOULEVAR ENVIGADO</v>
          </cell>
          <cell r="F159" t="str">
            <v>Si</v>
          </cell>
          <cell r="G159" t="str">
            <v>Si</v>
          </cell>
          <cell r="H159" t="str">
            <v>DIBLANDO</v>
          </cell>
          <cell r="I159">
            <v>46086</v>
          </cell>
        </row>
        <row r="160">
          <cell r="A160">
            <v>277</v>
          </cell>
          <cell r="B160" t="str">
            <v>ANTIOQUIA</v>
          </cell>
          <cell r="C160" t="str">
            <v>Sandra Milena Cardona Franco</v>
          </cell>
          <cell r="D160">
            <v>277</v>
          </cell>
          <cell r="E160" t="str">
            <v>CENTRO COMERCIAL MAYORCA</v>
          </cell>
          <cell r="F160" t="str">
            <v>Si</v>
          </cell>
          <cell r="G160" t="str">
            <v>No</v>
          </cell>
          <cell r="H160" t="str">
            <v>LMCALZAT</v>
          </cell>
          <cell r="I160">
            <v>46092</v>
          </cell>
        </row>
        <row r="161">
          <cell r="A161">
            <v>279</v>
          </cell>
          <cell r="B161" t="str">
            <v>ANTIOQUIA</v>
          </cell>
          <cell r="C161" t="str">
            <v>Sandra Milena Cardona Franco</v>
          </cell>
          <cell r="D161">
            <v>279</v>
          </cell>
          <cell r="E161" t="str">
            <v>ITAGUI PARQUE</v>
          </cell>
          <cell r="F161" t="str">
            <v>Si</v>
          </cell>
          <cell r="G161" t="str">
            <v>No</v>
          </cell>
          <cell r="H161" t="str">
            <v>LUDLOPEZ</v>
          </cell>
          <cell r="I161">
            <v>46098</v>
          </cell>
        </row>
        <row r="162">
          <cell r="A162">
            <v>281</v>
          </cell>
          <cell r="B162" t="str">
            <v>BOGOTA Y CUNDINAMARCA</v>
          </cell>
          <cell r="C162" t="str">
            <v>Kirsys Nadyra Robelto Sanchez</v>
          </cell>
          <cell r="D162">
            <v>281</v>
          </cell>
          <cell r="E162" t="str">
            <v>PARALELO 108</v>
          </cell>
          <cell r="F162" t="str">
            <v>Si</v>
          </cell>
          <cell r="G162" t="str">
            <v>No</v>
          </cell>
          <cell r="H162" t="str">
            <v>LADRINCO</v>
          </cell>
          <cell r="I162">
            <v>46086</v>
          </cell>
        </row>
        <row r="163">
          <cell r="A163">
            <v>285</v>
          </cell>
          <cell r="B163" t="str">
            <v>CENTRO</v>
          </cell>
          <cell r="C163" t="str">
            <v>Astrid Alexandra Quintero Arciniegas</v>
          </cell>
          <cell r="D163">
            <v>285</v>
          </cell>
          <cell r="E163" t="str">
            <v>GARZON</v>
          </cell>
          <cell r="F163" t="str">
            <v>Si</v>
          </cell>
          <cell r="G163" t="str">
            <v>Si</v>
          </cell>
          <cell r="H163" t="str">
            <v>DLROJAS</v>
          </cell>
          <cell r="I163">
            <v>46099</v>
          </cell>
        </row>
        <row r="164">
          <cell r="A164">
            <v>287</v>
          </cell>
          <cell r="B164" t="str">
            <v>CENTRO</v>
          </cell>
          <cell r="C164" t="str">
            <v>Yenis Meybi Fernandez Marin</v>
          </cell>
          <cell r="D164">
            <v>287</v>
          </cell>
          <cell r="E164" t="str">
            <v>CENTRAL DE ABASTOS B/MANGA</v>
          </cell>
          <cell r="F164" t="str">
            <v>Si</v>
          </cell>
          <cell r="G164" t="str">
            <v>Si</v>
          </cell>
          <cell r="H164" t="str">
            <v>LMPINILL</v>
          </cell>
          <cell r="I164">
            <v>46100</v>
          </cell>
        </row>
        <row r="165">
          <cell r="A165">
            <v>289</v>
          </cell>
          <cell r="B165" t="str">
            <v>CENTRO</v>
          </cell>
          <cell r="C165" t="str">
            <v>Juan Felipe Russi Gamboa</v>
          </cell>
          <cell r="D165">
            <v>289</v>
          </cell>
          <cell r="E165" t="str">
            <v>PUERTO GAITAN</v>
          </cell>
          <cell r="F165" t="str">
            <v>Si</v>
          </cell>
          <cell r="G165" t="str">
            <v>Si</v>
          </cell>
          <cell r="H165" t="str">
            <v>ELLMEDIN</v>
          </cell>
          <cell r="I165">
            <v>46093</v>
          </cell>
        </row>
        <row r="166">
          <cell r="A166">
            <v>290</v>
          </cell>
          <cell r="B166" t="str">
            <v>CENTRO</v>
          </cell>
          <cell r="C166" t="str">
            <v>Frank William Castillo Leal</v>
          </cell>
          <cell r="D166">
            <v>290</v>
          </cell>
          <cell r="E166" t="str">
            <v>SOCORRO SANTANDER</v>
          </cell>
          <cell r="F166" t="str">
            <v>Si</v>
          </cell>
          <cell r="G166" t="str">
            <v>Si</v>
          </cell>
          <cell r="H166" t="str">
            <v>EPENUELA</v>
          </cell>
          <cell r="I166">
            <v>46086</v>
          </cell>
        </row>
        <row r="167">
          <cell r="A167">
            <v>291</v>
          </cell>
          <cell r="B167" t="str">
            <v>CENTRO</v>
          </cell>
          <cell r="C167" t="str">
            <v>Yenis Meybi Fernandez Marin</v>
          </cell>
          <cell r="D167">
            <v>291</v>
          </cell>
          <cell r="E167" t="str">
            <v>LAS PALMAS</v>
          </cell>
          <cell r="F167" t="str">
            <v>Si</v>
          </cell>
          <cell r="G167" t="str">
            <v>Si</v>
          </cell>
          <cell r="H167" t="str">
            <v>FVASQUEZ</v>
          </cell>
          <cell r="I167">
            <v>46091</v>
          </cell>
        </row>
        <row r="168">
          <cell r="A168">
            <v>292</v>
          </cell>
          <cell r="B168" t="str">
            <v>ANTIOQUIA</v>
          </cell>
          <cell r="C168" t="str">
            <v>Sandra Milena Cardona Franco</v>
          </cell>
          <cell r="D168">
            <v>292</v>
          </cell>
          <cell r="E168" t="str">
            <v>CENTRO DE LA CONFECCION</v>
          </cell>
          <cell r="F168" t="str">
            <v>Si</v>
          </cell>
          <cell r="G168" t="str">
            <v>Si</v>
          </cell>
          <cell r="H168" t="str">
            <v>CLFERNAN</v>
          </cell>
          <cell r="I168">
            <v>46098</v>
          </cell>
        </row>
        <row r="169">
          <cell r="A169">
            <v>297</v>
          </cell>
          <cell r="B169" t="str">
            <v>CENTRO</v>
          </cell>
          <cell r="C169" t="str">
            <v>Frank William Castillo Leal</v>
          </cell>
          <cell r="D169">
            <v>297</v>
          </cell>
          <cell r="E169" t="str">
            <v>AGUACHICA</v>
          </cell>
          <cell r="F169" t="str">
            <v>Si</v>
          </cell>
          <cell r="G169" t="str">
            <v>No</v>
          </cell>
          <cell r="H169" t="str">
            <v>JHARENAS</v>
          </cell>
          <cell r="I169">
            <v>46086</v>
          </cell>
          <cell r="J169" t="str">
            <v>2 Días</v>
          </cell>
        </row>
        <row r="170">
          <cell r="A170">
            <v>298</v>
          </cell>
          <cell r="B170" t="str">
            <v>ANTIOQUIA</v>
          </cell>
          <cell r="C170" t="str">
            <v>Ana Maria Echavarria Gonzalez</v>
          </cell>
          <cell r="D170">
            <v>298</v>
          </cell>
          <cell r="E170" t="str">
            <v>VIVA LAURELES</v>
          </cell>
          <cell r="F170" t="str">
            <v>Si</v>
          </cell>
          <cell r="G170" t="str">
            <v>No</v>
          </cell>
          <cell r="H170" t="str">
            <v>GLARISTI</v>
          </cell>
          <cell r="I170">
            <v>46099</v>
          </cell>
        </row>
        <row r="171">
          <cell r="A171">
            <v>299</v>
          </cell>
          <cell r="B171" t="str">
            <v>BOGOTA Y CUNDINAMARCA</v>
          </cell>
          <cell r="C171" t="str">
            <v>Fabio Orlando Bosa Poveda</v>
          </cell>
          <cell r="D171">
            <v>299</v>
          </cell>
          <cell r="E171" t="str">
            <v>LA GRAN ESTACION</v>
          </cell>
          <cell r="F171" t="str">
            <v>Si</v>
          </cell>
          <cell r="G171" t="str">
            <v>Si</v>
          </cell>
          <cell r="H171" t="str">
            <v>WQUIROGA</v>
          </cell>
          <cell r="I171">
            <v>46086</v>
          </cell>
          <cell r="J171" t="str">
            <v>2 Días</v>
          </cell>
        </row>
        <row r="172">
          <cell r="A172">
            <v>300</v>
          </cell>
          <cell r="B172" t="str">
            <v>BOGOTA Y CUNDINAMARCA</v>
          </cell>
          <cell r="C172" t="str">
            <v>Kirsys Nadyra Robelto Sanchez</v>
          </cell>
          <cell r="D172">
            <v>300</v>
          </cell>
          <cell r="E172" t="str">
            <v>AUTOPISTA 98</v>
          </cell>
          <cell r="F172" t="str">
            <v>Si</v>
          </cell>
          <cell r="G172" t="str">
            <v>No</v>
          </cell>
          <cell r="H172" t="str">
            <v>HDSANCHE</v>
          </cell>
          <cell r="I172">
            <v>46091</v>
          </cell>
        </row>
        <row r="173">
          <cell r="A173">
            <v>302</v>
          </cell>
          <cell r="B173" t="str">
            <v>CENTRO</v>
          </cell>
          <cell r="C173" t="str">
            <v>Yenis Meybi Fernandez Marin</v>
          </cell>
          <cell r="D173">
            <v>302</v>
          </cell>
          <cell r="E173" t="str">
            <v>QUEBRADA SECA</v>
          </cell>
          <cell r="F173" t="str">
            <v>Si</v>
          </cell>
          <cell r="G173" t="str">
            <v>No</v>
          </cell>
          <cell r="H173" t="str">
            <v>LUDACEVE</v>
          </cell>
          <cell r="I173">
            <v>46091</v>
          </cell>
        </row>
        <row r="174">
          <cell r="A174">
            <v>303</v>
          </cell>
          <cell r="B174" t="str">
            <v>CENTRO</v>
          </cell>
          <cell r="C174" t="str">
            <v>Yenis Meybi Fernandez Marin</v>
          </cell>
          <cell r="D174">
            <v>303</v>
          </cell>
          <cell r="E174" t="str">
            <v>EXITO BUCARAMANGA</v>
          </cell>
          <cell r="F174" t="str">
            <v>Si</v>
          </cell>
          <cell r="G174" t="str">
            <v>Si</v>
          </cell>
          <cell r="H174" t="str">
            <v>EBLANCO</v>
          </cell>
          <cell r="I174">
            <v>46100</v>
          </cell>
        </row>
        <row r="175">
          <cell r="A175">
            <v>304</v>
          </cell>
          <cell r="B175" t="str">
            <v>BOGOTA Y CUNDINAMARCA</v>
          </cell>
          <cell r="C175" t="str">
            <v>Kirsys Nadyra Robelto Sanchez</v>
          </cell>
          <cell r="D175">
            <v>304</v>
          </cell>
          <cell r="E175" t="str">
            <v>WORLD TRADE CENTER</v>
          </cell>
          <cell r="F175" t="str">
            <v>Si</v>
          </cell>
          <cell r="G175" t="str">
            <v>Si</v>
          </cell>
          <cell r="H175" t="str">
            <v>AACEVEDO</v>
          </cell>
          <cell r="I175">
            <v>46099</v>
          </cell>
        </row>
        <row r="176">
          <cell r="A176">
            <v>305</v>
          </cell>
          <cell r="B176" t="str">
            <v>CENTRO</v>
          </cell>
          <cell r="C176" t="str">
            <v>Juan Felipe Russi Gamboa</v>
          </cell>
          <cell r="D176">
            <v>305</v>
          </cell>
          <cell r="E176" t="str">
            <v>VILLANUEVA CASANARE</v>
          </cell>
          <cell r="F176" t="str">
            <v>Si</v>
          </cell>
          <cell r="G176" t="str">
            <v>No</v>
          </cell>
          <cell r="H176" t="str">
            <v>ADLOAIZA</v>
          </cell>
          <cell r="I176">
            <v>46093</v>
          </cell>
        </row>
        <row r="177">
          <cell r="A177">
            <v>306</v>
          </cell>
          <cell r="B177" t="str">
            <v>CENTRO</v>
          </cell>
          <cell r="C177" t="str">
            <v>Frank William Castillo Leal</v>
          </cell>
          <cell r="D177">
            <v>306</v>
          </cell>
          <cell r="E177" t="str">
            <v>BARRANCABERMEJA</v>
          </cell>
          <cell r="F177" t="str">
            <v>Si</v>
          </cell>
          <cell r="G177" t="str">
            <v>No</v>
          </cell>
          <cell r="H177" t="str">
            <v>ASAJONER</v>
          </cell>
          <cell r="I177">
            <v>46099</v>
          </cell>
        </row>
        <row r="178">
          <cell r="A178">
            <v>310</v>
          </cell>
          <cell r="B178" t="str">
            <v>ANTIOQUIA</v>
          </cell>
          <cell r="C178" t="str">
            <v>Katherine Zapata Cano</v>
          </cell>
          <cell r="D178">
            <v>310</v>
          </cell>
          <cell r="E178" t="str">
            <v>COLTABACO</v>
          </cell>
          <cell r="F178" t="str">
            <v>Si</v>
          </cell>
          <cell r="G178" t="str">
            <v>No</v>
          </cell>
          <cell r="H178" t="str">
            <v>JAGIRADO</v>
          </cell>
          <cell r="I178">
            <v>46091</v>
          </cell>
        </row>
        <row r="179">
          <cell r="A179">
            <v>311</v>
          </cell>
          <cell r="B179" t="str">
            <v>ANTIOQUIA</v>
          </cell>
          <cell r="C179" t="str">
            <v>Julian Alejandro Rodriguez Escobar</v>
          </cell>
          <cell r="D179">
            <v>311</v>
          </cell>
          <cell r="E179" t="str">
            <v>BELLO</v>
          </cell>
          <cell r="F179" t="str">
            <v>Si</v>
          </cell>
          <cell r="G179" t="str">
            <v>No</v>
          </cell>
          <cell r="H179" t="str">
            <v>CAJARAMI</v>
          </cell>
          <cell r="I179">
            <v>46086</v>
          </cell>
          <cell r="J179" t="str">
            <v>2 Días</v>
          </cell>
        </row>
        <row r="180">
          <cell r="A180">
            <v>312</v>
          </cell>
          <cell r="B180" t="str">
            <v>CENTRO</v>
          </cell>
          <cell r="C180" t="str">
            <v>Yury Yaquelin Daza Congo</v>
          </cell>
          <cell r="D180">
            <v>312</v>
          </cell>
          <cell r="E180" t="str">
            <v>MALAGA</v>
          </cell>
          <cell r="F180" t="str">
            <v>Si</v>
          </cell>
          <cell r="G180" t="str">
            <v>Si</v>
          </cell>
          <cell r="H180" t="str">
            <v>CRITRIAN</v>
          </cell>
          <cell r="I180">
            <v>46092</v>
          </cell>
        </row>
        <row r="181">
          <cell r="A181">
            <v>316</v>
          </cell>
          <cell r="B181" t="str">
            <v>ANTIOQUIA</v>
          </cell>
          <cell r="C181" t="str">
            <v>Katherine Zapata Cano</v>
          </cell>
          <cell r="D181">
            <v>316</v>
          </cell>
          <cell r="E181" t="str">
            <v>CAMINO REAL</v>
          </cell>
          <cell r="F181" t="str">
            <v>Si</v>
          </cell>
          <cell r="G181" t="str">
            <v>No</v>
          </cell>
          <cell r="H181" t="str">
            <v>ANDOSPIN</v>
          </cell>
          <cell r="I181">
            <v>46086</v>
          </cell>
        </row>
        <row r="182">
          <cell r="A182">
            <v>317</v>
          </cell>
          <cell r="B182" t="str">
            <v>CENTRO</v>
          </cell>
          <cell r="C182" t="str">
            <v>Adriana Maritza Angulo Mora</v>
          </cell>
          <cell r="D182">
            <v>317</v>
          </cell>
          <cell r="E182" t="str">
            <v>ARAUCA</v>
          </cell>
          <cell r="F182" t="str">
            <v>Si</v>
          </cell>
          <cell r="G182" t="str">
            <v>Si</v>
          </cell>
          <cell r="H182" t="str">
            <v>VICARDEN</v>
          </cell>
          <cell r="I182">
            <v>46099</v>
          </cell>
        </row>
        <row r="183">
          <cell r="A183">
            <v>318</v>
          </cell>
          <cell r="B183" t="str">
            <v>CENTRO</v>
          </cell>
          <cell r="C183" t="str">
            <v>Adriana Maritza Angulo Mora</v>
          </cell>
          <cell r="D183">
            <v>318</v>
          </cell>
          <cell r="E183" t="str">
            <v>OCANA</v>
          </cell>
          <cell r="F183" t="str">
            <v>Si</v>
          </cell>
          <cell r="G183" t="str">
            <v>No</v>
          </cell>
          <cell r="H183" t="str">
            <v>CYALVARE</v>
          </cell>
          <cell r="I183">
            <v>46091</v>
          </cell>
          <cell r="J183" t="str">
            <v>2 Días</v>
          </cell>
        </row>
        <row r="184">
          <cell r="A184">
            <v>322</v>
          </cell>
          <cell r="B184" t="str">
            <v>CENTRO</v>
          </cell>
          <cell r="C184" t="str">
            <v>Frank William Castillo Leal</v>
          </cell>
          <cell r="D184">
            <v>322</v>
          </cell>
          <cell r="E184" t="str">
            <v>SAN GIL</v>
          </cell>
          <cell r="F184" t="str">
            <v>Si</v>
          </cell>
          <cell r="G184" t="str">
            <v>Si</v>
          </cell>
          <cell r="H184" t="str">
            <v>CARLBALL</v>
          </cell>
          <cell r="I184">
            <v>46093</v>
          </cell>
        </row>
        <row r="185">
          <cell r="A185">
            <v>325</v>
          </cell>
          <cell r="B185" t="str">
            <v>ANTIOQUIA</v>
          </cell>
          <cell r="C185" t="str">
            <v>Juan Fernando Alzate Valencia</v>
          </cell>
          <cell r="D185">
            <v>325</v>
          </cell>
          <cell r="E185" t="str">
            <v>SANTUARIO</v>
          </cell>
          <cell r="F185" t="str">
            <v>Si</v>
          </cell>
          <cell r="G185" t="str">
            <v>Si</v>
          </cell>
          <cell r="H185" t="str">
            <v>DANVALLE</v>
          </cell>
          <cell r="I185">
            <v>46086</v>
          </cell>
        </row>
        <row r="186">
          <cell r="A186">
            <v>327</v>
          </cell>
          <cell r="B186" t="str">
            <v>CENTRO</v>
          </cell>
          <cell r="C186" t="str">
            <v>Yenis Meybi Fernandez Marin</v>
          </cell>
          <cell r="D186">
            <v>327</v>
          </cell>
          <cell r="E186" t="str">
            <v>CASA DEL LIBRO</v>
          </cell>
          <cell r="F186" t="str">
            <v>Si</v>
          </cell>
          <cell r="G186" t="str">
            <v>Si</v>
          </cell>
          <cell r="H186" t="str">
            <v>JXPINEDA</v>
          </cell>
          <cell r="I186">
            <v>46091</v>
          </cell>
        </row>
        <row r="187">
          <cell r="A187">
            <v>328</v>
          </cell>
          <cell r="B187" t="str">
            <v>BOGOTA Y CUNDINAMARCA</v>
          </cell>
          <cell r="C187" t="str">
            <v>Fabio Orlando Bosa Poveda</v>
          </cell>
          <cell r="D187">
            <v>328</v>
          </cell>
          <cell r="E187" t="str">
            <v>TERMINAL DE CARGA INTERNACIONAL</v>
          </cell>
          <cell r="F187" t="str">
            <v>Si</v>
          </cell>
          <cell r="G187" t="str">
            <v>Si</v>
          </cell>
          <cell r="H187" t="str">
            <v>OLLGONZA</v>
          </cell>
          <cell r="I187">
            <v>46093</v>
          </cell>
        </row>
        <row r="188">
          <cell r="A188">
            <v>329</v>
          </cell>
          <cell r="B188" t="str">
            <v>CENTRO</v>
          </cell>
          <cell r="C188" t="str">
            <v>Frank William Castillo Leal</v>
          </cell>
          <cell r="D188">
            <v>329</v>
          </cell>
          <cell r="E188" t="str">
            <v>VELEZ</v>
          </cell>
          <cell r="F188" t="str">
            <v>Si</v>
          </cell>
          <cell r="G188" t="str">
            <v>No</v>
          </cell>
          <cell r="H188" t="str">
            <v>DUSECHE</v>
          </cell>
          <cell r="I188">
            <v>46086</v>
          </cell>
        </row>
        <row r="189">
          <cell r="A189">
            <v>330</v>
          </cell>
          <cell r="B189" t="str">
            <v>CARIBE</v>
          </cell>
          <cell r="C189" t="str">
            <v>German Alcides Hernandez Vivero</v>
          </cell>
          <cell r="D189">
            <v>330</v>
          </cell>
          <cell r="E189" t="str">
            <v>MALAMBO</v>
          </cell>
          <cell r="F189" t="str">
            <v>Si</v>
          </cell>
          <cell r="G189" t="str">
            <v>Si</v>
          </cell>
          <cell r="H189" t="str">
            <v>ARUZ</v>
          </cell>
          <cell r="I189">
            <v>46086</v>
          </cell>
        </row>
        <row r="190">
          <cell r="A190">
            <v>331</v>
          </cell>
          <cell r="B190" t="str">
            <v>ANTIOQUIA</v>
          </cell>
          <cell r="C190" t="str">
            <v>Ana Maria Echavarria Gonzalez</v>
          </cell>
          <cell r="D190">
            <v>331</v>
          </cell>
          <cell r="E190" t="str">
            <v>ARKADIA</v>
          </cell>
          <cell r="F190" t="str">
            <v>Si</v>
          </cell>
          <cell r="G190" t="str">
            <v>No</v>
          </cell>
          <cell r="H190" t="str">
            <v>NDUQUE</v>
          </cell>
          <cell r="I190">
            <v>46086</v>
          </cell>
        </row>
        <row r="191">
          <cell r="A191">
            <v>332</v>
          </cell>
          <cell r="B191" t="str">
            <v>BOGOTA Y CUNDINAMARCA</v>
          </cell>
          <cell r="C191" t="str">
            <v>Nidya Marcela Poveda Sanchez</v>
          </cell>
          <cell r="D191">
            <v>332</v>
          </cell>
          <cell r="E191" t="str">
            <v>ZIPAQUIRA</v>
          </cell>
          <cell r="F191" t="str">
            <v>Si</v>
          </cell>
          <cell r="G191" t="str">
            <v>No</v>
          </cell>
          <cell r="H191" t="str">
            <v>ABFIGUER</v>
          </cell>
          <cell r="I191">
            <v>46100</v>
          </cell>
        </row>
        <row r="192">
          <cell r="A192">
            <v>333</v>
          </cell>
          <cell r="B192" t="str">
            <v>ANTIOQUIA</v>
          </cell>
          <cell r="C192" t="str">
            <v>Sandra Milena Cardona Franco</v>
          </cell>
          <cell r="D192">
            <v>333</v>
          </cell>
          <cell r="E192" t="str">
            <v>SABANETA AVES MARIA</v>
          </cell>
          <cell r="F192" t="str">
            <v>Si</v>
          </cell>
          <cell r="G192" t="str">
            <v>Si</v>
          </cell>
          <cell r="H192" t="str">
            <v>LUCRAMIR</v>
          </cell>
          <cell r="I192">
            <v>46086</v>
          </cell>
        </row>
        <row r="193">
          <cell r="A193">
            <v>334</v>
          </cell>
          <cell r="B193" t="str">
            <v>ANTIOQUIA</v>
          </cell>
          <cell r="C193" t="str">
            <v>Juan Fernando Alzate Valencia</v>
          </cell>
          <cell r="D193">
            <v>334</v>
          </cell>
          <cell r="E193" t="str">
            <v>EL PENOL</v>
          </cell>
          <cell r="F193" t="str">
            <v>Si</v>
          </cell>
          <cell r="G193" t="str">
            <v>No</v>
          </cell>
          <cell r="H193" t="str">
            <v>NATANRAM</v>
          </cell>
          <cell r="I193">
            <v>46099</v>
          </cell>
        </row>
        <row r="194">
          <cell r="A194">
            <v>335</v>
          </cell>
          <cell r="B194" t="str">
            <v>BOGOTA Y CUNDINAMARCA</v>
          </cell>
          <cell r="C194" t="str">
            <v>Nidya Marcela Poveda Sanchez</v>
          </cell>
          <cell r="D194">
            <v>335</v>
          </cell>
          <cell r="E194" t="str">
            <v>CAJICA</v>
          </cell>
          <cell r="F194" t="str">
            <v>Si</v>
          </cell>
          <cell r="G194" t="str">
            <v>Si</v>
          </cell>
          <cell r="H194" t="str">
            <v>AMBARRIG</v>
          </cell>
          <cell r="I194">
            <v>46093</v>
          </cell>
        </row>
        <row r="195">
          <cell r="A195">
            <v>336</v>
          </cell>
          <cell r="B195" t="str">
            <v>BOGOTA Y CUNDINAMARCA</v>
          </cell>
          <cell r="C195" t="str">
            <v>Nidya Marcela Poveda Sanchez</v>
          </cell>
          <cell r="D195">
            <v>336</v>
          </cell>
          <cell r="E195" t="str">
            <v>SESQUILE</v>
          </cell>
          <cell r="F195" t="str">
            <v>Si</v>
          </cell>
          <cell r="G195" t="str">
            <v>Si</v>
          </cell>
          <cell r="H195" t="str">
            <v>EGUASCA</v>
          </cell>
          <cell r="I195">
            <v>46091</v>
          </cell>
        </row>
        <row r="196">
          <cell r="A196">
            <v>337</v>
          </cell>
          <cell r="B196" t="str">
            <v>BOGOTA Y CUNDINAMARCA</v>
          </cell>
          <cell r="C196" t="str">
            <v>Nidya Marcela Poveda Sanchez</v>
          </cell>
          <cell r="D196">
            <v>337</v>
          </cell>
          <cell r="E196" t="str">
            <v>CHIA</v>
          </cell>
          <cell r="F196" t="str">
            <v>Si</v>
          </cell>
          <cell r="G196" t="str">
            <v>No</v>
          </cell>
          <cell r="H196" t="str">
            <v>DMPARADA</v>
          </cell>
          <cell r="I196">
            <v>46099</v>
          </cell>
          <cell r="J196" t="str">
            <v>2 Días</v>
          </cell>
        </row>
        <row r="197">
          <cell r="A197">
            <v>338</v>
          </cell>
          <cell r="B197" t="str">
            <v>BOGOTA Y CUNDINAMARCA</v>
          </cell>
          <cell r="C197" t="str">
            <v>Nidya Marcela Poveda Sanchez</v>
          </cell>
          <cell r="D197">
            <v>338</v>
          </cell>
          <cell r="E197" t="str">
            <v>TOCANCIPA</v>
          </cell>
          <cell r="F197" t="str">
            <v>Si</v>
          </cell>
          <cell r="G197" t="str">
            <v>No</v>
          </cell>
          <cell r="H197" t="str">
            <v>JEYRODRI</v>
          </cell>
          <cell r="I197">
            <v>46093</v>
          </cell>
        </row>
        <row r="198">
          <cell r="A198">
            <v>341</v>
          </cell>
          <cell r="B198" t="str">
            <v>BOGOTA Y CUNDINAMARCA</v>
          </cell>
          <cell r="C198" t="str">
            <v>Nidya Marcela Poveda Sanchez</v>
          </cell>
          <cell r="D198">
            <v>341</v>
          </cell>
          <cell r="E198" t="str">
            <v>PACHO</v>
          </cell>
          <cell r="F198" t="str">
            <v>Si</v>
          </cell>
          <cell r="G198" t="str">
            <v>No</v>
          </cell>
          <cell r="H198" t="str">
            <v>MICELY</v>
          </cell>
          <cell r="I198">
            <v>46099</v>
          </cell>
        </row>
        <row r="199">
          <cell r="A199">
            <v>342</v>
          </cell>
          <cell r="B199" t="str">
            <v>ANTIOQUIA</v>
          </cell>
          <cell r="C199" t="str">
            <v>Natalia Zuluaga Rodriguez</v>
          </cell>
          <cell r="D199">
            <v>342</v>
          </cell>
          <cell r="E199" t="str">
            <v>OVIEDO CENTRO COMERCIAL</v>
          </cell>
          <cell r="F199" t="str">
            <v>Si</v>
          </cell>
          <cell r="G199" t="str">
            <v>No</v>
          </cell>
          <cell r="H199" t="str">
            <v>BICASTRO</v>
          </cell>
          <cell r="I199">
            <v>46099</v>
          </cell>
        </row>
        <row r="200">
          <cell r="A200">
            <v>343</v>
          </cell>
          <cell r="B200" t="str">
            <v>BOGOTA Y CUNDINAMARCA</v>
          </cell>
          <cell r="C200" t="str">
            <v>Nidya Marcela Poveda Sanchez</v>
          </cell>
          <cell r="D200">
            <v>343</v>
          </cell>
          <cell r="E200" t="str">
            <v>TABIO</v>
          </cell>
          <cell r="F200" t="str">
            <v>Si</v>
          </cell>
          <cell r="G200" t="str">
            <v>Si</v>
          </cell>
          <cell r="H200" t="str">
            <v>PAGARZON</v>
          </cell>
          <cell r="I200">
            <v>46092</v>
          </cell>
        </row>
        <row r="201">
          <cell r="A201">
            <v>345</v>
          </cell>
          <cell r="B201" t="str">
            <v>BOGOTA Y CUNDINAMARCA</v>
          </cell>
          <cell r="C201" t="str">
            <v>Nidya Marcela Poveda Sanchez</v>
          </cell>
          <cell r="D201">
            <v>345</v>
          </cell>
          <cell r="E201" t="str">
            <v>TENJO</v>
          </cell>
          <cell r="F201" t="str">
            <v>Si</v>
          </cell>
          <cell r="G201" t="str">
            <v>Si</v>
          </cell>
          <cell r="H201" t="str">
            <v>JUPGARCI</v>
          </cell>
          <cell r="I201">
            <v>46092</v>
          </cell>
        </row>
        <row r="202">
          <cell r="A202">
            <v>346</v>
          </cell>
          <cell r="B202" t="str">
            <v>BOGOTA Y CUNDINAMARCA</v>
          </cell>
          <cell r="C202" t="str">
            <v>Nidya Marcela Poveda Sanchez</v>
          </cell>
          <cell r="D202">
            <v>346</v>
          </cell>
          <cell r="E202" t="str">
            <v>SUBACHOQUE</v>
          </cell>
          <cell r="F202" t="str">
            <v>Si</v>
          </cell>
          <cell r="G202" t="str">
            <v>No</v>
          </cell>
          <cell r="H202" t="str">
            <v>SCRUZ</v>
          </cell>
          <cell r="I202">
            <v>46099</v>
          </cell>
        </row>
        <row r="203">
          <cell r="A203">
            <v>347</v>
          </cell>
          <cell r="B203" t="str">
            <v>ANTIOQUIA</v>
          </cell>
          <cell r="C203" t="str">
            <v>Katherine Zapata Cano</v>
          </cell>
          <cell r="D203">
            <v>347</v>
          </cell>
          <cell r="E203" t="str">
            <v>MANRIQUE</v>
          </cell>
          <cell r="F203" t="str">
            <v>Si</v>
          </cell>
          <cell r="G203" t="str">
            <v>No</v>
          </cell>
          <cell r="H203" t="str">
            <v>JULESRES</v>
          </cell>
          <cell r="I203">
            <v>46099</v>
          </cell>
        </row>
        <row r="204">
          <cell r="A204">
            <v>348</v>
          </cell>
          <cell r="B204" t="str">
            <v>CARIBE</v>
          </cell>
          <cell r="C204" t="str">
            <v>Didi Alejandra Pareja Medina</v>
          </cell>
          <cell r="D204">
            <v>348</v>
          </cell>
          <cell r="E204" t="str">
            <v>SAN ANDRES</v>
          </cell>
          <cell r="F204" t="str">
            <v>Si</v>
          </cell>
          <cell r="G204" t="str">
            <v>No</v>
          </cell>
          <cell r="H204" t="str">
            <v>PPOLO</v>
          </cell>
          <cell r="I204">
            <v>46093</v>
          </cell>
        </row>
        <row r="205">
          <cell r="A205">
            <v>351</v>
          </cell>
          <cell r="B205" t="str">
            <v>ANTIOQUIA</v>
          </cell>
          <cell r="C205" t="str">
            <v>Katherine Zapata Cano</v>
          </cell>
          <cell r="D205">
            <v>351</v>
          </cell>
          <cell r="E205" t="str">
            <v>CENTRO COMERCIAL PUNTO DE LA ORIENTAL</v>
          </cell>
          <cell r="F205" t="str">
            <v>Si</v>
          </cell>
          <cell r="G205" t="str">
            <v>Si</v>
          </cell>
          <cell r="H205" t="str">
            <v>VSANDOVA</v>
          </cell>
          <cell r="I205">
            <v>46099</v>
          </cell>
        </row>
        <row r="206">
          <cell r="A206">
            <v>352</v>
          </cell>
          <cell r="B206" t="str">
            <v>CENTRO</v>
          </cell>
          <cell r="C206" t="str">
            <v>Yury Yaquelin Daza Congo</v>
          </cell>
          <cell r="D206">
            <v>352</v>
          </cell>
          <cell r="E206" t="str">
            <v>CHIQUINQUIRA</v>
          </cell>
          <cell r="F206" t="str">
            <v>Si</v>
          </cell>
          <cell r="G206" t="str">
            <v>No</v>
          </cell>
          <cell r="H206" t="str">
            <v>LAGAITAN</v>
          </cell>
          <cell r="I206">
            <v>46091</v>
          </cell>
        </row>
        <row r="207">
          <cell r="A207">
            <v>354</v>
          </cell>
          <cell r="B207" t="str">
            <v>BOGOTA Y CUNDINAMARCA</v>
          </cell>
          <cell r="C207" t="str">
            <v>Nidya Marcela Poveda Sanchez</v>
          </cell>
          <cell r="D207">
            <v>354</v>
          </cell>
          <cell r="E207" t="str">
            <v>UBATE</v>
          </cell>
          <cell r="F207" t="str">
            <v>Si</v>
          </cell>
          <cell r="G207" t="str">
            <v>No</v>
          </cell>
          <cell r="H207" t="str">
            <v>ANCARRAS</v>
          </cell>
          <cell r="I207">
            <v>46091</v>
          </cell>
        </row>
        <row r="208">
          <cell r="A208">
            <v>355</v>
          </cell>
          <cell r="B208" t="str">
            <v>CENTRO</v>
          </cell>
          <cell r="C208" t="str">
            <v>Yury Yaquelin Daza Congo</v>
          </cell>
          <cell r="D208">
            <v>355</v>
          </cell>
          <cell r="E208" t="str">
            <v>SIMIJACA</v>
          </cell>
          <cell r="F208" t="str">
            <v>Si</v>
          </cell>
          <cell r="G208" t="str">
            <v>Si</v>
          </cell>
          <cell r="H208" t="str">
            <v>DALARCON</v>
          </cell>
          <cell r="I208">
            <v>46099</v>
          </cell>
        </row>
        <row r="209">
          <cell r="A209">
            <v>356</v>
          </cell>
          <cell r="B209" t="str">
            <v>BOGOTA Y CUNDINAMARCA</v>
          </cell>
          <cell r="C209" t="str">
            <v>Nidya Marcela Poveda Sanchez</v>
          </cell>
          <cell r="D209">
            <v>356</v>
          </cell>
          <cell r="E209" t="str">
            <v>GUACHETA</v>
          </cell>
          <cell r="F209" t="str">
            <v>Si</v>
          </cell>
          <cell r="G209" t="str">
            <v>No</v>
          </cell>
          <cell r="H209" t="str">
            <v>JEHHERRE</v>
          </cell>
          <cell r="I209">
            <v>46091</v>
          </cell>
        </row>
        <row r="210">
          <cell r="A210">
            <v>358</v>
          </cell>
          <cell r="B210" t="str">
            <v>CENTRO</v>
          </cell>
          <cell r="C210" t="str">
            <v>Yury Yaquelin Daza Congo</v>
          </cell>
          <cell r="D210">
            <v>358</v>
          </cell>
          <cell r="E210" t="str">
            <v>SOGAMOSO</v>
          </cell>
          <cell r="F210" t="str">
            <v>Si</v>
          </cell>
          <cell r="G210" t="str">
            <v>No</v>
          </cell>
          <cell r="H210" t="str">
            <v>LILMARTI</v>
          </cell>
          <cell r="I210">
            <v>46092</v>
          </cell>
        </row>
        <row r="211">
          <cell r="A211">
            <v>359</v>
          </cell>
          <cell r="B211" t="str">
            <v>CARIBE</v>
          </cell>
          <cell r="C211" t="str">
            <v>Magaly Del Socorro Cabrales Isaac</v>
          </cell>
          <cell r="D211">
            <v>359</v>
          </cell>
          <cell r="E211" t="str">
            <v>COVENAS</v>
          </cell>
          <cell r="F211" t="str">
            <v>Si</v>
          </cell>
          <cell r="G211" t="str">
            <v>Si</v>
          </cell>
          <cell r="H211" t="str">
            <v>ANCOGOLL</v>
          </cell>
          <cell r="I211">
            <v>46093</v>
          </cell>
        </row>
        <row r="212">
          <cell r="A212">
            <v>360</v>
          </cell>
          <cell r="B212" t="str">
            <v>ANTIOQUIA</v>
          </cell>
          <cell r="C212" t="str">
            <v>Ana Maria Echavarria Gonzalez</v>
          </cell>
          <cell r="D212">
            <v>360</v>
          </cell>
          <cell r="E212" t="str">
            <v>ESTADIO</v>
          </cell>
          <cell r="F212" t="str">
            <v>Si</v>
          </cell>
          <cell r="G212" t="str">
            <v>Si</v>
          </cell>
          <cell r="H212" t="str">
            <v>ALGALLEG</v>
          </cell>
          <cell r="I212">
            <v>46099</v>
          </cell>
        </row>
        <row r="213">
          <cell r="A213">
            <v>361</v>
          </cell>
          <cell r="B213" t="str">
            <v>BOGOTA Y CUNDINAMARCA</v>
          </cell>
          <cell r="C213" t="str">
            <v>Fabio Orlando Bosa Poveda</v>
          </cell>
          <cell r="D213">
            <v>361</v>
          </cell>
          <cell r="E213" t="str">
            <v>CENTRO DE PAGOS FONTIBON</v>
          </cell>
          <cell r="F213" t="str">
            <v>Si</v>
          </cell>
          <cell r="G213" t="str">
            <v>Si</v>
          </cell>
          <cell r="H213" t="str">
            <v>EMATALLA</v>
          </cell>
          <cell r="I213">
            <v>46092</v>
          </cell>
        </row>
        <row r="214">
          <cell r="A214">
            <v>363</v>
          </cell>
          <cell r="B214" t="str">
            <v>CENTRO</v>
          </cell>
          <cell r="C214" t="str">
            <v>Yury Yaquelin Daza Congo</v>
          </cell>
          <cell r="D214">
            <v>363</v>
          </cell>
          <cell r="E214" t="str">
            <v>YOPAL</v>
          </cell>
          <cell r="F214" t="str">
            <v>Si</v>
          </cell>
          <cell r="G214" t="str">
            <v>No</v>
          </cell>
          <cell r="H214" t="str">
            <v>CAMARTIN</v>
          </cell>
          <cell r="I214">
            <v>46098</v>
          </cell>
        </row>
        <row r="215">
          <cell r="A215">
            <v>365</v>
          </cell>
          <cell r="B215" t="str">
            <v>CENTRO</v>
          </cell>
          <cell r="C215" t="str">
            <v>Yury Yaquelin Daza Congo</v>
          </cell>
          <cell r="D215">
            <v>365</v>
          </cell>
          <cell r="E215" t="str">
            <v>AGUAZUL</v>
          </cell>
          <cell r="F215" t="str">
            <v>Si</v>
          </cell>
          <cell r="G215" t="str">
            <v>No</v>
          </cell>
          <cell r="H215" t="str">
            <v>HFRAGOSO</v>
          </cell>
          <cell r="I215">
            <v>46098</v>
          </cell>
        </row>
        <row r="216">
          <cell r="A216">
            <v>366</v>
          </cell>
          <cell r="B216" t="str">
            <v>ANTIOQUIA</v>
          </cell>
          <cell r="C216" t="str">
            <v>Julian Alejandro Rodriguez Escobar</v>
          </cell>
          <cell r="D216">
            <v>366</v>
          </cell>
          <cell r="E216" t="str">
            <v>TERMINAL DE TRANSPORTE NORTE</v>
          </cell>
          <cell r="F216" t="str">
            <v>Si</v>
          </cell>
          <cell r="G216" t="str">
            <v>Si</v>
          </cell>
          <cell r="H216" t="str">
            <v>DCCARTAG</v>
          </cell>
          <cell r="I216">
            <v>46100</v>
          </cell>
        </row>
        <row r="217">
          <cell r="A217">
            <v>367</v>
          </cell>
          <cell r="B217" t="str">
            <v>CENTRO</v>
          </cell>
          <cell r="C217" t="str">
            <v>Juan Felipe Russi Gamboa</v>
          </cell>
          <cell r="D217">
            <v>367</v>
          </cell>
          <cell r="E217" t="str">
            <v>GRANADA META</v>
          </cell>
          <cell r="F217" t="str">
            <v>Si</v>
          </cell>
          <cell r="G217" t="str">
            <v>Si</v>
          </cell>
          <cell r="H217" t="str">
            <v>ADMAHECH</v>
          </cell>
          <cell r="I217">
            <v>46093</v>
          </cell>
        </row>
        <row r="218">
          <cell r="A218">
            <v>368</v>
          </cell>
          <cell r="B218" t="str">
            <v>SUR</v>
          </cell>
          <cell r="C218" t="str">
            <v>Sergio Arias Pelaez</v>
          </cell>
          <cell r="D218">
            <v>368</v>
          </cell>
          <cell r="E218" t="str">
            <v>SUPIA</v>
          </cell>
          <cell r="F218" t="str">
            <v>Si</v>
          </cell>
          <cell r="G218" t="str">
            <v>No</v>
          </cell>
          <cell r="H218" t="str">
            <v>SACVALEN</v>
          </cell>
          <cell r="I218">
            <v>46086</v>
          </cell>
          <cell r="J218" t="str">
            <v>2 Días</v>
          </cell>
        </row>
        <row r="219">
          <cell r="A219">
            <v>369</v>
          </cell>
          <cell r="B219" t="str">
            <v>CENTRO</v>
          </cell>
          <cell r="C219" t="str">
            <v>Yury Yaquelin Daza Congo</v>
          </cell>
          <cell r="D219">
            <v>369</v>
          </cell>
          <cell r="E219" t="str">
            <v>TAURAMENA</v>
          </cell>
          <cell r="F219" t="str">
            <v>Si</v>
          </cell>
          <cell r="G219" t="str">
            <v>No</v>
          </cell>
          <cell r="H219" t="str">
            <v>ROCQUINT</v>
          </cell>
          <cell r="I219">
            <v>46091</v>
          </cell>
        </row>
        <row r="220">
          <cell r="A220">
            <v>371</v>
          </cell>
          <cell r="B220" t="str">
            <v>CARIBE</v>
          </cell>
          <cell r="C220" t="str">
            <v>Magaly Del Socorro Cabrales Isaac</v>
          </cell>
          <cell r="D220">
            <v>371</v>
          </cell>
          <cell r="E220" t="str">
            <v>CAUCASIA</v>
          </cell>
          <cell r="F220" t="str">
            <v>Si</v>
          </cell>
          <cell r="G220" t="str">
            <v>No</v>
          </cell>
          <cell r="H220" t="str">
            <v>RYOLI</v>
          </cell>
          <cell r="I220">
            <v>46093</v>
          </cell>
        </row>
        <row r="221">
          <cell r="A221">
            <v>372</v>
          </cell>
          <cell r="B221" t="str">
            <v>BOGOTA Y CUNDINAMARCA</v>
          </cell>
          <cell r="C221" t="str">
            <v>Pedro Javier Yazzo Moreno</v>
          </cell>
          <cell r="D221">
            <v>372</v>
          </cell>
          <cell r="E221" t="str">
            <v>FACATATIVA</v>
          </cell>
          <cell r="F221" t="str">
            <v>Si</v>
          </cell>
          <cell r="G221" t="str">
            <v>No</v>
          </cell>
          <cell r="H221" t="str">
            <v>NEHERAMI</v>
          </cell>
          <cell r="I221">
            <v>46093</v>
          </cell>
        </row>
        <row r="222">
          <cell r="A222">
            <v>373</v>
          </cell>
          <cell r="B222" t="str">
            <v>SUR</v>
          </cell>
          <cell r="C222" t="str">
            <v>Sergio Arias Pelaez</v>
          </cell>
          <cell r="D222">
            <v>373</v>
          </cell>
          <cell r="E222" t="str">
            <v>SANCANCIO</v>
          </cell>
          <cell r="F222" t="str">
            <v>Si</v>
          </cell>
          <cell r="G222" t="str">
            <v>Si</v>
          </cell>
          <cell r="H222" t="str">
            <v>ISARODRI</v>
          </cell>
          <cell r="I222">
            <v>46086</v>
          </cell>
        </row>
        <row r="223">
          <cell r="A223">
            <v>375</v>
          </cell>
          <cell r="B223" t="str">
            <v>ANTIOQUIA</v>
          </cell>
          <cell r="C223" t="str">
            <v>Natalia Zuluaga Rodriguez</v>
          </cell>
          <cell r="D223">
            <v>375</v>
          </cell>
          <cell r="E223" t="str">
            <v>LA AGUACATALA</v>
          </cell>
          <cell r="F223" t="str">
            <v>Si</v>
          </cell>
          <cell r="G223" t="str">
            <v>No</v>
          </cell>
          <cell r="H223" t="str">
            <v>CLPUERTA</v>
          </cell>
          <cell r="I223">
            <v>46086</v>
          </cell>
        </row>
        <row r="224">
          <cell r="A224">
            <v>376</v>
          </cell>
          <cell r="B224" t="str">
            <v>ANTIOQUIA</v>
          </cell>
          <cell r="C224" t="str">
            <v>Sandra Milena Cardona Franco</v>
          </cell>
          <cell r="D224">
            <v>376</v>
          </cell>
          <cell r="E224" t="str">
            <v>FREDONIA</v>
          </cell>
          <cell r="F224" t="str">
            <v>Si</v>
          </cell>
          <cell r="G224" t="str">
            <v>Si</v>
          </cell>
          <cell r="H224" t="str">
            <v>MAMARIN</v>
          </cell>
          <cell r="I224">
            <v>46086</v>
          </cell>
        </row>
        <row r="225">
          <cell r="A225">
            <v>377</v>
          </cell>
          <cell r="B225" t="str">
            <v>ANTIOQUIA</v>
          </cell>
          <cell r="C225" t="str">
            <v>Katherine Zapata Cano</v>
          </cell>
          <cell r="D225">
            <v>377</v>
          </cell>
          <cell r="E225" t="str">
            <v>AVENTURA CENTRO COMERCIAL</v>
          </cell>
          <cell r="F225" t="str">
            <v>Si</v>
          </cell>
          <cell r="G225" t="str">
            <v>No</v>
          </cell>
          <cell r="H225" t="str">
            <v>CAALJARA</v>
          </cell>
          <cell r="I225">
            <v>46086</v>
          </cell>
        </row>
        <row r="226">
          <cell r="A226">
            <v>379</v>
          </cell>
          <cell r="B226" t="str">
            <v>ANTIOQUIA</v>
          </cell>
          <cell r="C226" t="str">
            <v>Natalia Zuluaga Rodriguez</v>
          </cell>
          <cell r="D226">
            <v>379</v>
          </cell>
          <cell r="E226" t="str">
            <v>EL TESORO</v>
          </cell>
          <cell r="F226" t="str">
            <v>Si</v>
          </cell>
          <cell r="G226" t="str">
            <v>No</v>
          </cell>
          <cell r="H226" t="str">
            <v>ALEXASAN</v>
          </cell>
          <cell r="I226">
            <v>46092</v>
          </cell>
        </row>
        <row r="227">
          <cell r="A227">
            <v>383</v>
          </cell>
          <cell r="B227" t="str">
            <v>BOGOTA Y CUNDINAMARCA</v>
          </cell>
          <cell r="C227" t="str">
            <v>Pedro Javier Yazzo Moreno</v>
          </cell>
          <cell r="D227">
            <v>383</v>
          </cell>
          <cell r="E227" t="str">
            <v>MADRID</v>
          </cell>
          <cell r="F227" t="str">
            <v>Si</v>
          </cell>
          <cell r="G227" t="str">
            <v>No</v>
          </cell>
          <cell r="H227" t="str">
            <v>PBAUTIST</v>
          </cell>
          <cell r="I227">
            <v>46098</v>
          </cell>
        </row>
        <row r="228">
          <cell r="A228">
            <v>384</v>
          </cell>
          <cell r="B228" t="str">
            <v>BOGOTA Y CUNDINAMARCA</v>
          </cell>
          <cell r="C228" t="str">
            <v>Pedro Javier Yazzo Moreno</v>
          </cell>
          <cell r="D228">
            <v>384</v>
          </cell>
          <cell r="E228" t="str">
            <v>ANAPOIMA</v>
          </cell>
          <cell r="F228" t="str">
            <v>Si</v>
          </cell>
          <cell r="G228" t="str">
            <v>Si</v>
          </cell>
          <cell r="H228" t="str">
            <v>YUGALIND</v>
          </cell>
          <cell r="I228">
            <v>46086</v>
          </cell>
        </row>
        <row r="229">
          <cell r="A229">
            <v>385</v>
          </cell>
          <cell r="B229" t="str">
            <v>BOGOTA Y CUNDINAMARCA</v>
          </cell>
          <cell r="C229" t="str">
            <v>Pedro Javier Yazzo Moreno</v>
          </cell>
          <cell r="D229">
            <v>385</v>
          </cell>
          <cell r="E229" t="str">
            <v>VILLETA</v>
          </cell>
          <cell r="F229" t="str">
            <v>Si</v>
          </cell>
          <cell r="G229" t="str">
            <v>No</v>
          </cell>
          <cell r="H229" t="str">
            <v>MIGGARZO</v>
          </cell>
          <cell r="I229">
            <v>46093</v>
          </cell>
        </row>
        <row r="230">
          <cell r="A230">
            <v>387</v>
          </cell>
          <cell r="B230" t="str">
            <v>ANTIOQUIA</v>
          </cell>
          <cell r="C230" t="str">
            <v>Katherine Zapata Cano</v>
          </cell>
          <cell r="D230">
            <v>387</v>
          </cell>
          <cell r="E230" t="str">
            <v>ISAGEN</v>
          </cell>
          <cell r="F230" t="str">
            <v>Si</v>
          </cell>
          <cell r="G230" t="str">
            <v>Si</v>
          </cell>
          <cell r="H230" t="str">
            <v>LDZAPATA</v>
          </cell>
          <cell r="I230">
            <v>46091</v>
          </cell>
        </row>
        <row r="231">
          <cell r="A231">
            <v>388</v>
          </cell>
          <cell r="B231" t="str">
            <v>BOGOTA Y CUNDINAMARCA</v>
          </cell>
          <cell r="C231" t="str">
            <v>Samuel Alexander Mendez Suarez</v>
          </cell>
          <cell r="D231">
            <v>388</v>
          </cell>
          <cell r="E231" t="str">
            <v>CENTRO COMERCIAL HAYUELOS</v>
          </cell>
          <cell r="F231" t="str">
            <v>Si</v>
          </cell>
          <cell r="G231" t="str">
            <v>No</v>
          </cell>
          <cell r="H231" t="str">
            <v>KRODRIGU</v>
          </cell>
          <cell r="I231">
            <v>46086</v>
          </cell>
        </row>
        <row r="232">
          <cell r="A232">
            <v>389</v>
          </cell>
          <cell r="B232" t="str">
            <v>CENTRO</v>
          </cell>
          <cell r="C232" t="str">
            <v>Edwin Andres Lievano Orjuela</v>
          </cell>
          <cell r="D232">
            <v>389</v>
          </cell>
          <cell r="E232" t="str">
            <v>MARIQUITA</v>
          </cell>
          <cell r="F232" t="str">
            <v>Si</v>
          </cell>
          <cell r="G232" t="str">
            <v>Si</v>
          </cell>
          <cell r="H232" t="str">
            <v>ETABARES</v>
          </cell>
          <cell r="I232">
            <v>46099</v>
          </cell>
        </row>
        <row r="233">
          <cell r="A233">
            <v>391</v>
          </cell>
          <cell r="B233" t="str">
            <v>SUR</v>
          </cell>
          <cell r="C233" t="str">
            <v>Hector Mario Rendon Ocampo</v>
          </cell>
          <cell r="D233">
            <v>391</v>
          </cell>
          <cell r="E233" t="str">
            <v>CARVAJAL SANTA MONICA</v>
          </cell>
          <cell r="F233" t="str">
            <v>Si</v>
          </cell>
          <cell r="G233" t="str">
            <v>No</v>
          </cell>
          <cell r="H233" t="str">
            <v>YNALVAR</v>
          </cell>
          <cell r="I233">
            <v>46093</v>
          </cell>
        </row>
        <row r="234">
          <cell r="A234">
            <v>392</v>
          </cell>
          <cell r="B234" t="str">
            <v>ANTIOQUIA</v>
          </cell>
          <cell r="C234" t="str">
            <v>Juan Fernando Alzate Valencia</v>
          </cell>
          <cell r="D234">
            <v>392</v>
          </cell>
          <cell r="E234" t="str">
            <v>LA DORADA</v>
          </cell>
          <cell r="F234" t="str">
            <v>Si</v>
          </cell>
          <cell r="G234" t="str">
            <v>Si</v>
          </cell>
          <cell r="H234" t="str">
            <v>ADMMARRO</v>
          </cell>
          <cell r="I234">
            <v>46100</v>
          </cell>
        </row>
        <row r="235">
          <cell r="A235">
            <v>395</v>
          </cell>
          <cell r="B235" t="str">
            <v>CENTRO</v>
          </cell>
          <cell r="C235" t="str">
            <v>Juan Felipe Russi Gamboa</v>
          </cell>
          <cell r="D235">
            <v>395</v>
          </cell>
          <cell r="E235" t="str">
            <v>VIVA VILLAVICENCIO</v>
          </cell>
          <cell r="F235" t="str">
            <v>Si</v>
          </cell>
          <cell r="G235" t="str">
            <v>Si</v>
          </cell>
          <cell r="H235" t="str">
            <v>LJROMERO</v>
          </cell>
          <cell r="I235">
            <v>46091</v>
          </cell>
          <cell r="J235" t="str">
            <v>2 Días</v>
          </cell>
        </row>
        <row r="236">
          <cell r="A236">
            <v>398</v>
          </cell>
          <cell r="B236" t="str">
            <v>CARIBE</v>
          </cell>
          <cell r="C236" t="str">
            <v>Magaly Del Socorro Cabrales Isaac</v>
          </cell>
          <cell r="D236">
            <v>398</v>
          </cell>
          <cell r="E236" t="str">
            <v>CHINU</v>
          </cell>
          <cell r="F236" t="str">
            <v>Si</v>
          </cell>
          <cell r="G236" t="str">
            <v>No</v>
          </cell>
          <cell r="H236" t="str">
            <v>MALVIS</v>
          </cell>
          <cell r="I236">
            <v>46100</v>
          </cell>
        </row>
        <row r="237">
          <cell r="A237">
            <v>399</v>
          </cell>
          <cell r="B237" t="str">
            <v>ANTIOQUIA</v>
          </cell>
          <cell r="C237" t="str">
            <v>Julian Alejandro Rodriguez Escobar</v>
          </cell>
          <cell r="D237">
            <v>399</v>
          </cell>
          <cell r="E237" t="str">
            <v>GIRARDOTA</v>
          </cell>
          <cell r="F237" t="str">
            <v>Si</v>
          </cell>
          <cell r="G237" t="str">
            <v>Si</v>
          </cell>
          <cell r="H237" t="str">
            <v>JGCORREA</v>
          </cell>
          <cell r="I237">
            <v>46091</v>
          </cell>
        </row>
        <row r="238">
          <cell r="A238">
            <v>400</v>
          </cell>
          <cell r="B238" t="str">
            <v>ANTIOQUIA</v>
          </cell>
          <cell r="C238" t="str">
            <v>Sandra Milena Cardona Franco</v>
          </cell>
          <cell r="D238">
            <v>400</v>
          </cell>
          <cell r="E238" t="str">
            <v>SANTA BARBARA</v>
          </cell>
          <cell r="F238" t="str">
            <v>Si</v>
          </cell>
          <cell r="G238" t="str">
            <v>Si</v>
          </cell>
          <cell r="H238" t="str">
            <v>SEARIVER</v>
          </cell>
          <cell r="I238">
            <v>46099</v>
          </cell>
        </row>
        <row r="239">
          <cell r="A239">
            <v>404</v>
          </cell>
          <cell r="B239" t="str">
            <v>ANTIOQUIA</v>
          </cell>
          <cell r="C239" t="str">
            <v>Sandra Milena Cardona Franco</v>
          </cell>
          <cell r="D239">
            <v>404</v>
          </cell>
          <cell r="E239" t="str">
            <v>JARDIN</v>
          </cell>
          <cell r="F239" t="str">
            <v>Si</v>
          </cell>
          <cell r="G239" t="str">
            <v>No</v>
          </cell>
          <cell r="H239" t="str">
            <v>PABLJARA</v>
          </cell>
          <cell r="I239">
            <v>46093</v>
          </cell>
        </row>
        <row r="240">
          <cell r="A240">
            <v>406</v>
          </cell>
          <cell r="B240" t="str">
            <v>BOGOTA Y CUNDINAMARCA</v>
          </cell>
          <cell r="C240" t="str">
            <v>Fabio Orlando Bosa Poveda</v>
          </cell>
          <cell r="D240">
            <v>406</v>
          </cell>
          <cell r="E240" t="str">
            <v xml:space="preserve">CIUDADELA EMPRESARIAL CALLE 26 </v>
          </cell>
          <cell r="F240" t="str">
            <v>Si</v>
          </cell>
          <cell r="G240" t="str">
            <v>Si</v>
          </cell>
          <cell r="H240" t="str">
            <v>DERINCON</v>
          </cell>
          <cell r="I240">
            <v>46092</v>
          </cell>
        </row>
        <row r="241">
          <cell r="A241">
            <v>407</v>
          </cell>
          <cell r="B241" t="str">
            <v>CENTRO</v>
          </cell>
          <cell r="C241" t="str">
            <v>Edwin Andres Lievano Orjuela</v>
          </cell>
          <cell r="D241">
            <v>407</v>
          </cell>
          <cell r="E241" t="str">
            <v>EL GUAMO</v>
          </cell>
          <cell r="F241" t="str">
            <v>Si</v>
          </cell>
          <cell r="G241" t="str">
            <v>No</v>
          </cell>
          <cell r="H241" t="str">
            <v>JOVARON</v>
          </cell>
          <cell r="I241">
            <v>46093</v>
          </cell>
        </row>
        <row r="242">
          <cell r="A242">
            <v>408</v>
          </cell>
          <cell r="B242" t="str">
            <v>ANTIOQUIA</v>
          </cell>
          <cell r="C242" t="str">
            <v>Katherine Zapata Cano</v>
          </cell>
          <cell r="D242">
            <v>408</v>
          </cell>
          <cell r="E242" t="str">
            <v>ISA MEDELLIN</v>
          </cell>
          <cell r="F242" t="str">
            <v>Si</v>
          </cell>
          <cell r="G242" t="str">
            <v>No</v>
          </cell>
          <cell r="H242" t="str">
            <v>LDZAPATA</v>
          </cell>
          <cell r="I242">
            <v>46098</v>
          </cell>
        </row>
        <row r="243">
          <cell r="A243">
            <v>411</v>
          </cell>
          <cell r="B243" t="str">
            <v>CENTRO</v>
          </cell>
          <cell r="C243" t="str">
            <v>Edwin Andres Lievano Orjuela</v>
          </cell>
          <cell r="D243">
            <v>411</v>
          </cell>
          <cell r="E243" t="str">
            <v>ESPINAL</v>
          </cell>
          <cell r="F243" t="str">
            <v>Si</v>
          </cell>
          <cell r="G243" t="str">
            <v>Si</v>
          </cell>
          <cell r="H243" t="str">
            <v>LEJLARTE</v>
          </cell>
          <cell r="I243">
            <v>46086</v>
          </cell>
        </row>
        <row r="244">
          <cell r="A244">
            <v>412</v>
          </cell>
          <cell r="B244" t="str">
            <v>ANTIOQUIA</v>
          </cell>
          <cell r="C244" t="str">
            <v>Juan Fernando Alzate Valencia</v>
          </cell>
          <cell r="D244">
            <v>412</v>
          </cell>
          <cell r="E244" t="str">
            <v>SAN NICOLAS RIONEGRO</v>
          </cell>
          <cell r="F244" t="str">
            <v>Si</v>
          </cell>
          <cell r="G244" t="str">
            <v>Si</v>
          </cell>
          <cell r="H244" t="str">
            <v>LGIRALDO</v>
          </cell>
          <cell r="I244">
            <v>46098</v>
          </cell>
        </row>
        <row r="245">
          <cell r="A245">
            <v>413</v>
          </cell>
          <cell r="B245" t="str">
            <v>CENTRO</v>
          </cell>
          <cell r="C245" t="str">
            <v>Edwin Andres Lievano Orjuela</v>
          </cell>
          <cell r="D245">
            <v>413</v>
          </cell>
          <cell r="E245" t="str">
            <v>MELGAR</v>
          </cell>
          <cell r="F245" t="str">
            <v>Si</v>
          </cell>
          <cell r="G245" t="str">
            <v>Si</v>
          </cell>
          <cell r="H245" t="str">
            <v>EEORTIZ</v>
          </cell>
          <cell r="I245">
            <v>46086</v>
          </cell>
        </row>
        <row r="246">
          <cell r="A246">
            <v>415</v>
          </cell>
          <cell r="B246" t="str">
            <v>ANTIOQUIA</v>
          </cell>
          <cell r="C246" t="str">
            <v>Juan Fernando Alzate Valencia</v>
          </cell>
          <cell r="D246">
            <v>415</v>
          </cell>
          <cell r="E246" t="str">
            <v>EL RETIRO</v>
          </cell>
          <cell r="F246" t="str">
            <v>Si</v>
          </cell>
          <cell r="G246" t="str">
            <v>Si</v>
          </cell>
          <cell r="H246" t="str">
            <v>DIPRESTR</v>
          </cell>
          <cell r="I246">
            <v>46091</v>
          </cell>
          <cell r="J246" t="str">
            <v>2 Días</v>
          </cell>
        </row>
        <row r="247">
          <cell r="A247">
            <v>419</v>
          </cell>
          <cell r="B247" t="str">
            <v>BOGOTA Y CUNDINAMARCA</v>
          </cell>
          <cell r="C247" t="str">
            <v>Camilo Andres Mila Jimenez</v>
          </cell>
          <cell r="D247">
            <v>419</v>
          </cell>
          <cell r="E247" t="str">
            <v>CENTRO DE PAGOS UNICENTRO BOGOTA</v>
          </cell>
          <cell r="F247" t="str">
            <v>Si</v>
          </cell>
          <cell r="G247" t="str">
            <v>Si</v>
          </cell>
          <cell r="H247" t="str">
            <v>MAMPENA</v>
          </cell>
          <cell r="I247">
            <v>46091</v>
          </cell>
        </row>
        <row r="248">
          <cell r="A248">
            <v>420</v>
          </cell>
          <cell r="B248" t="str">
            <v>ANTIOQUIA</v>
          </cell>
          <cell r="C248" t="str">
            <v>Katherine Zapata Cano</v>
          </cell>
          <cell r="D248">
            <v>420</v>
          </cell>
          <cell r="E248" t="str">
            <v>TEATRO AVENIDA</v>
          </cell>
          <cell r="F248" t="str">
            <v>Si</v>
          </cell>
          <cell r="G248" t="str">
            <v>Si</v>
          </cell>
          <cell r="H248" t="str">
            <v>DEBEDOYA</v>
          </cell>
          <cell r="I248">
            <v>46093</v>
          </cell>
          <cell r="J248" t="str">
            <v>2 Días</v>
          </cell>
        </row>
        <row r="249">
          <cell r="A249">
            <v>422</v>
          </cell>
          <cell r="B249" t="str">
            <v>CENTRO</v>
          </cell>
          <cell r="C249" t="str">
            <v>Edwin Andres Lievano Orjuela</v>
          </cell>
          <cell r="D249">
            <v>422</v>
          </cell>
          <cell r="E249" t="str">
            <v>CHAPARRAL</v>
          </cell>
          <cell r="F249" t="str">
            <v>Si</v>
          </cell>
          <cell r="G249" t="str">
            <v>No</v>
          </cell>
          <cell r="H249" t="str">
            <v>YCRIOLLO</v>
          </cell>
          <cell r="I249">
            <v>46093</v>
          </cell>
        </row>
        <row r="250">
          <cell r="A250">
            <v>424</v>
          </cell>
          <cell r="B250" t="str">
            <v>CENTRO</v>
          </cell>
          <cell r="C250" t="str">
            <v>Edwin Andres Lievano Orjuela</v>
          </cell>
          <cell r="D250">
            <v>424</v>
          </cell>
          <cell r="E250" t="str">
            <v>HONDA</v>
          </cell>
          <cell r="F250" t="str">
            <v>Si</v>
          </cell>
          <cell r="G250" t="str">
            <v>No</v>
          </cell>
          <cell r="H250" t="str">
            <v>JLAGUNA</v>
          </cell>
          <cell r="I250">
            <v>46086</v>
          </cell>
        </row>
        <row r="251">
          <cell r="A251">
            <v>426</v>
          </cell>
          <cell r="B251" t="str">
            <v>CENTRO</v>
          </cell>
          <cell r="C251" t="str">
            <v>Edwin Andres Lievano Orjuela</v>
          </cell>
          <cell r="D251">
            <v>426</v>
          </cell>
          <cell r="E251" t="str">
            <v>PURIFICACION</v>
          </cell>
          <cell r="F251" t="str">
            <v>Si</v>
          </cell>
          <cell r="G251" t="str">
            <v>No</v>
          </cell>
          <cell r="H251" t="str">
            <v>DAVLOPEZ</v>
          </cell>
          <cell r="I251">
            <v>46099</v>
          </cell>
        </row>
        <row r="252">
          <cell r="A252">
            <v>427</v>
          </cell>
          <cell r="B252" t="str">
            <v>CENTRO</v>
          </cell>
          <cell r="C252" t="str">
            <v>Edwin Andres Lievano Orjuela</v>
          </cell>
          <cell r="D252">
            <v>427</v>
          </cell>
          <cell r="E252" t="str">
            <v>SALDANA</v>
          </cell>
          <cell r="F252" t="str">
            <v>Si</v>
          </cell>
          <cell r="G252" t="str">
            <v>Si</v>
          </cell>
          <cell r="H252" t="str">
            <v>YRENGIFO</v>
          </cell>
          <cell r="I252">
            <v>46092</v>
          </cell>
        </row>
        <row r="253">
          <cell r="A253">
            <v>428</v>
          </cell>
          <cell r="B253" t="str">
            <v>BOGOTA Y CUNDINAMARCA</v>
          </cell>
          <cell r="C253" t="str">
            <v>Samuel Alexander Mendez Suarez</v>
          </cell>
          <cell r="D253">
            <v>428</v>
          </cell>
          <cell r="E253" t="str">
            <v>20 DE JULIO</v>
          </cell>
          <cell r="F253" t="str">
            <v>Si</v>
          </cell>
          <cell r="G253" t="str">
            <v>No</v>
          </cell>
          <cell r="H253" t="str">
            <v>NELCALDE</v>
          </cell>
          <cell r="I253">
            <v>46098</v>
          </cell>
        </row>
        <row r="254">
          <cell r="A254">
            <v>430</v>
          </cell>
          <cell r="B254" t="str">
            <v>ANTIOQUIA</v>
          </cell>
          <cell r="C254" t="str">
            <v>Natalia Zuluaga Rodriguez</v>
          </cell>
          <cell r="D254">
            <v>430</v>
          </cell>
          <cell r="E254" t="str">
            <v>ZONA ROSA</v>
          </cell>
          <cell r="F254" t="str">
            <v>Si</v>
          </cell>
          <cell r="G254" t="str">
            <v>No</v>
          </cell>
          <cell r="H254" t="str">
            <v>MARIROME</v>
          </cell>
          <cell r="I254">
            <v>46100</v>
          </cell>
          <cell r="J254" t="str">
            <v>2 Días</v>
          </cell>
        </row>
        <row r="255">
          <cell r="A255">
            <v>432</v>
          </cell>
          <cell r="B255" t="str">
            <v>ANTIOQUIA</v>
          </cell>
          <cell r="C255" t="str">
            <v>Ana Maria Echavarria Gonzalez</v>
          </cell>
          <cell r="D255">
            <v>432</v>
          </cell>
          <cell r="E255" t="str">
            <v>TERMINAL DEL SUR</v>
          </cell>
          <cell r="F255" t="str">
            <v>Si</v>
          </cell>
          <cell r="G255" t="str">
            <v>Si</v>
          </cell>
          <cell r="H255" t="str">
            <v>CJQUINTE</v>
          </cell>
          <cell r="I255">
            <v>46098</v>
          </cell>
          <cell r="J255" t="str">
            <v>2 Días</v>
          </cell>
        </row>
        <row r="256">
          <cell r="A256">
            <v>434</v>
          </cell>
          <cell r="B256" t="str">
            <v>CARIBE</v>
          </cell>
          <cell r="C256" t="str">
            <v>Maria Teresa Chaves Ahumada</v>
          </cell>
          <cell r="D256">
            <v>434</v>
          </cell>
          <cell r="E256" t="str">
            <v>UNICO BARRANQUILLA</v>
          </cell>
          <cell r="F256" t="str">
            <v>Si</v>
          </cell>
          <cell r="G256" t="str">
            <v>Si</v>
          </cell>
          <cell r="H256" t="str">
            <v>LUIVALEN</v>
          </cell>
          <cell r="I256">
            <v>46091</v>
          </cell>
        </row>
        <row r="257">
          <cell r="A257">
            <v>436</v>
          </cell>
          <cell r="B257" t="str">
            <v>ANTIOQUIA</v>
          </cell>
          <cell r="C257" t="str">
            <v>Sandra Milena Cardona Franco</v>
          </cell>
          <cell r="D257">
            <v>436</v>
          </cell>
          <cell r="E257" t="str">
            <v>CITY PLAZA</v>
          </cell>
          <cell r="F257" t="str">
            <v>Si</v>
          </cell>
          <cell r="G257" t="str">
            <v>No</v>
          </cell>
          <cell r="H257" t="str">
            <v>LISALAS</v>
          </cell>
          <cell r="I257">
            <v>46093</v>
          </cell>
        </row>
        <row r="258">
          <cell r="A258">
            <v>438</v>
          </cell>
          <cell r="B258" t="str">
            <v>ANTIOQUIA</v>
          </cell>
          <cell r="C258" t="str">
            <v>Sandra Milena Cardona Franco</v>
          </cell>
          <cell r="D258">
            <v>438</v>
          </cell>
          <cell r="E258" t="str">
            <v>ANDES</v>
          </cell>
          <cell r="F258" t="str">
            <v>Si</v>
          </cell>
          <cell r="G258" t="str">
            <v>Si</v>
          </cell>
          <cell r="H258" t="str">
            <v>JOGRESTR</v>
          </cell>
          <cell r="I258">
            <v>46100</v>
          </cell>
        </row>
        <row r="259">
          <cell r="A259">
            <v>439</v>
          </cell>
          <cell r="B259" t="str">
            <v>CENTRO</v>
          </cell>
          <cell r="C259" t="str">
            <v>Edwin Andres Lievano Orjuela</v>
          </cell>
          <cell r="D259">
            <v>439</v>
          </cell>
          <cell r="E259" t="str">
            <v>CAJAMARCA</v>
          </cell>
          <cell r="F259" t="str">
            <v>Si</v>
          </cell>
          <cell r="G259" t="str">
            <v>No</v>
          </cell>
          <cell r="H259" t="str">
            <v>JODELGAD</v>
          </cell>
          <cell r="I259">
            <v>46086</v>
          </cell>
        </row>
        <row r="260">
          <cell r="A260">
            <v>442</v>
          </cell>
          <cell r="B260" t="str">
            <v>CARIBE</v>
          </cell>
          <cell r="C260" t="str">
            <v>Maria Teresa Chaves Ahumada</v>
          </cell>
          <cell r="D260">
            <v>442</v>
          </cell>
          <cell r="E260" t="str">
            <v>VIVA BARRANQUILLA</v>
          </cell>
          <cell r="F260" t="str">
            <v>Si</v>
          </cell>
          <cell r="G260" t="str">
            <v>No</v>
          </cell>
          <cell r="H260" t="str">
            <v>LCPEREZ</v>
          </cell>
          <cell r="I260">
            <v>46099</v>
          </cell>
          <cell r="J260" t="str">
            <v>2 Días</v>
          </cell>
        </row>
        <row r="261">
          <cell r="A261">
            <v>444</v>
          </cell>
          <cell r="B261" t="str">
            <v>ANTIOQUIA</v>
          </cell>
          <cell r="C261" t="str">
            <v>Sandra Milena Cardona Franco</v>
          </cell>
          <cell r="D261">
            <v>444</v>
          </cell>
          <cell r="E261" t="str">
            <v>CONCORDIA ANTIOQUIA</v>
          </cell>
          <cell r="F261" t="str">
            <v>Si</v>
          </cell>
          <cell r="G261" t="str">
            <v>Si</v>
          </cell>
          <cell r="H261" t="str">
            <v>CINQUINT</v>
          </cell>
          <cell r="I261">
            <v>46093</v>
          </cell>
          <cell r="J261" t="str">
            <v>2 Días</v>
          </cell>
        </row>
        <row r="262">
          <cell r="A262">
            <v>445</v>
          </cell>
          <cell r="B262" t="str">
            <v>SUR</v>
          </cell>
          <cell r="C262" t="str">
            <v>Yamileth Abella Bonilla</v>
          </cell>
          <cell r="D262">
            <v>445</v>
          </cell>
          <cell r="E262" t="str">
            <v>BANCA COLOMBIA PEREIRA</v>
          </cell>
          <cell r="F262" t="str">
            <v>Si</v>
          </cell>
          <cell r="G262" t="str">
            <v>Si</v>
          </cell>
          <cell r="H262" t="str">
            <v>DIMACARD</v>
          </cell>
          <cell r="I262">
            <v>46093</v>
          </cell>
        </row>
        <row r="263">
          <cell r="A263">
            <v>446</v>
          </cell>
          <cell r="B263" t="str">
            <v>CENTRO</v>
          </cell>
          <cell r="C263" t="str">
            <v>Edwin Andres Lievano Orjuela</v>
          </cell>
          <cell r="D263">
            <v>446</v>
          </cell>
          <cell r="E263" t="str">
            <v>LIBANO</v>
          </cell>
          <cell r="F263" t="str">
            <v>Si</v>
          </cell>
          <cell r="G263" t="str">
            <v>No</v>
          </cell>
          <cell r="H263" t="str">
            <v>MIZQUIER</v>
          </cell>
          <cell r="I263">
            <v>46099</v>
          </cell>
        </row>
        <row r="264">
          <cell r="A264">
            <v>451</v>
          </cell>
          <cell r="B264" t="str">
            <v>CENTRO</v>
          </cell>
          <cell r="C264" t="str">
            <v>Astrid Alexandra Quintero Arciniegas</v>
          </cell>
          <cell r="D264">
            <v>451</v>
          </cell>
          <cell r="E264" t="str">
            <v>PUERTO ASIS</v>
          </cell>
          <cell r="F264" t="str">
            <v>Si</v>
          </cell>
          <cell r="G264" t="str">
            <v>No</v>
          </cell>
          <cell r="H264" t="str">
            <v>VBURBANO</v>
          </cell>
          <cell r="I264">
            <v>46092</v>
          </cell>
        </row>
        <row r="265">
          <cell r="A265">
            <v>453</v>
          </cell>
          <cell r="B265" t="str">
            <v>CENTRO</v>
          </cell>
          <cell r="C265" t="str">
            <v>Astrid Alexandra Quintero Arciniegas</v>
          </cell>
          <cell r="D265">
            <v>453</v>
          </cell>
          <cell r="E265" t="str">
            <v>PITALITO</v>
          </cell>
          <cell r="F265" t="str">
            <v>Si</v>
          </cell>
          <cell r="G265" t="str">
            <v>No</v>
          </cell>
          <cell r="H265" t="str">
            <v>NSARRIA</v>
          </cell>
          <cell r="I265">
            <v>46093</v>
          </cell>
        </row>
        <row r="266">
          <cell r="A266">
            <v>454</v>
          </cell>
          <cell r="B266" t="str">
            <v>CENTRO</v>
          </cell>
          <cell r="C266" t="str">
            <v>Astrid Alexandra Quintero Arciniegas</v>
          </cell>
          <cell r="D266">
            <v>454</v>
          </cell>
          <cell r="E266" t="str">
            <v>QUINTA AVENIDA</v>
          </cell>
          <cell r="F266" t="str">
            <v>Si</v>
          </cell>
          <cell r="G266" t="str">
            <v>Si</v>
          </cell>
          <cell r="H266" t="str">
            <v>YCAVIEDE</v>
          </cell>
          <cell r="I266">
            <v>46100</v>
          </cell>
        </row>
        <row r="267">
          <cell r="A267">
            <v>455</v>
          </cell>
          <cell r="B267" t="str">
            <v>CENTRO</v>
          </cell>
          <cell r="C267" t="str">
            <v>Astrid Alexandra Quintero Arciniegas</v>
          </cell>
          <cell r="D267">
            <v>455</v>
          </cell>
          <cell r="E267" t="str">
            <v>LAS CEIBAS</v>
          </cell>
          <cell r="F267" t="str">
            <v>Si</v>
          </cell>
          <cell r="G267" t="str">
            <v>No</v>
          </cell>
          <cell r="H267" t="str">
            <v>AMMORA</v>
          </cell>
          <cell r="I267">
            <v>46093</v>
          </cell>
          <cell r="J267" t="str">
            <v>2 Días</v>
          </cell>
        </row>
        <row r="268">
          <cell r="A268">
            <v>457</v>
          </cell>
          <cell r="B268" t="str">
            <v>CENTRO</v>
          </cell>
          <cell r="C268" t="str">
            <v>Astrid Alexandra Quintero Arciniegas</v>
          </cell>
          <cell r="D268">
            <v>457</v>
          </cell>
          <cell r="E268" t="str">
            <v>CENTRO COMERCIAL SAN PEDRO</v>
          </cell>
          <cell r="F268" t="str">
            <v>Si</v>
          </cell>
          <cell r="G268" t="str">
            <v>No</v>
          </cell>
          <cell r="H268" t="str">
            <v>YPULIDO</v>
          </cell>
          <cell r="I268">
            <v>46093</v>
          </cell>
        </row>
        <row r="269">
          <cell r="A269">
            <v>459</v>
          </cell>
          <cell r="B269" t="str">
            <v>CENTRO</v>
          </cell>
          <cell r="C269" t="str">
            <v>Astrid Alexandra Quintero Arciniegas</v>
          </cell>
          <cell r="D269">
            <v>459</v>
          </cell>
          <cell r="E269" t="str">
            <v>CAMPOALEGRE</v>
          </cell>
          <cell r="F269" t="str">
            <v>Si</v>
          </cell>
          <cell r="G269" t="str">
            <v>Si</v>
          </cell>
          <cell r="H269" t="str">
            <v>DIESUAZA</v>
          </cell>
          <cell r="I269">
            <v>46092</v>
          </cell>
        </row>
        <row r="270">
          <cell r="A270">
            <v>461</v>
          </cell>
          <cell r="B270" t="str">
            <v>BOGOTA Y CUNDINAMARCA</v>
          </cell>
          <cell r="C270" t="str">
            <v>Camilo Andres Mila Jimenez</v>
          </cell>
          <cell r="D270">
            <v>461</v>
          </cell>
          <cell r="E270" t="str">
            <v>LA CAROLINA UNICENTRO</v>
          </cell>
          <cell r="F270" t="str">
            <v>Si</v>
          </cell>
          <cell r="G270" t="str">
            <v>Si</v>
          </cell>
          <cell r="H270" t="str">
            <v>WMENDEZ</v>
          </cell>
          <cell r="I270">
            <v>46091</v>
          </cell>
        </row>
        <row r="271">
          <cell r="A271">
            <v>466</v>
          </cell>
          <cell r="B271" t="str">
            <v>CENTRO</v>
          </cell>
          <cell r="C271" t="str">
            <v>Astrid Alexandra Quintero Arciniegas</v>
          </cell>
          <cell r="D271">
            <v>466</v>
          </cell>
          <cell r="E271" t="str">
            <v>FLORENCIA</v>
          </cell>
          <cell r="F271" t="str">
            <v>Si</v>
          </cell>
          <cell r="G271" t="str">
            <v>No</v>
          </cell>
          <cell r="H271" t="str">
            <v>MDRINCON</v>
          </cell>
          <cell r="I271">
            <v>46100</v>
          </cell>
        </row>
        <row r="272">
          <cell r="A272">
            <v>467</v>
          </cell>
          <cell r="B272" t="str">
            <v>BOGOTA Y CUNDINAMARCA</v>
          </cell>
          <cell r="C272" t="str">
            <v>Fabio Orlando Bosa Poveda</v>
          </cell>
          <cell r="D272">
            <v>467</v>
          </cell>
          <cell r="E272" t="str">
            <v>DIVER PLAZA</v>
          </cell>
          <cell r="F272" t="str">
            <v>Si</v>
          </cell>
          <cell r="G272" t="str">
            <v>No</v>
          </cell>
          <cell r="H272" t="str">
            <v>FMILES</v>
          </cell>
          <cell r="I272">
            <v>46093</v>
          </cell>
        </row>
        <row r="273">
          <cell r="A273">
            <v>469</v>
          </cell>
          <cell r="B273" t="str">
            <v>BOGOTA Y CUNDINAMARCA</v>
          </cell>
          <cell r="C273" t="str">
            <v>Victoria Eugenia Guaqueta Murcia</v>
          </cell>
          <cell r="D273">
            <v>469</v>
          </cell>
          <cell r="E273" t="str">
            <v>CENTRO NACIONAL DEL AHORRO</v>
          </cell>
          <cell r="F273" t="str">
            <v>Si</v>
          </cell>
          <cell r="G273" t="str">
            <v>Si</v>
          </cell>
          <cell r="H273" t="str">
            <v>WHENAOOR</v>
          </cell>
          <cell r="I273">
            <v>46093</v>
          </cell>
        </row>
        <row r="274">
          <cell r="A274">
            <v>473</v>
          </cell>
          <cell r="B274" t="str">
            <v>CENTRO</v>
          </cell>
          <cell r="C274" t="str">
            <v>Astrid Alexandra Quintero Arciniegas</v>
          </cell>
          <cell r="D274">
            <v>473</v>
          </cell>
          <cell r="E274" t="str">
            <v>SAN VICENTE DEL CAGUAN</v>
          </cell>
          <cell r="F274" t="str">
            <v>Si</v>
          </cell>
          <cell r="G274" t="str">
            <v>No</v>
          </cell>
          <cell r="H274" t="str">
            <v>YESCOBAR</v>
          </cell>
          <cell r="I274">
            <v>46086</v>
          </cell>
        </row>
        <row r="275">
          <cell r="A275">
            <v>476</v>
          </cell>
          <cell r="B275" t="str">
            <v>CENTRO</v>
          </cell>
          <cell r="C275" t="str">
            <v>Adriana Maritza Angulo Mora</v>
          </cell>
          <cell r="D275">
            <v>476</v>
          </cell>
          <cell r="E275" t="str">
            <v>PAMPLONA</v>
          </cell>
          <cell r="F275" t="str">
            <v>Si</v>
          </cell>
          <cell r="G275" t="str">
            <v>Si</v>
          </cell>
          <cell r="H275" t="str">
            <v>ERMENDOZ</v>
          </cell>
          <cell r="I275">
            <v>46091</v>
          </cell>
        </row>
        <row r="276">
          <cell r="A276">
            <v>477</v>
          </cell>
          <cell r="B276" t="str">
            <v>CARIBE</v>
          </cell>
          <cell r="C276" t="str">
            <v>Maria Teresa Chaves Ahumada</v>
          </cell>
          <cell r="D276">
            <v>477</v>
          </cell>
          <cell r="E276" t="str">
            <v>GRANCENTRO</v>
          </cell>
          <cell r="F276" t="str">
            <v>Si</v>
          </cell>
          <cell r="G276" t="str">
            <v>Si</v>
          </cell>
          <cell r="H276" t="str">
            <v>GINSALAS</v>
          </cell>
          <cell r="I276">
            <v>46092</v>
          </cell>
          <cell r="J276" t="str">
            <v>2 Días</v>
          </cell>
        </row>
        <row r="277">
          <cell r="A277">
            <v>478</v>
          </cell>
          <cell r="B277" t="str">
            <v>CARIBE</v>
          </cell>
          <cell r="C277" t="str">
            <v>Maria Teresa Chaves Ahumada</v>
          </cell>
          <cell r="D277">
            <v>478</v>
          </cell>
          <cell r="E277" t="str">
            <v>MIX VIA 40</v>
          </cell>
          <cell r="F277" t="str">
            <v>Si</v>
          </cell>
          <cell r="G277" t="str">
            <v>Si</v>
          </cell>
          <cell r="H277" t="str">
            <v>LINGUTIE</v>
          </cell>
          <cell r="I277">
            <v>46099</v>
          </cell>
        </row>
        <row r="278">
          <cell r="A278">
            <v>481</v>
          </cell>
          <cell r="B278" t="str">
            <v>CARIBE</v>
          </cell>
          <cell r="C278" t="str">
            <v>German Alcides Hernandez Vivero</v>
          </cell>
          <cell r="D278">
            <v>481</v>
          </cell>
          <cell r="E278" t="str">
            <v>SOLEDAD</v>
          </cell>
          <cell r="F278" t="str">
            <v>Si</v>
          </cell>
          <cell r="G278" t="str">
            <v>Si</v>
          </cell>
          <cell r="H278" t="str">
            <v>VAESTRAD</v>
          </cell>
          <cell r="I278">
            <v>46091</v>
          </cell>
        </row>
        <row r="279">
          <cell r="A279">
            <v>482</v>
          </cell>
          <cell r="B279" t="str">
            <v>CARIBE</v>
          </cell>
          <cell r="C279" t="str">
            <v>Alicia Minerva Fontalvo Reales</v>
          </cell>
          <cell r="D279">
            <v>482</v>
          </cell>
          <cell r="E279" t="str">
            <v>CIENAGA</v>
          </cell>
          <cell r="F279" t="str">
            <v>Si</v>
          </cell>
          <cell r="G279" t="str">
            <v>Si</v>
          </cell>
          <cell r="H279" t="str">
            <v>EIROMERO</v>
          </cell>
          <cell r="I279">
            <v>46092</v>
          </cell>
        </row>
        <row r="280">
          <cell r="A280">
            <v>483</v>
          </cell>
          <cell r="B280" t="str">
            <v>CARIBE</v>
          </cell>
          <cell r="C280" t="str">
            <v>Maria Teresa Chaves Ahumada</v>
          </cell>
          <cell r="D280">
            <v>483</v>
          </cell>
          <cell r="E280" t="str">
            <v>OLAYA HERRERA BQUILLA</v>
          </cell>
          <cell r="F280" t="str">
            <v>Si</v>
          </cell>
          <cell r="G280" t="str">
            <v>Si</v>
          </cell>
          <cell r="H280" t="str">
            <v>MPHERNAN</v>
          </cell>
          <cell r="I280">
            <v>46091</v>
          </cell>
        </row>
        <row r="281">
          <cell r="A281">
            <v>484</v>
          </cell>
          <cell r="B281" t="str">
            <v>CARIBE</v>
          </cell>
          <cell r="C281" t="str">
            <v>Magaly Del Socorro Cabrales Isaac</v>
          </cell>
          <cell r="D281">
            <v>484</v>
          </cell>
          <cell r="E281" t="str">
            <v>MAGANGUE</v>
          </cell>
          <cell r="F281" t="str">
            <v>Si</v>
          </cell>
          <cell r="G281" t="str">
            <v>No</v>
          </cell>
          <cell r="H281" t="str">
            <v>FRSUAREZ</v>
          </cell>
          <cell r="I281">
            <v>46092</v>
          </cell>
        </row>
        <row r="282">
          <cell r="A282">
            <v>486</v>
          </cell>
          <cell r="B282" t="str">
            <v>CARIBE</v>
          </cell>
          <cell r="C282" t="str">
            <v>German Alcides Hernandez Vivero</v>
          </cell>
          <cell r="D282">
            <v>486</v>
          </cell>
          <cell r="E282" t="str">
            <v>SAN NICOLAS BARRANQUILLA</v>
          </cell>
          <cell r="F282" t="str">
            <v>Si</v>
          </cell>
          <cell r="G282" t="str">
            <v>No</v>
          </cell>
          <cell r="H282" t="str">
            <v>JULOROZC</v>
          </cell>
          <cell r="I282">
            <v>46099</v>
          </cell>
        </row>
        <row r="283">
          <cell r="A283">
            <v>487</v>
          </cell>
          <cell r="B283" t="str">
            <v>CARIBE</v>
          </cell>
          <cell r="C283" t="str">
            <v>Maria Teresa Chaves Ahumada</v>
          </cell>
          <cell r="D283">
            <v>487</v>
          </cell>
          <cell r="E283" t="str">
            <v>COUNTRY PLAZA</v>
          </cell>
          <cell r="F283" t="str">
            <v>Si</v>
          </cell>
          <cell r="G283" t="str">
            <v>No</v>
          </cell>
          <cell r="H283" t="str">
            <v>MBANOS</v>
          </cell>
          <cell r="I283">
            <v>46093</v>
          </cell>
        </row>
        <row r="284">
          <cell r="A284">
            <v>492</v>
          </cell>
          <cell r="B284" t="str">
            <v>CENTRO</v>
          </cell>
          <cell r="C284" t="str">
            <v>Yury Yaquelin Daza Congo</v>
          </cell>
          <cell r="D284">
            <v>492</v>
          </cell>
          <cell r="E284" t="str">
            <v>GARAGOA</v>
          </cell>
          <cell r="F284" t="str">
            <v>Si</v>
          </cell>
          <cell r="G284" t="str">
            <v>No</v>
          </cell>
          <cell r="H284" t="str">
            <v>MARICARV</v>
          </cell>
          <cell r="I284">
            <v>46092</v>
          </cell>
        </row>
        <row r="285">
          <cell r="A285">
            <v>495</v>
          </cell>
          <cell r="B285" t="str">
            <v>CARIBE</v>
          </cell>
          <cell r="C285" t="str">
            <v>Didi Alejandra Pareja Medina</v>
          </cell>
          <cell r="D285">
            <v>495</v>
          </cell>
          <cell r="E285" t="str">
            <v>EL BOSQUE</v>
          </cell>
          <cell r="F285" t="str">
            <v>Si</v>
          </cell>
          <cell r="G285" t="str">
            <v>No</v>
          </cell>
          <cell r="H285" t="str">
            <v>GBUSTILL</v>
          </cell>
          <cell r="I285">
            <v>46091</v>
          </cell>
          <cell r="J285" t="str">
            <v>2 Días</v>
          </cell>
        </row>
        <row r="286">
          <cell r="A286">
            <v>496</v>
          </cell>
          <cell r="B286" t="str">
            <v>CENTRO</v>
          </cell>
          <cell r="C286" t="str">
            <v>Frank William Castillo Leal</v>
          </cell>
          <cell r="D286">
            <v>496</v>
          </cell>
          <cell r="E286" t="str">
            <v>IWANA</v>
          </cell>
          <cell r="F286" t="str">
            <v>Si</v>
          </cell>
          <cell r="G286" t="str">
            <v>Si</v>
          </cell>
          <cell r="H286" t="str">
            <v>ELIDIAZ</v>
          </cell>
          <cell r="I286">
            <v>46098</v>
          </cell>
          <cell r="J286" t="str">
            <v>2 Días</v>
          </cell>
        </row>
        <row r="287">
          <cell r="A287">
            <v>497</v>
          </cell>
          <cell r="B287" t="str">
            <v>CENTRO</v>
          </cell>
          <cell r="C287" t="str">
            <v>Adriana Maritza Angulo Mora</v>
          </cell>
          <cell r="D287">
            <v>497</v>
          </cell>
          <cell r="E287" t="str">
            <v>UNICENTRO CUCUTA</v>
          </cell>
          <cell r="F287" t="str">
            <v>Si</v>
          </cell>
          <cell r="G287" t="str">
            <v>Si</v>
          </cell>
          <cell r="H287" t="str">
            <v>EBAYONA</v>
          </cell>
          <cell r="I287">
            <v>46099</v>
          </cell>
        </row>
        <row r="288">
          <cell r="A288">
            <v>498</v>
          </cell>
          <cell r="B288" t="str">
            <v>BOGOTA Y CUNDINAMARCA</v>
          </cell>
          <cell r="C288" t="str">
            <v>Kirsys Nadyra Robelto Sanchez</v>
          </cell>
          <cell r="D288">
            <v>498</v>
          </cell>
          <cell r="E288" t="str">
            <v>BANCA COLOMBIA CARRERA 11</v>
          </cell>
          <cell r="F288" t="str">
            <v>Si</v>
          </cell>
          <cell r="G288" t="str">
            <v>No</v>
          </cell>
          <cell r="H288" t="str">
            <v>YMFORERO</v>
          </cell>
          <cell r="I288">
            <v>46093</v>
          </cell>
        </row>
        <row r="289">
          <cell r="A289">
            <v>499</v>
          </cell>
          <cell r="B289" t="str">
            <v>ANTIOQUIA</v>
          </cell>
          <cell r="C289" t="str">
            <v>Julian Alejandro Rodriguez Escobar</v>
          </cell>
          <cell r="D289">
            <v>499</v>
          </cell>
          <cell r="E289" t="str">
            <v>PARQUE FABRICATO</v>
          </cell>
          <cell r="F289" t="str">
            <v>Si</v>
          </cell>
          <cell r="G289" t="str">
            <v>Si</v>
          </cell>
          <cell r="H289" t="str">
            <v>TAMARIN</v>
          </cell>
          <cell r="I289">
            <v>46098</v>
          </cell>
        </row>
        <row r="290">
          <cell r="A290">
            <v>500</v>
          </cell>
          <cell r="B290" t="str">
            <v>CARIBE</v>
          </cell>
          <cell r="C290" t="str">
            <v>Didi Alejandra Pareja Medina</v>
          </cell>
          <cell r="D290">
            <v>500</v>
          </cell>
          <cell r="E290" t="str">
            <v>SOCIEDAD PORTUARIA CARTAGENA</v>
          </cell>
          <cell r="F290" t="str">
            <v>Si</v>
          </cell>
          <cell r="G290" t="str">
            <v>Si</v>
          </cell>
          <cell r="H290" t="str">
            <v>CLAUDIGO</v>
          </cell>
          <cell r="I290">
            <v>46086</v>
          </cell>
        </row>
        <row r="291">
          <cell r="A291">
            <v>502</v>
          </cell>
          <cell r="B291" t="str">
            <v>CENTRO</v>
          </cell>
          <cell r="C291" t="str">
            <v>Yury Yaquelin Daza Congo</v>
          </cell>
          <cell r="D291">
            <v>502</v>
          </cell>
          <cell r="E291" t="str">
            <v>VILLA DE LEYVA</v>
          </cell>
          <cell r="F291" t="str">
            <v>Si</v>
          </cell>
          <cell r="G291" t="str">
            <v>Si</v>
          </cell>
          <cell r="H291" t="str">
            <v>WCASTANE</v>
          </cell>
          <cell r="I291">
            <v>46098</v>
          </cell>
        </row>
        <row r="292">
          <cell r="A292">
            <v>503</v>
          </cell>
          <cell r="B292" t="str">
            <v>ANTIOQUIA</v>
          </cell>
          <cell r="C292" t="str">
            <v>Julian Alejandro Rodriguez Escobar</v>
          </cell>
          <cell r="D292">
            <v>503</v>
          </cell>
          <cell r="E292" t="str">
            <v>YARUMAL</v>
          </cell>
          <cell r="F292" t="str">
            <v>Si</v>
          </cell>
          <cell r="G292" t="str">
            <v>No</v>
          </cell>
          <cell r="H292" t="str">
            <v>JUAGIL</v>
          </cell>
          <cell r="I292">
            <v>46100</v>
          </cell>
        </row>
        <row r="293">
          <cell r="A293">
            <v>506</v>
          </cell>
          <cell r="B293" t="str">
            <v>CARIBE</v>
          </cell>
          <cell r="C293" t="str">
            <v>Magaly Del Socorro Cabrales Isaac</v>
          </cell>
          <cell r="D293">
            <v>506</v>
          </cell>
          <cell r="E293" t="str">
            <v>SINCELEJO</v>
          </cell>
          <cell r="F293" t="str">
            <v>Si</v>
          </cell>
          <cell r="G293" t="str">
            <v>Si</v>
          </cell>
          <cell r="H293" t="str">
            <v>MEBARRIO</v>
          </cell>
          <cell r="I293">
            <v>46091</v>
          </cell>
        </row>
        <row r="294">
          <cell r="A294">
            <v>507</v>
          </cell>
          <cell r="B294" t="str">
            <v>CARIBE</v>
          </cell>
          <cell r="C294" t="str">
            <v>Magaly Del Socorro Cabrales Isaac</v>
          </cell>
          <cell r="D294">
            <v>507</v>
          </cell>
          <cell r="E294" t="str">
            <v>SANTIAGO DE TOLU</v>
          </cell>
          <cell r="F294" t="str">
            <v>Si</v>
          </cell>
          <cell r="G294" t="str">
            <v>No</v>
          </cell>
          <cell r="H294" t="str">
            <v>WCARABAL</v>
          </cell>
          <cell r="I294">
            <v>46099</v>
          </cell>
        </row>
        <row r="295">
          <cell r="A295">
            <v>509</v>
          </cell>
          <cell r="B295" t="str">
            <v>CARIBE</v>
          </cell>
          <cell r="C295" t="str">
            <v>Didi Alejandra Pareja Medina</v>
          </cell>
          <cell r="D295">
            <v>509</v>
          </cell>
          <cell r="E295" t="str">
            <v>TURBACO</v>
          </cell>
          <cell r="F295" t="str">
            <v>Si</v>
          </cell>
          <cell r="G295" t="str">
            <v>Si</v>
          </cell>
          <cell r="H295" t="str">
            <v>GREDONDO</v>
          </cell>
          <cell r="I295">
            <v>46099</v>
          </cell>
        </row>
        <row r="296">
          <cell r="A296">
            <v>511</v>
          </cell>
          <cell r="B296" t="str">
            <v>ANTIOQUIA</v>
          </cell>
          <cell r="C296" t="str">
            <v>Juan Fernando Alzate Valencia</v>
          </cell>
          <cell r="D296">
            <v>511</v>
          </cell>
          <cell r="E296" t="str">
            <v>PUNTO CLAVE</v>
          </cell>
          <cell r="F296" t="str">
            <v>Si</v>
          </cell>
          <cell r="G296" t="str">
            <v>No</v>
          </cell>
          <cell r="H296" t="str">
            <v>MAAREIZA</v>
          </cell>
          <cell r="I296">
            <v>46086</v>
          </cell>
        </row>
        <row r="297">
          <cell r="A297">
            <v>512</v>
          </cell>
          <cell r="B297" t="str">
            <v>CARIBE</v>
          </cell>
          <cell r="C297" t="str">
            <v>Alicia Minerva Fontalvo Reales</v>
          </cell>
          <cell r="D297">
            <v>512</v>
          </cell>
          <cell r="E297" t="str">
            <v>PLATO</v>
          </cell>
          <cell r="F297" t="str">
            <v>Si</v>
          </cell>
          <cell r="G297" t="str">
            <v>Si</v>
          </cell>
          <cell r="H297" t="str">
            <v>ASCASTEL</v>
          </cell>
          <cell r="I297">
            <v>46091</v>
          </cell>
        </row>
        <row r="298">
          <cell r="A298">
            <v>513</v>
          </cell>
          <cell r="B298" t="str">
            <v>CARIBE</v>
          </cell>
          <cell r="C298" t="str">
            <v>Alicia Minerva Fontalvo Reales</v>
          </cell>
          <cell r="D298">
            <v>513</v>
          </cell>
          <cell r="E298" t="str">
            <v>ARIGUANI</v>
          </cell>
          <cell r="F298" t="str">
            <v>Si</v>
          </cell>
          <cell r="G298" t="str">
            <v>No</v>
          </cell>
          <cell r="H298" t="str">
            <v>ADSILVA</v>
          </cell>
          <cell r="I298">
            <v>46086</v>
          </cell>
        </row>
        <row r="299">
          <cell r="A299">
            <v>514</v>
          </cell>
          <cell r="B299" t="str">
            <v>SUR</v>
          </cell>
          <cell r="C299" t="str">
            <v>Hector Mario Rendon Ocampo</v>
          </cell>
          <cell r="D299">
            <v>514</v>
          </cell>
          <cell r="E299" t="str">
            <v>CENTRO COMERCIAL UNICO</v>
          </cell>
          <cell r="F299" t="str">
            <v>Si</v>
          </cell>
          <cell r="G299" t="str">
            <v>Si</v>
          </cell>
          <cell r="H299" t="str">
            <v>MPALOMIN</v>
          </cell>
          <cell r="I299">
            <v>46092</v>
          </cell>
        </row>
        <row r="300">
          <cell r="A300">
            <v>515</v>
          </cell>
          <cell r="B300" t="str">
            <v>CARIBE</v>
          </cell>
          <cell r="C300" t="str">
            <v>Didi Alejandra Pareja Medina</v>
          </cell>
          <cell r="D300">
            <v>515</v>
          </cell>
          <cell r="E300" t="str">
            <v>CONTECAR</v>
          </cell>
          <cell r="F300" t="str">
            <v>Si</v>
          </cell>
          <cell r="G300" t="str">
            <v>No</v>
          </cell>
          <cell r="H300" t="str">
            <v>CLAUDIGO</v>
          </cell>
          <cell r="I300">
            <v>46092</v>
          </cell>
        </row>
        <row r="301">
          <cell r="A301">
            <v>516</v>
          </cell>
          <cell r="B301" t="str">
            <v>CARIBE</v>
          </cell>
          <cell r="C301" t="str">
            <v>Alicia Minerva Fontalvo Reales</v>
          </cell>
          <cell r="D301">
            <v>516</v>
          </cell>
          <cell r="E301" t="str">
            <v>SANTA MARTA</v>
          </cell>
          <cell r="F301" t="str">
            <v>Si</v>
          </cell>
          <cell r="G301" t="str">
            <v>No</v>
          </cell>
          <cell r="H301" t="str">
            <v>MPINERES</v>
          </cell>
          <cell r="I301">
            <v>46099</v>
          </cell>
        </row>
        <row r="302">
          <cell r="A302">
            <v>517</v>
          </cell>
          <cell r="B302" t="str">
            <v>CARIBE</v>
          </cell>
          <cell r="C302" t="str">
            <v>Alicia Minerva Fontalvo Reales</v>
          </cell>
          <cell r="D302">
            <v>517</v>
          </cell>
          <cell r="E302" t="str">
            <v>EL RODADERO</v>
          </cell>
          <cell r="F302" t="str">
            <v>Si</v>
          </cell>
          <cell r="G302" t="str">
            <v>No</v>
          </cell>
          <cell r="H302" t="str">
            <v>JFONTALV</v>
          </cell>
          <cell r="I302">
            <v>46092</v>
          </cell>
        </row>
        <row r="303">
          <cell r="A303">
            <v>518</v>
          </cell>
          <cell r="B303" t="str">
            <v>CENTRO</v>
          </cell>
          <cell r="C303" t="str">
            <v>Yenis Meybi Fernandez Marin</v>
          </cell>
          <cell r="D303">
            <v>518</v>
          </cell>
          <cell r="E303" t="str">
            <v>BANCA COLOMBIA BUCARAMANGA</v>
          </cell>
          <cell r="F303" t="str">
            <v>Si</v>
          </cell>
          <cell r="G303" t="str">
            <v>No</v>
          </cell>
          <cell r="H303" t="str">
            <v>HJGARCIA</v>
          </cell>
          <cell r="I303">
            <v>46099</v>
          </cell>
        </row>
        <row r="304">
          <cell r="A304">
            <v>519</v>
          </cell>
          <cell r="B304" t="str">
            <v>SUR</v>
          </cell>
          <cell r="C304" t="str">
            <v>Yamileth Abella Bonilla</v>
          </cell>
          <cell r="D304">
            <v>519</v>
          </cell>
          <cell r="E304" t="str">
            <v>BANCA COLOMBIA MANIZALES</v>
          </cell>
          <cell r="F304" t="str">
            <v>Si</v>
          </cell>
          <cell r="G304" t="str">
            <v>No</v>
          </cell>
          <cell r="H304" t="str">
            <v>PABECERR</v>
          </cell>
          <cell r="I304">
            <v>46100</v>
          </cell>
        </row>
        <row r="305">
          <cell r="A305">
            <v>520</v>
          </cell>
          <cell r="B305" t="str">
            <v>ANTIOQUIA</v>
          </cell>
          <cell r="C305" t="str">
            <v>Sandra Milena Cardona Franco</v>
          </cell>
          <cell r="D305">
            <v>520</v>
          </cell>
          <cell r="E305" t="str">
            <v>AMAGA</v>
          </cell>
          <cell r="F305" t="str">
            <v>Si</v>
          </cell>
          <cell r="G305" t="str">
            <v>No</v>
          </cell>
          <cell r="H305" t="str">
            <v>RDRUIZ</v>
          </cell>
          <cell r="I305">
            <v>46093</v>
          </cell>
        </row>
        <row r="306">
          <cell r="A306">
            <v>522</v>
          </cell>
          <cell r="B306" t="str">
            <v>CENTRO</v>
          </cell>
          <cell r="C306" t="str">
            <v>Juan Felipe Russi Gamboa</v>
          </cell>
          <cell r="D306">
            <v>522</v>
          </cell>
          <cell r="E306" t="str">
            <v xml:space="preserve">PUERTO CARRENO </v>
          </cell>
          <cell r="F306" t="str">
            <v>Si</v>
          </cell>
          <cell r="G306" t="str">
            <v>Si</v>
          </cell>
          <cell r="H306" t="str">
            <v>NTBALLES</v>
          </cell>
          <cell r="I306">
            <v>46099</v>
          </cell>
        </row>
        <row r="307">
          <cell r="A307">
            <v>523</v>
          </cell>
          <cell r="B307" t="str">
            <v>CARIBE</v>
          </cell>
          <cell r="C307" t="str">
            <v>Alicia Minerva Fontalvo Reales</v>
          </cell>
          <cell r="D307">
            <v>523</v>
          </cell>
          <cell r="E307" t="str">
            <v>OLIMPICA</v>
          </cell>
          <cell r="F307" t="str">
            <v>Si</v>
          </cell>
          <cell r="G307" t="str">
            <v>No</v>
          </cell>
          <cell r="H307" t="str">
            <v>ACUJIA</v>
          </cell>
          <cell r="I307">
            <v>46091</v>
          </cell>
        </row>
        <row r="308">
          <cell r="A308">
            <v>524</v>
          </cell>
          <cell r="B308" t="str">
            <v>CARIBE</v>
          </cell>
          <cell r="C308" t="str">
            <v>Alicia Minerva Fontalvo Reales</v>
          </cell>
          <cell r="D308">
            <v>524</v>
          </cell>
          <cell r="E308" t="str">
            <v>VALLEDUPAR</v>
          </cell>
          <cell r="F308" t="str">
            <v>Si</v>
          </cell>
          <cell r="G308" t="str">
            <v>Si</v>
          </cell>
          <cell r="H308" t="str">
            <v>ANGMARTI</v>
          </cell>
          <cell r="I308">
            <v>46093</v>
          </cell>
        </row>
        <row r="309">
          <cell r="A309">
            <v>525</v>
          </cell>
          <cell r="B309" t="str">
            <v>BOGOTA Y CUNDINAMARCA</v>
          </cell>
          <cell r="C309" t="str">
            <v>Pedro Javier Yazzo Moreno</v>
          </cell>
          <cell r="D309">
            <v>525</v>
          </cell>
          <cell r="E309" t="str">
            <v>MERCURIO PLAZA</v>
          </cell>
          <cell r="F309" t="str">
            <v>Si</v>
          </cell>
          <cell r="G309" t="str">
            <v>No</v>
          </cell>
          <cell r="H309" t="str">
            <v>MEMORENO</v>
          </cell>
          <cell r="I309">
            <v>46091</v>
          </cell>
          <cell r="J309" t="str">
            <v>2 Días</v>
          </cell>
        </row>
        <row r="310">
          <cell r="A310">
            <v>526</v>
          </cell>
          <cell r="B310" t="str">
            <v>CARIBE</v>
          </cell>
          <cell r="C310" t="str">
            <v>Alicia Minerva Fontalvo Reales</v>
          </cell>
          <cell r="D310">
            <v>526</v>
          </cell>
          <cell r="E310" t="str">
            <v>RIOHACHA</v>
          </cell>
          <cell r="F310" t="str">
            <v>Si</v>
          </cell>
          <cell r="G310" t="str">
            <v>No</v>
          </cell>
          <cell r="H310" t="str">
            <v>JOESHERN</v>
          </cell>
          <cell r="I310">
            <v>46098</v>
          </cell>
        </row>
        <row r="311">
          <cell r="A311">
            <v>527</v>
          </cell>
          <cell r="B311" t="str">
            <v>ANTIOQUIA</v>
          </cell>
          <cell r="C311" t="str">
            <v>Katherine Zapata Cano</v>
          </cell>
          <cell r="D311">
            <v>527</v>
          </cell>
          <cell r="E311" t="str">
            <v>PLAZA MAYOR</v>
          </cell>
          <cell r="F311" t="str">
            <v>Si</v>
          </cell>
          <cell r="G311" t="str">
            <v>No</v>
          </cell>
          <cell r="H311" t="str">
            <v>LUIFELON</v>
          </cell>
          <cell r="I311">
            <v>46099</v>
          </cell>
        </row>
        <row r="312">
          <cell r="A312">
            <v>531</v>
          </cell>
          <cell r="B312" t="str">
            <v>CARIBE</v>
          </cell>
          <cell r="C312" t="str">
            <v>Magaly Del Socorro Cabrales Isaac</v>
          </cell>
          <cell r="D312">
            <v>531</v>
          </cell>
          <cell r="E312" t="str">
            <v>SAN MARCOS</v>
          </cell>
          <cell r="F312" t="str">
            <v>Si</v>
          </cell>
          <cell r="G312" t="str">
            <v>Si</v>
          </cell>
          <cell r="H312" t="str">
            <v>VVERGARA</v>
          </cell>
          <cell r="I312">
            <v>46086</v>
          </cell>
        </row>
        <row r="313">
          <cell r="A313">
            <v>532</v>
          </cell>
          <cell r="B313" t="str">
            <v>CARIBE</v>
          </cell>
          <cell r="C313" t="str">
            <v>Didi Alejandra Pareja Medina</v>
          </cell>
          <cell r="D313">
            <v>532</v>
          </cell>
          <cell r="E313" t="str">
            <v>MUELLES DEL BOSQUE</v>
          </cell>
          <cell r="F313" t="str">
            <v>Si</v>
          </cell>
          <cell r="G313" t="str">
            <v>Si</v>
          </cell>
          <cell r="H313" t="str">
            <v>CLAUDIGO</v>
          </cell>
          <cell r="I313">
            <v>46091</v>
          </cell>
          <cell r="J313" t="str">
            <v>2 Días</v>
          </cell>
        </row>
        <row r="314">
          <cell r="A314">
            <v>533</v>
          </cell>
          <cell r="B314" t="str">
            <v>CARIBE</v>
          </cell>
          <cell r="C314" t="str">
            <v>Maria Teresa Chaves Ahumada</v>
          </cell>
          <cell r="D314">
            <v>533</v>
          </cell>
          <cell r="E314" t="str">
            <v>GALAPA</v>
          </cell>
          <cell r="F314" t="str">
            <v>Si</v>
          </cell>
          <cell r="G314" t="str">
            <v>Si</v>
          </cell>
          <cell r="H314" t="str">
            <v>YSARMIEN</v>
          </cell>
          <cell r="I314">
            <v>46093</v>
          </cell>
          <cell r="J314" t="str">
            <v>2 Días</v>
          </cell>
        </row>
        <row r="315">
          <cell r="A315">
            <v>534</v>
          </cell>
          <cell r="B315" t="str">
            <v>CENTRO</v>
          </cell>
          <cell r="C315" t="str">
            <v>Astrid Alexandra Quintero Arciniegas</v>
          </cell>
          <cell r="D315">
            <v>534</v>
          </cell>
          <cell r="E315" t="str">
            <v>BUGANVILES</v>
          </cell>
          <cell r="F315" t="str">
            <v>Si</v>
          </cell>
          <cell r="G315" t="str">
            <v>Si</v>
          </cell>
          <cell r="H315" t="str">
            <v>ARTUSANC</v>
          </cell>
          <cell r="I315">
            <v>46099</v>
          </cell>
        </row>
        <row r="316">
          <cell r="A316">
            <v>535</v>
          </cell>
          <cell r="B316" t="str">
            <v>ANTIOQUIA</v>
          </cell>
          <cell r="C316" t="str">
            <v>Katherine Zapata Cano</v>
          </cell>
          <cell r="D316">
            <v>535</v>
          </cell>
          <cell r="E316" t="str">
            <v>EDIFICIO EMPRESAS PUBLICAS</v>
          </cell>
          <cell r="F316" t="str">
            <v>Si</v>
          </cell>
          <cell r="G316" t="str">
            <v>Si</v>
          </cell>
          <cell r="H316" t="str">
            <v>LDZAPATA</v>
          </cell>
          <cell r="I316">
            <v>46086</v>
          </cell>
        </row>
        <row r="317">
          <cell r="A317">
            <v>536</v>
          </cell>
          <cell r="B317" t="str">
            <v>ANTIOQUIA</v>
          </cell>
          <cell r="C317" t="str">
            <v>Julian Alejandro Rodriguez Escobar</v>
          </cell>
          <cell r="D317">
            <v>536</v>
          </cell>
          <cell r="E317" t="str">
            <v>QUIBDO</v>
          </cell>
          <cell r="F317" t="str">
            <v>Si</v>
          </cell>
          <cell r="G317" t="str">
            <v>No</v>
          </cell>
          <cell r="H317" t="str">
            <v>LCARRASC</v>
          </cell>
          <cell r="I317">
            <v>46092</v>
          </cell>
        </row>
        <row r="318">
          <cell r="A318">
            <v>537</v>
          </cell>
          <cell r="B318" t="str">
            <v>ANTIOQUIA</v>
          </cell>
          <cell r="C318" t="str">
            <v>Julian Alejandro Rodriguez Escobar</v>
          </cell>
          <cell r="D318">
            <v>537</v>
          </cell>
          <cell r="E318" t="str">
            <v>ENTRERRIOS</v>
          </cell>
          <cell r="F318" t="str">
            <v>Si</v>
          </cell>
          <cell r="G318" t="str">
            <v>Si</v>
          </cell>
          <cell r="H318" t="str">
            <v>JVOSORI</v>
          </cell>
          <cell r="I318">
            <v>46093</v>
          </cell>
        </row>
        <row r="319">
          <cell r="A319">
            <v>539</v>
          </cell>
          <cell r="B319" t="str">
            <v>ANTIOQUIA</v>
          </cell>
          <cell r="C319" t="str">
            <v>Juan Fernando Alzate Valencia</v>
          </cell>
          <cell r="D319">
            <v>539</v>
          </cell>
          <cell r="E319" t="str">
            <v>ZONA FRANCA</v>
          </cell>
          <cell r="F319" t="str">
            <v>Si</v>
          </cell>
          <cell r="G319" t="str">
            <v>No</v>
          </cell>
          <cell r="H319" t="str">
            <v xml:space="preserve"> YUJARAMI</v>
          </cell>
          <cell r="I319">
            <v>46086</v>
          </cell>
        </row>
        <row r="320">
          <cell r="A320">
            <v>540</v>
          </cell>
          <cell r="B320" t="str">
            <v>ANTIOQUIA</v>
          </cell>
          <cell r="C320" t="str">
            <v>Katherine Zapata Cano</v>
          </cell>
          <cell r="D320">
            <v>540</v>
          </cell>
          <cell r="E320" t="str">
            <v>PLAZA DE FLORES</v>
          </cell>
          <cell r="F320" t="str">
            <v>Si</v>
          </cell>
          <cell r="G320" t="str">
            <v>Si</v>
          </cell>
          <cell r="H320" t="str">
            <v>PGOMEZ</v>
          </cell>
          <cell r="I320">
            <v>46092</v>
          </cell>
        </row>
        <row r="321">
          <cell r="A321">
            <v>541</v>
          </cell>
          <cell r="B321" t="str">
            <v>ANTIOQUIA</v>
          </cell>
          <cell r="C321" t="str">
            <v>Sandra Milena Cardona Franco</v>
          </cell>
          <cell r="D321">
            <v>541</v>
          </cell>
          <cell r="E321" t="str">
            <v>CALDAS PARQUE</v>
          </cell>
          <cell r="F321" t="str">
            <v>Si</v>
          </cell>
          <cell r="G321" t="str">
            <v>No</v>
          </cell>
          <cell r="H321" t="str">
            <v>NEGARCIC</v>
          </cell>
          <cell r="I321">
            <v>46086</v>
          </cell>
        </row>
        <row r="322">
          <cell r="A322">
            <v>545</v>
          </cell>
          <cell r="B322" t="str">
            <v>BOGOTA Y CUNDINAMARCA</v>
          </cell>
          <cell r="C322" t="str">
            <v>Nidya Marcela Poveda Sanchez</v>
          </cell>
          <cell r="D322">
            <v>545</v>
          </cell>
          <cell r="E322" t="str">
            <v>VILLAPINZON</v>
          </cell>
          <cell r="F322" t="str">
            <v>Si</v>
          </cell>
          <cell r="G322" t="str">
            <v>No</v>
          </cell>
          <cell r="H322" t="str">
            <v>JAINFANT</v>
          </cell>
          <cell r="I322">
            <v>46100</v>
          </cell>
        </row>
        <row r="323">
          <cell r="A323">
            <v>547</v>
          </cell>
          <cell r="B323" t="str">
            <v>BOGOTA Y CUNDINAMARCA</v>
          </cell>
          <cell r="C323" t="str">
            <v>Camilo Andres Mila Jimenez</v>
          </cell>
          <cell r="D323">
            <v>547</v>
          </cell>
          <cell r="E323" t="str">
            <v>PLAZA IMPERIAL SUBA</v>
          </cell>
          <cell r="F323" t="str">
            <v>Si</v>
          </cell>
          <cell r="G323" t="str">
            <v>No</v>
          </cell>
          <cell r="H323" t="str">
            <v>MAMAHECH</v>
          </cell>
          <cell r="I323">
            <v>46093</v>
          </cell>
        </row>
        <row r="324">
          <cell r="A324">
            <v>549</v>
          </cell>
          <cell r="B324" t="str">
            <v>ANTIOQUIA</v>
          </cell>
          <cell r="C324" t="str">
            <v>Julian Alejandro Rodriguez Escobar</v>
          </cell>
          <cell r="D324">
            <v>549</v>
          </cell>
          <cell r="E324" t="str">
            <v>PLAZA DEL RIO</v>
          </cell>
          <cell r="F324" t="str">
            <v>Si</v>
          </cell>
          <cell r="G324" t="str">
            <v>No</v>
          </cell>
          <cell r="H324" t="str">
            <v>EPAEZ</v>
          </cell>
          <cell r="I324">
            <v>46093</v>
          </cell>
        </row>
        <row r="325">
          <cell r="A325">
            <v>550</v>
          </cell>
          <cell r="B325" t="str">
            <v>CARIBE</v>
          </cell>
          <cell r="C325" t="str">
            <v>Magaly Del Socorro Cabrales Isaac</v>
          </cell>
          <cell r="D325">
            <v>550</v>
          </cell>
          <cell r="E325" t="str">
            <v>GUACARI</v>
          </cell>
          <cell r="F325" t="str">
            <v>Si</v>
          </cell>
          <cell r="G325" t="str">
            <v>No</v>
          </cell>
          <cell r="H325" t="str">
            <v>MJHERNAN</v>
          </cell>
          <cell r="I325">
            <v>46093</v>
          </cell>
        </row>
        <row r="326">
          <cell r="A326">
            <v>551</v>
          </cell>
          <cell r="B326" t="str">
            <v>ANTIOQUIA</v>
          </cell>
          <cell r="C326" t="str">
            <v>Ana Maria Echavarria Gonzalez</v>
          </cell>
          <cell r="D326">
            <v>551</v>
          </cell>
          <cell r="E326" t="str">
            <v>UNICENTRO MEDELLIN</v>
          </cell>
          <cell r="F326" t="str">
            <v>Si</v>
          </cell>
          <cell r="G326" t="str">
            <v>Si</v>
          </cell>
          <cell r="H326" t="str">
            <v>MARARAQU</v>
          </cell>
          <cell r="I326">
            <v>46093</v>
          </cell>
        </row>
        <row r="327">
          <cell r="A327">
            <v>553</v>
          </cell>
          <cell r="B327" t="str">
            <v>ANTIOQUIA</v>
          </cell>
          <cell r="C327" t="str">
            <v>Julian Alejandro Rodriguez Escobar</v>
          </cell>
          <cell r="D327">
            <v>553</v>
          </cell>
          <cell r="E327" t="str">
            <v>COPACABANA</v>
          </cell>
          <cell r="F327" t="str">
            <v>Si</v>
          </cell>
          <cell r="G327" t="str">
            <v>Si</v>
          </cell>
          <cell r="H327" t="str">
            <v>DSJARAMI</v>
          </cell>
          <cell r="I327">
            <v>46093</v>
          </cell>
        </row>
        <row r="328">
          <cell r="A328">
            <v>554</v>
          </cell>
          <cell r="B328" t="str">
            <v>CARIBE</v>
          </cell>
          <cell r="C328" t="str">
            <v>German Alcides Hernandez Vivero</v>
          </cell>
          <cell r="D328">
            <v>554</v>
          </cell>
          <cell r="E328" t="str">
            <v>MALL PLAZA BUENAVISTA</v>
          </cell>
          <cell r="F328" t="str">
            <v>Si</v>
          </cell>
          <cell r="G328" t="str">
            <v>No</v>
          </cell>
          <cell r="H328" t="str">
            <v>STNINO</v>
          </cell>
          <cell r="I328">
            <v>46093</v>
          </cell>
          <cell r="J328" t="str">
            <v>2 Días</v>
          </cell>
        </row>
        <row r="329">
          <cell r="A329">
            <v>555</v>
          </cell>
          <cell r="B329" t="str">
            <v>CENTRO</v>
          </cell>
          <cell r="C329" t="str">
            <v>Frank William Castillo Leal</v>
          </cell>
          <cell r="D329">
            <v>555</v>
          </cell>
          <cell r="E329" t="str">
            <v>BARBOSA SANTANDER</v>
          </cell>
          <cell r="F329" t="str">
            <v>Si</v>
          </cell>
          <cell r="G329" t="str">
            <v>No</v>
          </cell>
          <cell r="H329" t="str">
            <v>JUAORTIZ</v>
          </cell>
          <cell r="I329">
            <v>46099</v>
          </cell>
        </row>
        <row r="330">
          <cell r="A330">
            <v>556</v>
          </cell>
          <cell r="B330" t="str">
            <v>ANTIOQUIA</v>
          </cell>
          <cell r="C330" t="str">
            <v>Juan Fernando Alzate Valencia</v>
          </cell>
          <cell r="D330">
            <v>556</v>
          </cell>
          <cell r="E330" t="str">
            <v>EL CARMEN DE VIBORAL</v>
          </cell>
          <cell r="F330" t="str">
            <v>Si</v>
          </cell>
          <cell r="G330" t="str">
            <v>No</v>
          </cell>
          <cell r="H330" t="str">
            <v>ANMGIRAL</v>
          </cell>
          <cell r="I330">
            <v>46093</v>
          </cell>
        </row>
        <row r="331">
          <cell r="A331">
            <v>557</v>
          </cell>
          <cell r="B331" t="str">
            <v>ANTIOQUIA</v>
          </cell>
          <cell r="C331" t="str">
            <v>Juan Fernando Alzate Valencia</v>
          </cell>
          <cell r="D331">
            <v>557</v>
          </cell>
          <cell r="E331" t="str">
            <v>LA UNION ANTIOQUIA</v>
          </cell>
          <cell r="F331" t="str">
            <v>Si</v>
          </cell>
          <cell r="G331" t="str">
            <v>No</v>
          </cell>
          <cell r="H331" t="str">
            <v>DGALVIS</v>
          </cell>
          <cell r="I331">
            <v>46091</v>
          </cell>
        </row>
        <row r="332">
          <cell r="A332">
            <v>567</v>
          </cell>
          <cell r="B332" t="str">
            <v>BOGOTA Y CUNDINAMARCA</v>
          </cell>
          <cell r="C332" t="str">
            <v>Samuel Alexander Mendez Suarez</v>
          </cell>
          <cell r="D332">
            <v>567</v>
          </cell>
          <cell r="E332" t="str">
            <v>VENECIA</v>
          </cell>
          <cell r="F332" t="str">
            <v>Si</v>
          </cell>
          <cell r="G332" t="str">
            <v>No</v>
          </cell>
          <cell r="H332" t="str">
            <v>DIARRODR</v>
          </cell>
          <cell r="I332">
            <v>46091</v>
          </cell>
          <cell r="J332" t="str">
            <v>2 Días</v>
          </cell>
        </row>
        <row r="333">
          <cell r="A333">
            <v>569</v>
          </cell>
          <cell r="B333" t="str">
            <v>CARIBE</v>
          </cell>
          <cell r="C333" t="str">
            <v>Magaly Del Socorro Cabrales Isaac</v>
          </cell>
          <cell r="D333">
            <v>569</v>
          </cell>
          <cell r="E333" t="str">
            <v xml:space="preserve">BUENAVISTA MONTERIA </v>
          </cell>
          <cell r="F333" t="str">
            <v>Si</v>
          </cell>
          <cell r="G333" t="str">
            <v>Si</v>
          </cell>
          <cell r="H333" t="str">
            <v>VICHINCA</v>
          </cell>
          <cell r="I333">
            <v>46091</v>
          </cell>
        </row>
        <row r="334">
          <cell r="A334">
            <v>570</v>
          </cell>
          <cell r="B334" t="str">
            <v>BOGOTA Y CUNDINAMARCA</v>
          </cell>
          <cell r="C334" t="str">
            <v>Kirsys Nadyra Robelto Sanchez</v>
          </cell>
          <cell r="D334">
            <v>570</v>
          </cell>
          <cell r="E334" t="str">
            <v>BANCA COLOMBIA USAQUEN</v>
          </cell>
          <cell r="F334" t="str">
            <v>Si</v>
          </cell>
          <cell r="G334" t="str">
            <v>No</v>
          </cell>
          <cell r="H334" t="str">
            <v>INRODRIG</v>
          </cell>
          <cell r="I334">
            <v>46092</v>
          </cell>
        </row>
        <row r="335">
          <cell r="A335">
            <v>571</v>
          </cell>
          <cell r="B335" t="str">
            <v>BOGOTA Y CUNDINAMARCA</v>
          </cell>
          <cell r="C335" t="str">
            <v>Camilo Andres Mila Jimenez</v>
          </cell>
          <cell r="D335">
            <v>571</v>
          </cell>
          <cell r="E335" t="str">
            <v>CENTRO COMERCIAL PALATINO</v>
          </cell>
          <cell r="F335" t="str">
            <v>Si</v>
          </cell>
          <cell r="G335" t="str">
            <v>Si</v>
          </cell>
          <cell r="H335" t="str">
            <v>GLORGIRA</v>
          </cell>
          <cell r="I335">
            <v>46086</v>
          </cell>
        </row>
        <row r="336">
          <cell r="A336">
            <v>580</v>
          </cell>
          <cell r="B336" t="str">
            <v>ANTIOQUIA</v>
          </cell>
          <cell r="C336" t="str">
            <v>Julian Alejandro Rodriguez Escobar</v>
          </cell>
          <cell r="D336">
            <v>580</v>
          </cell>
          <cell r="E336" t="str">
            <v>FLORIDA PARQUE</v>
          </cell>
          <cell r="F336" t="str">
            <v>Si</v>
          </cell>
          <cell r="G336" t="str">
            <v>Si</v>
          </cell>
          <cell r="H336" t="str">
            <v>PAACOSTA</v>
          </cell>
          <cell r="I336">
            <v>46092</v>
          </cell>
        </row>
        <row r="337">
          <cell r="A337">
            <v>582</v>
          </cell>
          <cell r="B337" t="str">
            <v>BOGOTA Y CUNDINAMARCA</v>
          </cell>
          <cell r="C337" t="str">
            <v>Kirsys Nadyra Robelto Sanchez</v>
          </cell>
          <cell r="D337">
            <v>582</v>
          </cell>
          <cell r="E337" t="str">
            <v>CENTRO COMERCIAL ANDINO</v>
          </cell>
          <cell r="F337" t="str">
            <v>Si</v>
          </cell>
          <cell r="G337" t="str">
            <v>No</v>
          </cell>
          <cell r="H337" t="str">
            <v>JESEGURA</v>
          </cell>
          <cell r="I337">
            <v>46098</v>
          </cell>
          <cell r="J337" t="str">
            <v>2 Días</v>
          </cell>
        </row>
        <row r="338">
          <cell r="A338">
            <v>583</v>
          </cell>
          <cell r="B338" t="str">
            <v>SUR</v>
          </cell>
          <cell r="C338" t="str">
            <v>Sergio Arias Pelaez</v>
          </cell>
          <cell r="D338">
            <v>583</v>
          </cell>
          <cell r="E338" t="str">
            <v>RIOSUCIO</v>
          </cell>
          <cell r="F338" t="str">
            <v>Si</v>
          </cell>
          <cell r="G338" t="str">
            <v>No</v>
          </cell>
          <cell r="H338" t="str">
            <v>ALPULGAR</v>
          </cell>
          <cell r="I338">
            <v>46086</v>
          </cell>
        </row>
        <row r="339">
          <cell r="A339">
            <v>584</v>
          </cell>
          <cell r="B339" t="str">
            <v>ANTIOQUIA</v>
          </cell>
          <cell r="C339" t="str">
            <v>Julian Alejandro Rodriguez Escobar</v>
          </cell>
          <cell r="D339">
            <v>584</v>
          </cell>
          <cell r="E339" t="str">
            <v>CHIGORODO</v>
          </cell>
          <cell r="F339" t="str">
            <v>Si</v>
          </cell>
          <cell r="G339" t="str">
            <v>No</v>
          </cell>
          <cell r="H339" t="str">
            <v>CECALVAR</v>
          </cell>
          <cell r="I339">
            <v>46086</v>
          </cell>
        </row>
        <row r="340">
          <cell r="A340">
            <v>589</v>
          </cell>
          <cell r="B340" t="str">
            <v>BOGOTA Y CUNDINAMARCA</v>
          </cell>
          <cell r="C340" t="str">
            <v>Fabio Orlando Bosa Poveda</v>
          </cell>
          <cell r="D340">
            <v>589</v>
          </cell>
          <cell r="E340" t="str">
            <v>NORMANDIA</v>
          </cell>
          <cell r="F340" t="str">
            <v>Si</v>
          </cell>
          <cell r="G340" t="str">
            <v>Si</v>
          </cell>
          <cell r="H340" t="str">
            <v>EIDELGAD</v>
          </cell>
          <cell r="I340">
            <v>46092</v>
          </cell>
        </row>
        <row r="341">
          <cell r="A341">
            <v>591</v>
          </cell>
          <cell r="B341" t="str">
            <v>CENTRO</v>
          </cell>
          <cell r="C341" t="str">
            <v>Yury Yaquelin Daza Congo</v>
          </cell>
          <cell r="D341">
            <v>591</v>
          </cell>
          <cell r="E341" t="str">
            <v>SAMACA</v>
          </cell>
          <cell r="F341" t="str">
            <v>Si</v>
          </cell>
          <cell r="G341" t="str">
            <v>Si</v>
          </cell>
          <cell r="H341" t="str">
            <v>EDDMEDIN</v>
          </cell>
          <cell r="I341">
            <v>46093</v>
          </cell>
        </row>
        <row r="342">
          <cell r="A342">
            <v>595</v>
          </cell>
          <cell r="B342" t="str">
            <v>CARIBE</v>
          </cell>
          <cell r="C342" t="str">
            <v>Maria Teresa Chaves Ahumada</v>
          </cell>
          <cell r="D342">
            <v>595</v>
          </cell>
          <cell r="E342" t="str">
            <v>BARANOA</v>
          </cell>
          <cell r="F342" t="str">
            <v>Si</v>
          </cell>
          <cell r="G342" t="str">
            <v>No</v>
          </cell>
          <cell r="H342" t="str">
            <v>YFIGUERO</v>
          </cell>
          <cell r="I342">
            <v>46098</v>
          </cell>
        </row>
        <row r="343">
          <cell r="A343">
            <v>597</v>
          </cell>
          <cell r="B343" t="str">
            <v>CENTRO</v>
          </cell>
          <cell r="C343" t="str">
            <v>Edwin Andres Lievano Orjuela</v>
          </cell>
          <cell r="D343">
            <v>597</v>
          </cell>
          <cell r="E343" t="str">
            <v>MULTICENTRO IBAGUE</v>
          </cell>
          <cell r="F343" t="str">
            <v>Si</v>
          </cell>
          <cell r="G343" t="str">
            <v>No</v>
          </cell>
          <cell r="H343" t="str">
            <v>OVALBUEN</v>
          </cell>
          <cell r="I343">
            <v>46086</v>
          </cell>
        </row>
        <row r="344">
          <cell r="A344">
            <v>600</v>
          </cell>
          <cell r="B344" t="str">
            <v>ANTIOQUIA</v>
          </cell>
          <cell r="C344" t="str">
            <v>Natalia Zuluaga Rodriguez</v>
          </cell>
          <cell r="D344">
            <v>600</v>
          </cell>
          <cell r="E344" t="str">
            <v>BANCA COLOMBIA EL TESORO</v>
          </cell>
          <cell r="F344" t="str">
            <v>Si</v>
          </cell>
          <cell r="G344" t="str">
            <v>No</v>
          </cell>
          <cell r="H344" t="str">
            <v>JACMONTO</v>
          </cell>
          <cell r="I344">
            <v>46086</v>
          </cell>
        </row>
        <row r="345">
          <cell r="A345">
            <v>601</v>
          </cell>
          <cell r="B345" t="str">
            <v>BOGOTA Y CUNDINAMARCA</v>
          </cell>
          <cell r="C345" t="str">
            <v>Camilo Andres Mila Jimenez</v>
          </cell>
          <cell r="D345">
            <v>601</v>
          </cell>
          <cell r="E345" t="str">
            <v>PARQUE LA COLINA</v>
          </cell>
          <cell r="F345" t="str">
            <v>Si</v>
          </cell>
          <cell r="G345" t="str">
            <v>No</v>
          </cell>
          <cell r="H345" t="str">
            <v>DERAMIRE</v>
          </cell>
          <cell r="I345">
            <v>46098</v>
          </cell>
        </row>
        <row r="346">
          <cell r="A346">
            <v>602</v>
          </cell>
          <cell r="B346" t="str">
            <v>BOGOTA Y CUNDINAMARCA</v>
          </cell>
          <cell r="C346" t="str">
            <v>Victoria Eugenia Guaqueta Murcia</v>
          </cell>
          <cell r="D346">
            <v>602</v>
          </cell>
          <cell r="E346" t="str">
            <v>UGI</v>
          </cell>
          <cell r="F346" t="str">
            <v>Si</v>
          </cell>
          <cell r="G346" t="str">
            <v>Si</v>
          </cell>
          <cell r="H346" t="str">
            <v>NMLOPEZ</v>
          </cell>
          <cell r="I346">
            <v>46099</v>
          </cell>
          <cell r="J346" t="str">
            <v>2 Días</v>
          </cell>
        </row>
        <row r="347">
          <cell r="A347">
            <v>604</v>
          </cell>
          <cell r="B347" t="str">
            <v>CENTRO</v>
          </cell>
          <cell r="C347" t="str">
            <v>Yury Yaquelin Daza Congo</v>
          </cell>
          <cell r="D347">
            <v>604</v>
          </cell>
          <cell r="E347" t="str">
            <v>SOCHA</v>
          </cell>
          <cell r="F347" t="str">
            <v>Si</v>
          </cell>
          <cell r="G347" t="str">
            <v>Si</v>
          </cell>
          <cell r="H347" t="str">
            <v>DALRODRI</v>
          </cell>
          <cell r="I347">
            <v>46100</v>
          </cell>
          <cell r="J347" t="str">
            <v>2 Días</v>
          </cell>
        </row>
        <row r="348">
          <cell r="A348">
            <v>605</v>
          </cell>
          <cell r="B348" t="str">
            <v>SUR</v>
          </cell>
          <cell r="C348" t="str">
            <v>Hector Mario Rendon Ocampo</v>
          </cell>
          <cell r="D348">
            <v>605</v>
          </cell>
          <cell r="E348" t="str">
            <v>JARDIN PLAZA</v>
          </cell>
          <cell r="F348" t="str">
            <v>Si</v>
          </cell>
          <cell r="G348" t="str">
            <v>No</v>
          </cell>
          <cell r="H348" t="str">
            <v>MCCORRAL</v>
          </cell>
          <cell r="I348">
            <v>46093</v>
          </cell>
        </row>
        <row r="349">
          <cell r="A349">
            <v>606</v>
          </cell>
          <cell r="B349" t="str">
            <v>CENTRO</v>
          </cell>
          <cell r="C349" t="str">
            <v>Yury Yaquelin Daza Congo</v>
          </cell>
          <cell r="D349">
            <v>606</v>
          </cell>
          <cell r="E349" t="str">
            <v>UNICENTRO TUNJA</v>
          </cell>
          <cell r="F349" t="str">
            <v>Si</v>
          </cell>
          <cell r="G349" t="str">
            <v>Si</v>
          </cell>
          <cell r="H349" t="str">
            <v>PAAMOREN</v>
          </cell>
          <cell r="I349">
            <v>46091</v>
          </cell>
        </row>
        <row r="350">
          <cell r="A350">
            <v>609</v>
          </cell>
          <cell r="B350" t="str">
            <v>ANTIOQUIA</v>
          </cell>
          <cell r="C350" t="str">
            <v>Sandra Milena Cardona Franco</v>
          </cell>
          <cell r="D350">
            <v>609</v>
          </cell>
          <cell r="E350" t="str">
            <v>CENTRAL DE ABASTOS MEDELLIN</v>
          </cell>
          <cell r="F350" t="str">
            <v>Si</v>
          </cell>
          <cell r="G350" t="str">
            <v>Si</v>
          </cell>
          <cell r="H350" t="str">
            <v>PAGALLEG</v>
          </cell>
          <cell r="I350">
            <v>46098</v>
          </cell>
        </row>
        <row r="351">
          <cell r="A351">
            <v>611</v>
          </cell>
          <cell r="B351" t="str">
            <v>ANTIOQUIA</v>
          </cell>
          <cell r="C351" t="str">
            <v>Natalia Zuluaga Rodriguez</v>
          </cell>
          <cell r="D351">
            <v>611</v>
          </cell>
          <cell r="E351" t="str">
            <v>SAN FERNANDO PLAZA</v>
          </cell>
          <cell r="F351" t="str">
            <v>Si</v>
          </cell>
          <cell r="G351" t="str">
            <v>No</v>
          </cell>
          <cell r="H351" t="str">
            <v>LEOROZCO</v>
          </cell>
          <cell r="I351">
            <v>46099</v>
          </cell>
        </row>
        <row r="352">
          <cell r="A352">
            <v>613</v>
          </cell>
          <cell r="B352" t="str">
            <v>ANTIOQUIA</v>
          </cell>
          <cell r="C352" t="str">
            <v>Ana Maria Echavarria Gonzalez</v>
          </cell>
          <cell r="D352">
            <v>613</v>
          </cell>
          <cell r="E352" t="str">
            <v>LA AMERICA</v>
          </cell>
          <cell r="F352" t="str">
            <v>Si</v>
          </cell>
          <cell r="G352" t="str">
            <v>Si</v>
          </cell>
          <cell r="H352" t="str">
            <v>JGARCIAG</v>
          </cell>
          <cell r="I352">
            <v>46093</v>
          </cell>
        </row>
        <row r="353">
          <cell r="A353">
            <v>614</v>
          </cell>
          <cell r="B353" t="str">
            <v>ANTIOQUIA</v>
          </cell>
          <cell r="C353" t="str">
            <v>Ana Maria Echavarria Gonzalez</v>
          </cell>
          <cell r="D353">
            <v>614</v>
          </cell>
          <cell r="E353" t="str">
            <v>BELEN</v>
          </cell>
          <cell r="F353" t="str">
            <v>Si</v>
          </cell>
          <cell r="G353" t="str">
            <v>Si</v>
          </cell>
          <cell r="H353" t="str">
            <v>DBUILES</v>
          </cell>
          <cell r="I353">
            <v>46098</v>
          </cell>
        </row>
        <row r="354">
          <cell r="A354">
            <v>615</v>
          </cell>
          <cell r="B354" t="str">
            <v>ANTIOQUIA</v>
          </cell>
          <cell r="C354" t="str">
            <v>Julian Alejandro Rodriguez Escobar</v>
          </cell>
          <cell r="D354">
            <v>615</v>
          </cell>
          <cell r="E354" t="str">
            <v>PLAZA DE FERIAS</v>
          </cell>
          <cell r="F354" t="str">
            <v>Si</v>
          </cell>
          <cell r="G354" t="str">
            <v>Si</v>
          </cell>
          <cell r="H354" t="str">
            <v>JUDAURRE</v>
          </cell>
          <cell r="I354">
            <v>46099</v>
          </cell>
        </row>
        <row r="355">
          <cell r="A355">
            <v>616</v>
          </cell>
          <cell r="B355" t="str">
            <v>ANTIOQUIA</v>
          </cell>
          <cell r="C355" t="str">
            <v>Katherine Zapata Cano</v>
          </cell>
          <cell r="D355">
            <v>616</v>
          </cell>
          <cell r="E355" t="str">
            <v>PARQUE BOLIVAR</v>
          </cell>
          <cell r="F355" t="str">
            <v>Si</v>
          </cell>
          <cell r="G355" t="str">
            <v>No</v>
          </cell>
          <cell r="H355" t="str">
            <v>VBETANCU</v>
          </cell>
          <cell r="I355">
            <v>46091</v>
          </cell>
        </row>
        <row r="356">
          <cell r="A356">
            <v>617</v>
          </cell>
          <cell r="B356" t="str">
            <v>ANTIOQUIA</v>
          </cell>
          <cell r="C356" t="str">
            <v>Juan Fernando Alzate Valencia</v>
          </cell>
          <cell r="D356">
            <v>617</v>
          </cell>
          <cell r="E356" t="str">
            <v>SAN DIEGO</v>
          </cell>
          <cell r="F356" t="str">
            <v>Si</v>
          </cell>
          <cell r="G356" t="str">
            <v>No</v>
          </cell>
          <cell r="H356" t="str">
            <v>AMYEPES</v>
          </cell>
          <cell r="I356">
            <v>46100</v>
          </cell>
        </row>
        <row r="357">
          <cell r="A357">
            <v>619</v>
          </cell>
          <cell r="B357" t="str">
            <v>CENTRO</v>
          </cell>
          <cell r="C357" t="str">
            <v>Edwin Andres Lievano Orjuela</v>
          </cell>
          <cell r="D357">
            <v>619</v>
          </cell>
          <cell r="E357" t="str">
            <v>PLAZAS DEL BOSQUE</v>
          </cell>
          <cell r="F357" t="str">
            <v>Si</v>
          </cell>
          <cell r="G357" t="str">
            <v>Si</v>
          </cell>
          <cell r="H357" t="str">
            <v>ELIOSPIN</v>
          </cell>
          <cell r="I357">
            <v>46098</v>
          </cell>
        </row>
        <row r="358">
          <cell r="A358">
            <v>621</v>
          </cell>
          <cell r="B358" t="str">
            <v>SUR</v>
          </cell>
          <cell r="C358" t="str">
            <v>Yamileth Abella Bonilla</v>
          </cell>
          <cell r="D358">
            <v>621</v>
          </cell>
          <cell r="E358" t="str">
            <v>YUMBO</v>
          </cell>
          <cell r="F358" t="str">
            <v>Si</v>
          </cell>
          <cell r="G358" t="str">
            <v>No</v>
          </cell>
          <cell r="H358" t="str">
            <v>LEHENAO</v>
          </cell>
          <cell r="I358">
            <v>46086</v>
          </cell>
        </row>
        <row r="359">
          <cell r="A359">
            <v>623</v>
          </cell>
          <cell r="B359" t="str">
            <v>SUR</v>
          </cell>
          <cell r="C359" t="str">
            <v>Sergio Arias Pelaez</v>
          </cell>
          <cell r="D359">
            <v>623</v>
          </cell>
          <cell r="E359" t="str">
            <v>FUNDADORES MANIZALES</v>
          </cell>
          <cell r="F359" t="str">
            <v>Si</v>
          </cell>
          <cell r="G359" t="str">
            <v>Si</v>
          </cell>
          <cell r="H359" t="str">
            <v>ELIZLOND</v>
          </cell>
          <cell r="I359">
            <v>46086</v>
          </cell>
        </row>
        <row r="360">
          <cell r="A360">
            <v>625</v>
          </cell>
          <cell r="B360" t="str">
            <v>ANTIOQUIA</v>
          </cell>
          <cell r="C360" t="str">
            <v>Katherine Zapata Cano</v>
          </cell>
          <cell r="D360">
            <v>625</v>
          </cell>
          <cell r="E360" t="str">
            <v>BARRIO TRISTE</v>
          </cell>
          <cell r="F360" t="str">
            <v>Si</v>
          </cell>
          <cell r="G360" t="str">
            <v>No</v>
          </cell>
          <cell r="H360" t="str">
            <v>CAMAVARG</v>
          </cell>
          <cell r="I360">
            <v>46086</v>
          </cell>
          <cell r="J360" t="str">
            <v>2 Días</v>
          </cell>
        </row>
        <row r="361">
          <cell r="A361">
            <v>627</v>
          </cell>
          <cell r="B361" t="str">
            <v>BOGOTA Y CUNDINAMARCA</v>
          </cell>
          <cell r="C361" t="str">
            <v>Fabio Orlando Bosa Poveda</v>
          </cell>
          <cell r="D361">
            <v>627</v>
          </cell>
          <cell r="E361" t="str">
            <v>PLAZA CLARO</v>
          </cell>
          <cell r="F361" t="str">
            <v>Si</v>
          </cell>
          <cell r="G361" t="str">
            <v>Si</v>
          </cell>
          <cell r="H361" t="str">
            <v>RSALGADO</v>
          </cell>
          <cell r="I361">
            <v>46099</v>
          </cell>
        </row>
        <row r="362">
          <cell r="A362">
            <v>629</v>
          </cell>
          <cell r="B362" t="str">
            <v>CENTRO</v>
          </cell>
          <cell r="C362" t="str">
            <v>Yury Yaquelin Daza Congo</v>
          </cell>
          <cell r="D362">
            <v>629</v>
          </cell>
          <cell r="E362" t="str">
            <v xml:space="preserve">UNICENTRO YOPAL </v>
          </cell>
          <cell r="F362" t="str">
            <v>Si</v>
          </cell>
          <cell r="G362" t="str">
            <v>No</v>
          </cell>
          <cell r="H362" t="str">
            <v>JCSANCHE</v>
          </cell>
          <cell r="I362">
            <v>46099</v>
          </cell>
        </row>
        <row r="363">
          <cell r="A363">
            <v>631</v>
          </cell>
          <cell r="B363" t="str">
            <v>CARIBE</v>
          </cell>
          <cell r="C363" t="str">
            <v>Alicia Minerva Fontalvo Reales</v>
          </cell>
          <cell r="D363">
            <v>631</v>
          </cell>
          <cell r="E363" t="str">
            <v>URIBIA</v>
          </cell>
          <cell r="F363" t="str">
            <v>Si</v>
          </cell>
          <cell r="G363" t="str">
            <v>Si</v>
          </cell>
          <cell r="H363" t="str">
            <v>LPAZ</v>
          </cell>
          <cell r="I363">
            <v>46086</v>
          </cell>
          <cell r="J363" t="str">
            <v>2 Días</v>
          </cell>
        </row>
        <row r="364">
          <cell r="A364">
            <v>634</v>
          </cell>
          <cell r="B364" t="str">
            <v>BOGOTA Y CUNDINAMARCA</v>
          </cell>
          <cell r="C364" t="str">
            <v>Camilo Andres Mila Jimenez</v>
          </cell>
          <cell r="D364">
            <v>634</v>
          </cell>
          <cell r="E364" t="str">
            <v>AVENIDA 127</v>
          </cell>
          <cell r="F364" t="str">
            <v>Si</v>
          </cell>
          <cell r="G364" t="str">
            <v>Si</v>
          </cell>
          <cell r="H364" t="str">
            <v>AMSCABEZ</v>
          </cell>
          <cell r="I364">
            <v>46086</v>
          </cell>
        </row>
        <row r="365">
          <cell r="A365">
            <v>638</v>
          </cell>
          <cell r="B365" t="str">
            <v>BOGOTA Y CUNDINAMARCA</v>
          </cell>
          <cell r="C365" t="str">
            <v>Fabio Orlando Bosa Poveda</v>
          </cell>
          <cell r="D365">
            <v>638</v>
          </cell>
          <cell r="E365" t="str">
            <v>CALLE 80</v>
          </cell>
          <cell r="F365" t="str">
            <v>Si</v>
          </cell>
          <cell r="G365" t="str">
            <v>No</v>
          </cell>
          <cell r="H365" t="str">
            <v>PACOLORA</v>
          </cell>
          <cell r="I365">
            <v>46098</v>
          </cell>
        </row>
        <row r="366">
          <cell r="A366">
            <v>639</v>
          </cell>
          <cell r="B366" t="str">
            <v>BOGOTA Y CUNDINAMARCA</v>
          </cell>
          <cell r="C366" t="str">
            <v>Fabio Orlando Bosa Poveda</v>
          </cell>
          <cell r="D366">
            <v>639</v>
          </cell>
          <cell r="E366" t="str">
            <v>TITAN PLAZA</v>
          </cell>
          <cell r="F366" t="str">
            <v>Si</v>
          </cell>
          <cell r="G366" t="str">
            <v>No</v>
          </cell>
          <cell r="H366" t="str">
            <v>LYCUBILL</v>
          </cell>
          <cell r="I366">
            <v>46086</v>
          </cell>
        </row>
        <row r="367">
          <cell r="A367">
            <v>640</v>
          </cell>
          <cell r="B367" t="str">
            <v>BOGOTA Y CUNDINAMARCA</v>
          </cell>
          <cell r="C367" t="str">
            <v>Victoria Eugenia Guaqueta Murcia</v>
          </cell>
          <cell r="D367">
            <v>640</v>
          </cell>
          <cell r="E367" t="str">
            <v>BANCOLOMBIA UNIVERSIDAD JAVERIANA</v>
          </cell>
          <cell r="F367" t="str">
            <v>Si</v>
          </cell>
          <cell r="G367" t="str">
            <v>No</v>
          </cell>
          <cell r="H367" t="str">
            <v>SANAVILA</v>
          </cell>
          <cell r="I367">
            <v>46100</v>
          </cell>
        </row>
        <row r="368">
          <cell r="A368">
            <v>641</v>
          </cell>
          <cell r="B368" t="str">
            <v>ANTIOQUIA</v>
          </cell>
          <cell r="C368" t="str">
            <v>Sandra Milena Cardona Franco</v>
          </cell>
          <cell r="D368">
            <v>641</v>
          </cell>
          <cell r="E368" t="str">
            <v>CIUDAD BOLIVAR</v>
          </cell>
          <cell r="F368" t="str">
            <v>Si</v>
          </cell>
          <cell r="G368" t="str">
            <v>No</v>
          </cell>
          <cell r="H368" t="str">
            <v>LUZPENAG</v>
          </cell>
          <cell r="I368">
            <v>46093</v>
          </cell>
        </row>
        <row r="369">
          <cell r="A369">
            <v>642</v>
          </cell>
          <cell r="B369" t="str">
            <v>ANTIOQUIA</v>
          </cell>
          <cell r="C369" t="str">
            <v>Julian Alejandro Rodriguez Escobar</v>
          </cell>
          <cell r="D369">
            <v>642</v>
          </cell>
          <cell r="E369" t="str">
            <v>SANTA ROSA DE OSOS</v>
          </cell>
          <cell r="F369" t="str">
            <v>Si</v>
          </cell>
          <cell r="G369" t="str">
            <v>No</v>
          </cell>
          <cell r="H369" t="str">
            <v>JHPIEDRA</v>
          </cell>
          <cell r="I369">
            <v>46093</v>
          </cell>
        </row>
        <row r="370">
          <cell r="A370">
            <v>643</v>
          </cell>
          <cell r="B370" t="str">
            <v>SUR</v>
          </cell>
          <cell r="C370" t="str">
            <v>Sergio Arias Pelaez</v>
          </cell>
          <cell r="D370">
            <v>643</v>
          </cell>
          <cell r="E370" t="str">
            <v>AGUADAS</v>
          </cell>
          <cell r="F370" t="str">
            <v>Si</v>
          </cell>
          <cell r="G370" t="str">
            <v>No</v>
          </cell>
          <cell r="H370" t="str">
            <v>LINMORAL</v>
          </cell>
          <cell r="I370">
            <v>46086</v>
          </cell>
        </row>
        <row r="371">
          <cell r="A371">
            <v>645</v>
          </cell>
          <cell r="B371" t="str">
            <v>ANTIOQUIA</v>
          </cell>
          <cell r="C371" t="str">
            <v>Julian Alejandro Rodriguez Escobar</v>
          </cell>
          <cell r="D371">
            <v>645</v>
          </cell>
          <cell r="E371" t="str">
            <v>SANTA MARIA</v>
          </cell>
          <cell r="F371" t="str">
            <v>Si</v>
          </cell>
          <cell r="G371" t="str">
            <v>No</v>
          </cell>
          <cell r="H371" t="str">
            <v>YGUISAO</v>
          </cell>
          <cell r="I371">
            <v>46092</v>
          </cell>
        </row>
        <row r="372">
          <cell r="A372">
            <v>647</v>
          </cell>
          <cell r="B372" t="str">
            <v>ANTIOQUIA</v>
          </cell>
          <cell r="C372" t="str">
            <v>Juan Fernando Alzate Valencia</v>
          </cell>
          <cell r="D372">
            <v>647</v>
          </cell>
          <cell r="E372" t="str">
            <v>MARINILLA</v>
          </cell>
          <cell r="F372" t="str">
            <v>Si</v>
          </cell>
          <cell r="G372" t="str">
            <v>No</v>
          </cell>
          <cell r="H372" t="str">
            <v>JOSEMEJI</v>
          </cell>
          <cell r="I372">
            <v>46092</v>
          </cell>
        </row>
        <row r="373">
          <cell r="A373">
            <v>650</v>
          </cell>
          <cell r="B373" t="str">
            <v>BOGOTA Y CUNDINAMARCA</v>
          </cell>
          <cell r="C373" t="str">
            <v>Nidya Marcela Poveda Sanchez</v>
          </cell>
          <cell r="D373">
            <v>650</v>
          </cell>
          <cell r="E373" t="str">
            <v>CEDRO BOLIVAR</v>
          </cell>
          <cell r="F373" t="str">
            <v>Si</v>
          </cell>
          <cell r="G373" t="str">
            <v>No</v>
          </cell>
          <cell r="H373" t="str">
            <v>LPPEREZ</v>
          </cell>
          <cell r="I373">
            <v>46086</v>
          </cell>
        </row>
        <row r="374">
          <cell r="A374">
            <v>651</v>
          </cell>
          <cell r="B374" t="str">
            <v>ANTIOQUIA</v>
          </cell>
          <cell r="C374" t="str">
            <v>Julian Alejandro Rodriguez Escobar</v>
          </cell>
          <cell r="D374">
            <v>651</v>
          </cell>
          <cell r="E374" t="str">
            <v>BARBOSA</v>
          </cell>
          <cell r="F374" t="str">
            <v>Si</v>
          </cell>
          <cell r="G374" t="str">
            <v>Si</v>
          </cell>
          <cell r="H374" t="str">
            <v>ESTORRES</v>
          </cell>
          <cell r="I374">
            <v>46091</v>
          </cell>
        </row>
        <row r="375">
          <cell r="A375">
            <v>652</v>
          </cell>
          <cell r="B375" t="str">
            <v>BOGOTA Y CUNDINAMARCA</v>
          </cell>
          <cell r="C375" t="str">
            <v>Kirsys Nadyra Robelto Sanchez</v>
          </cell>
          <cell r="D375">
            <v>652</v>
          </cell>
          <cell r="E375" t="str">
            <v>CHICO 94</v>
          </cell>
          <cell r="F375" t="str">
            <v>Si</v>
          </cell>
          <cell r="G375" t="str">
            <v>No</v>
          </cell>
          <cell r="H375" t="str">
            <v>OBARRERO</v>
          </cell>
          <cell r="I375">
            <v>46093</v>
          </cell>
        </row>
        <row r="376">
          <cell r="A376">
            <v>656</v>
          </cell>
          <cell r="B376" t="str">
            <v>CARIBE</v>
          </cell>
          <cell r="C376" t="str">
            <v>Alicia Minerva Fontalvo Reales</v>
          </cell>
          <cell r="D376">
            <v>656</v>
          </cell>
          <cell r="E376" t="str">
            <v>MAYALES PLAZA</v>
          </cell>
          <cell r="F376" t="str">
            <v>Si</v>
          </cell>
          <cell r="G376" t="str">
            <v>No</v>
          </cell>
          <cell r="H376" t="str">
            <v>DVILLARR</v>
          </cell>
          <cell r="I376">
            <v>46099</v>
          </cell>
        </row>
        <row r="377">
          <cell r="A377">
            <v>658</v>
          </cell>
          <cell r="B377" t="str">
            <v>BOGOTA Y CUNDINAMARCA</v>
          </cell>
          <cell r="C377" t="str">
            <v>Camilo Andres Mila Jimenez</v>
          </cell>
          <cell r="D377">
            <v>658</v>
          </cell>
          <cell r="E377" t="str">
            <v>BELLA SUIZA</v>
          </cell>
          <cell r="F377" t="str">
            <v>Si</v>
          </cell>
          <cell r="G377" t="str">
            <v>No</v>
          </cell>
          <cell r="H377" t="str">
            <v>YEGARCIA</v>
          </cell>
          <cell r="I377">
            <v>46099</v>
          </cell>
          <cell r="J377" t="str">
            <v>2 Días</v>
          </cell>
        </row>
        <row r="378">
          <cell r="A378">
            <v>659</v>
          </cell>
          <cell r="B378" t="str">
            <v>CENTRO</v>
          </cell>
          <cell r="C378" t="str">
            <v>Edwin Andres Lievano Orjuela</v>
          </cell>
          <cell r="D378">
            <v>659</v>
          </cell>
          <cell r="E378" t="str">
            <v>GIRARDOT</v>
          </cell>
          <cell r="F378" t="str">
            <v>Si</v>
          </cell>
          <cell r="G378" t="str">
            <v>Si</v>
          </cell>
          <cell r="H378" t="str">
            <v>JCANTOR</v>
          </cell>
          <cell r="I378">
            <v>46100</v>
          </cell>
        </row>
        <row r="379">
          <cell r="A379">
            <v>662</v>
          </cell>
          <cell r="B379" t="str">
            <v>BOGOTA Y CUNDINAMARCA</v>
          </cell>
          <cell r="C379" t="str">
            <v>Kirsys Nadyra Robelto Sanchez</v>
          </cell>
          <cell r="D379">
            <v>662</v>
          </cell>
          <cell r="E379" t="str">
            <v>LA PORCIUNCULA</v>
          </cell>
          <cell r="F379" t="str">
            <v>Si</v>
          </cell>
          <cell r="G379" t="str">
            <v>No</v>
          </cell>
          <cell r="H379" t="str">
            <v>JOSECAST</v>
          </cell>
          <cell r="I379">
            <v>46100</v>
          </cell>
        </row>
        <row r="380">
          <cell r="A380">
            <v>664</v>
          </cell>
          <cell r="B380" t="str">
            <v>BOGOTA Y CUNDINAMARCA</v>
          </cell>
          <cell r="C380" t="str">
            <v>Samuel Alexander Mendez Suarez</v>
          </cell>
          <cell r="D380">
            <v>664</v>
          </cell>
          <cell r="E380" t="str">
            <v>CENTRO DE PAGOS CORABASTOS</v>
          </cell>
          <cell r="F380" t="str">
            <v>Si</v>
          </cell>
          <cell r="G380" t="str">
            <v>No</v>
          </cell>
          <cell r="H380" t="str">
            <v>EESERRAT</v>
          </cell>
          <cell r="I380">
            <v>46092</v>
          </cell>
        </row>
        <row r="381">
          <cell r="A381">
            <v>666</v>
          </cell>
          <cell r="B381" t="str">
            <v>BOGOTA Y CUNDINAMARCA</v>
          </cell>
          <cell r="C381" t="str">
            <v>Victoria Eugenia Guaqueta Murcia</v>
          </cell>
          <cell r="D381">
            <v>666</v>
          </cell>
          <cell r="E381" t="str">
            <v>PARK WAY</v>
          </cell>
          <cell r="F381" t="str">
            <v>Si</v>
          </cell>
          <cell r="G381" t="str">
            <v>No</v>
          </cell>
          <cell r="H381" t="str">
            <v>ANROMERO</v>
          </cell>
          <cell r="I381">
            <v>46086</v>
          </cell>
        </row>
        <row r="382">
          <cell r="A382">
            <v>667</v>
          </cell>
          <cell r="B382" t="str">
            <v>BOGOTA Y CUNDINAMARCA</v>
          </cell>
          <cell r="C382" t="str">
            <v>Samuel Alexander Mendez Suarez</v>
          </cell>
          <cell r="D382">
            <v>667</v>
          </cell>
          <cell r="E382" t="str">
            <v>VALVANERA</v>
          </cell>
          <cell r="F382" t="str">
            <v>Si</v>
          </cell>
          <cell r="G382" t="str">
            <v>No</v>
          </cell>
          <cell r="H382" t="str">
            <v>ADIAZ</v>
          </cell>
          <cell r="I382">
            <v>46100</v>
          </cell>
        </row>
        <row r="383">
          <cell r="A383">
            <v>669</v>
          </cell>
          <cell r="B383" t="str">
            <v>BOGOTA Y CUNDINAMARCA</v>
          </cell>
          <cell r="C383" t="str">
            <v>Samuel Alexander Mendez Suarez</v>
          </cell>
          <cell r="D383">
            <v>669</v>
          </cell>
          <cell r="E383" t="str">
            <v>BARRIO SANTA LUCIA</v>
          </cell>
          <cell r="F383" t="str">
            <v>Si</v>
          </cell>
          <cell r="G383" t="str">
            <v>No</v>
          </cell>
          <cell r="H383" t="str">
            <v>ZACOSTA</v>
          </cell>
          <cell r="I383">
            <v>46086</v>
          </cell>
        </row>
        <row r="384">
          <cell r="A384">
            <v>672</v>
          </cell>
          <cell r="B384" t="str">
            <v>ANTIOQUIA</v>
          </cell>
          <cell r="C384" t="str">
            <v>Juan Fernando Alzate Valencia</v>
          </cell>
          <cell r="D384">
            <v>672</v>
          </cell>
          <cell r="E384" t="str">
            <v>SONSON</v>
          </cell>
          <cell r="F384" t="str">
            <v>Si</v>
          </cell>
          <cell r="G384" t="str">
            <v>Si</v>
          </cell>
          <cell r="H384" t="str">
            <v>DIOROZCO</v>
          </cell>
          <cell r="I384">
            <v>46093</v>
          </cell>
        </row>
        <row r="385">
          <cell r="A385">
            <v>673</v>
          </cell>
          <cell r="B385" t="str">
            <v>BOGOTA Y CUNDINAMARCA</v>
          </cell>
          <cell r="C385" t="str">
            <v>Fabio Orlando Bosa Poveda</v>
          </cell>
          <cell r="D385">
            <v>673</v>
          </cell>
          <cell r="E385" t="str">
            <v>PORTAL DE LA 80</v>
          </cell>
          <cell r="F385" t="str">
            <v>Si</v>
          </cell>
          <cell r="G385" t="str">
            <v>No</v>
          </cell>
          <cell r="H385" t="str">
            <v>MLANTONI</v>
          </cell>
          <cell r="I385">
            <v>46093</v>
          </cell>
        </row>
        <row r="386">
          <cell r="A386">
            <v>674</v>
          </cell>
          <cell r="B386" t="str">
            <v>BOGOTA Y CUNDINAMARCA</v>
          </cell>
          <cell r="C386" t="str">
            <v>Fabio Orlando Bosa Poveda</v>
          </cell>
          <cell r="D386">
            <v>674</v>
          </cell>
          <cell r="E386" t="str">
            <v>FLORESTA</v>
          </cell>
          <cell r="F386" t="str">
            <v>Si</v>
          </cell>
          <cell r="G386" t="str">
            <v>Si</v>
          </cell>
          <cell r="H386" t="str">
            <v>LJGOMEZ</v>
          </cell>
          <cell r="I386">
            <v>46093</v>
          </cell>
        </row>
        <row r="387">
          <cell r="A387">
            <v>676</v>
          </cell>
          <cell r="B387" t="str">
            <v>ANTIOQUIA</v>
          </cell>
          <cell r="C387" t="str">
            <v>Katherine Zapata Cano</v>
          </cell>
          <cell r="D387">
            <v>676</v>
          </cell>
          <cell r="E387" t="str">
            <v>SOFASA ENVIGADO</v>
          </cell>
          <cell r="F387" t="str">
            <v>Si</v>
          </cell>
          <cell r="G387" t="str">
            <v>Si</v>
          </cell>
          <cell r="H387" t="str">
            <v>LDZAPATA</v>
          </cell>
          <cell r="I387">
            <v>46093</v>
          </cell>
        </row>
        <row r="388">
          <cell r="A388">
            <v>677</v>
          </cell>
          <cell r="B388" t="str">
            <v>CARIBE</v>
          </cell>
          <cell r="C388" t="str">
            <v>Magaly Del Socorro Cabrales Isaac</v>
          </cell>
          <cell r="D388">
            <v>677</v>
          </cell>
          <cell r="E388" t="str">
            <v>PLAZA DE MERCADO MONTERIA</v>
          </cell>
          <cell r="F388" t="str">
            <v>Si</v>
          </cell>
          <cell r="G388" t="str">
            <v>No</v>
          </cell>
          <cell r="H388" t="str">
            <v>CARMENDO</v>
          </cell>
          <cell r="I388">
            <v>46092</v>
          </cell>
        </row>
        <row r="389">
          <cell r="A389">
            <v>678</v>
          </cell>
          <cell r="B389" t="str">
            <v>CARIBE</v>
          </cell>
          <cell r="C389" t="str">
            <v>Didi Alejandra Pareja Medina</v>
          </cell>
          <cell r="D389">
            <v>678</v>
          </cell>
          <cell r="E389" t="str">
            <v>PASEO LA CASTELLANA</v>
          </cell>
          <cell r="F389" t="str">
            <v>Si</v>
          </cell>
          <cell r="G389" t="str">
            <v>Si</v>
          </cell>
          <cell r="H389" t="str">
            <v>DPUELLO</v>
          </cell>
          <cell r="I389">
            <v>46092</v>
          </cell>
        </row>
        <row r="390">
          <cell r="A390">
            <v>681</v>
          </cell>
          <cell r="B390" t="str">
            <v>CARIBE</v>
          </cell>
          <cell r="C390" t="str">
            <v>Magaly Del Socorro Cabrales Isaac</v>
          </cell>
          <cell r="D390">
            <v>681</v>
          </cell>
          <cell r="E390" t="str">
            <v>CERETE</v>
          </cell>
          <cell r="F390" t="str">
            <v>Si</v>
          </cell>
          <cell r="G390" t="str">
            <v>Si</v>
          </cell>
          <cell r="H390" t="str">
            <v>FRPAEZ</v>
          </cell>
          <cell r="I390">
            <v>46093</v>
          </cell>
          <cell r="J390" t="str">
            <v>2 Días</v>
          </cell>
        </row>
        <row r="391">
          <cell r="A391">
            <v>682</v>
          </cell>
          <cell r="B391" t="str">
            <v>BOGOTA Y CUNDINAMARCA</v>
          </cell>
          <cell r="C391" t="str">
            <v>Nidya Marcela Poveda Sanchez</v>
          </cell>
          <cell r="D391">
            <v>682</v>
          </cell>
          <cell r="E391" t="str">
            <v>CENTRO COMERCIAL FONTANAR</v>
          </cell>
          <cell r="F391" t="str">
            <v>Si</v>
          </cell>
          <cell r="G391" t="str">
            <v>No</v>
          </cell>
          <cell r="H391" t="str">
            <v>ANMARODR</v>
          </cell>
          <cell r="I391">
            <v>46099</v>
          </cell>
        </row>
        <row r="392">
          <cell r="A392">
            <v>687</v>
          </cell>
          <cell r="B392" t="str">
            <v>CARIBE</v>
          </cell>
          <cell r="C392" t="str">
            <v>Magaly Del Socorro Cabrales Isaac</v>
          </cell>
          <cell r="D392">
            <v>687</v>
          </cell>
          <cell r="E392" t="str">
            <v>PLANETA RICA</v>
          </cell>
          <cell r="F392" t="str">
            <v>Si</v>
          </cell>
          <cell r="G392" t="str">
            <v>No</v>
          </cell>
          <cell r="H392" t="str">
            <v>ARGUZMAN</v>
          </cell>
          <cell r="I392">
            <v>46091</v>
          </cell>
        </row>
        <row r="393">
          <cell r="A393">
            <v>688</v>
          </cell>
          <cell r="B393" t="str">
            <v>BOGOTA Y CUNDINAMARCA</v>
          </cell>
          <cell r="C393" t="str">
            <v>Camilo Andres Mila Jimenez</v>
          </cell>
          <cell r="D393">
            <v>688</v>
          </cell>
          <cell r="E393" t="str">
            <v>CONTADOR</v>
          </cell>
          <cell r="F393" t="str">
            <v>Si</v>
          </cell>
          <cell r="G393" t="str">
            <v>Si</v>
          </cell>
          <cell r="H393" t="str">
            <v>ALEXHERN</v>
          </cell>
          <cell r="I393">
            <v>46093</v>
          </cell>
        </row>
        <row r="394">
          <cell r="A394">
            <v>689</v>
          </cell>
          <cell r="B394" t="str">
            <v>BOGOTA Y CUNDINAMARCA</v>
          </cell>
          <cell r="C394" t="str">
            <v>Fabio Orlando Bosa Poveda</v>
          </cell>
          <cell r="D394">
            <v>689</v>
          </cell>
          <cell r="E394" t="str">
            <v>METROPOLIS</v>
          </cell>
          <cell r="F394" t="str">
            <v>Si</v>
          </cell>
          <cell r="G394" t="str">
            <v>Si</v>
          </cell>
          <cell r="H394" t="str">
            <v>BLCHAVAR</v>
          </cell>
          <cell r="I394">
            <v>46091</v>
          </cell>
        </row>
        <row r="395">
          <cell r="A395">
            <v>690</v>
          </cell>
          <cell r="B395" t="str">
            <v>BOGOTA Y CUNDINAMARCA</v>
          </cell>
          <cell r="C395" t="str">
            <v>Victoria Eugenia Guaqueta Murcia</v>
          </cell>
          <cell r="D395">
            <v>690</v>
          </cell>
          <cell r="E395" t="str">
            <v>HOTEL TEQUENDAMA</v>
          </cell>
          <cell r="F395" t="str">
            <v>Si</v>
          </cell>
          <cell r="G395" t="str">
            <v>Si</v>
          </cell>
          <cell r="H395" t="str">
            <v>AMRINCON</v>
          </cell>
          <cell r="I395">
            <v>46093</v>
          </cell>
        </row>
        <row r="396">
          <cell r="A396">
            <v>692</v>
          </cell>
          <cell r="B396" t="str">
            <v>CARIBE</v>
          </cell>
          <cell r="C396" t="str">
            <v>Maria Teresa Chaves Ahumada</v>
          </cell>
          <cell r="D396">
            <v>692</v>
          </cell>
          <cell r="E396" t="str">
            <v>ALTO PRADO</v>
          </cell>
          <cell r="F396" t="str">
            <v>Si</v>
          </cell>
          <cell r="G396" t="str">
            <v>Si</v>
          </cell>
          <cell r="H396" t="str">
            <v>FLOZANO</v>
          </cell>
          <cell r="I396">
            <v>46091</v>
          </cell>
        </row>
        <row r="397">
          <cell r="A397">
            <v>693</v>
          </cell>
          <cell r="B397" t="str">
            <v>ANTIOQUIA</v>
          </cell>
          <cell r="C397" t="str">
            <v>Natalia Zuluaga Rodriguez</v>
          </cell>
          <cell r="D397">
            <v>693</v>
          </cell>
          <cell r="E397" t="str">
            <v>CENTRO COMERCIAL SANTAFE MEDELLIN</v>
          </cell>
          <cell r="F397" t="str">
            <v>Si</v>
          </cell>
          <cell r="G397" t="str">
            <v>No</v>
          </cell>
          <cell r="H397" t="str">
            <v>LVELEZOR</v>
          </cell>
          <cell r="I397">
            <v>46093</v>
          </cell>
        </row>
        <row r="398">
          <cell r="A398">
            <v>698</v>
          </cell>
          <cell r="B398" t="str">
            <v>BOGOTA Y CUNDINAMARCA</v>
          </cell>
          <cell r="C398" t="str">
            <v>Kirsys Nadyra Robelto Sanchez</v>
          </cell>
          <cell r="D398">
            <v>698</v>
          </cell>
          <cell r="E398" t="str">
            <v>CALLE 79</v>
          </cell>
          <cell r="F398" t="str">
            <v>Si</v>
          </cell>
          <cell r="G398" t="str">
            <v>No</v>
          </cell>
          <cell r="H398" t="str">
            <v>ADRIGARC</v>
          </cell>
          <cell r="I398">
            <v>46092</v>
          </cell>
        </row>
        <row r="399">
          <cell r="A399">
            <v>699</v>
          </cell>
          <cell r="B399" t="str">
            <v>BOGOTA Y CUNDINAMARCA</v>
          </cell>
          <cell r="C399" t="str">
            <v>Kirsys Nadyra Robelto Sanchez</v>
          </cell>
          <cell r="D399">
            <v>699</v>
          </cell>
          <cell r="E399" t="str">
            <v>CALLE 100</v>
          </cell>
          <cell r="F399" t="str">
            <v>Si</v>
          </cell>
          <cell r="G399" t="str">
            <v>Si</v>
          </cell>
          <cell r="H399" t="str">
            <v>OVTORRES</v>
          </cell>
          <cell r="I399">
            <v>46093</v>
          </cell>
        </row>
        <row r="400">
          <cell r="A400">
            <v>704</v>
          </cell>
          <cell r="B400" t="str">
            <v>CARIBE</v>
          </cell>
          <cell r="C400" t="str">
            <v>Alicia Minerva Fontalvo Reales</v>
          </cell>
          <cell r="D400">
            <v>704</v>
          </cell>
          <cell r="E400" t="str">
            <v>LA LOMA</v>
          </cell>
          <cell r="F400" t="str">
            <v>Si</v>
          </cell>
          <cell r="G400" t="str">
            <v>Si</v>
          </cell>
          <cell r="H400" t="str">
            <v>LPREALES</v>
          </cell>
          <cell r="I400">
            <v>46086</v>
          </cell>
        </row>
        <row r="401">
          <cell r="A401">
            <v>705</v>
          </cell>
          <cell r="B401" t="str">
            <v>CARIBE</v>
          </cell>
          <cell r="C401" t="str">
            <v>Magaly Del Socorro Cabrales Isaac</v>
          </cell>
          <cell r="D401">
            <v>705</v>
          </cell>
          <cell r="E401" t="str">
            <v>EL BAGRE</v>
          </cell>
          <cell r="F401" t="str">
            <v>Si</v>
          </cell>
          <cell r="G401" t="str">
            <v>No</v>
          </cell>
          <cell r="H401" t="str">
            <v>LIPHERNA</v>
          </cell>
          <cell r="I401">
            <v>46099</v>
          </cell>
          <cell r="J401" t="str">
            <v>2 Días</v>
          </cell>
        </row>
        <row r="402">
          <cell r="A402">
            <v>706</v>
          </cell>
          <cell r="B402" t="str">
            <v>SUR</v>
          </cell>
          <cell r="C402" t="str">
            <v>Sergio Arias Pelaez</v>
          </cell>
          <cell r="D402">
            <v>706</v>
          </cell>
          <cell r="E402" t="str">
            <v>CHINCHINA</v>
          </cell>
          <cell r="F402" t="str">
            <v>Si</v>
          </cell>
          <cell r="G402" t="str">
            <v>No</v>
          </cell>
          <cell r="H402" t="str">
            <v>LYMONTOY</v>
          </cell>
          <cell r="I402">
            <v>46091</v>
          </cell>
        </row>
        <row r="403">
          <cell r="A403">
            <v>707</v>
          </cell>
          <cell r="B403" t="str">
            <v>CENTRO</v>
          </cell>
          <cell r="C403" t="str">
            <v>Yury Yaquelin Daza Congo</v>
          </cell>
          <cell r="D403">
            <v>707</v>
          </cell>
          <cell r="E403" t="str">
            <v>MANI</v>
          </cell>
          <cell r="F403" t="str">
            <v>Si</v>
          </cell>
          <cell r="G403" t="str">
            <v>No</v>
          </cell>
          <cell r="H403" t="str">
            <v>EDGSUARE</v>
          </cell>
          <cell r="I403">
            <v>46093</v>
          </cell>
        </row>
        <row r="404">
          <cell r="A404">
            <v>708</v>
          </cell>
          <cell r="B404" t="str">
            <v>SUR</v>
          </cell>
          <cell r="C404" t="str">
            <v>Sergio Arias Pelaez</v>
          </cell>
          <cell r="D404">
            <v>708</v>
          </cell>
          <cell r="E404" t="str">
            <v>ANSERMA</v>
          </cell>
          <cell r="F404" t="str">
            <v>Si</v>
          </cell>
          <cell r="G404" t="str">
            <v>No</v>
          </cell>
          <cell r="H404" t="str">
            <v>SMARIN</v>
          </cell>
          <cell r="I404">
            <v>46098</v>
          </cell>
        </row>
        <row r="405">
          <cell r="A405">
            <v>709</v>
          </cell>
          <cell r="B405" t="str">
            <v>CENTRO</v>
          </cell>
          <cell r="C405" t="str">
            <v>Adriana Maritza Angulo Mora</v>
          </cell>
          <cell r="D405">
            <v>709</v>
          </cell>
          <cell r="E405" t="str">
            <v>ABREGO</v>
          </cell>
          <cell r="F405" t="str">
            <v>Si</v>
          </cell>
          <cell r="G405" t="str">
            <v>Si</v>
          </cell>
          <cell r="H405" t="str">
            <v>LEOLARTE</v>
          </cell>
          <cell r="I405">
            <v>46098</v>
          </cell>
        </row>
        <row r="406">
          <cell r="A406">
            <v>711</v>
          </cell>
          <cell r="B406" t="str">
            <v>CENTRO</v>
          </cell>
          <cell r="C406" t="str">
            <v>Astrid Alexandra Quintero Arciniegas</v>
          </cell>
          <cell r="D406">
            <v>711</v>
          </cell>
          <cell r="E406" t="str">
            <v>PALERMO</v>
          </cell>
          <cell r="F406" t="str">
            <v>Si</v>
          </cell>
          <cell r="G406" t="str">
            <v>No</v>
          </cell>
          <cell r="H406" t="str">
            <v>MDRINCON</v>
          </cell>
          <cell r="I406">
            <v>46099</v>
          </cell>
        </row>
        <row r="407">
          <cell r="A407">
            <v>716</v>
          </cell>
          <cell r="B407" t="str">
            <v>SUR</v>
          </cell>
          <cell r="C407" t="str">
            <v>Hector Mario Rendon Ocampo</v>
          </cell>
          <cell r="D407">
            <v>716</v>
          </cell>
          <cell r="E407" t="str">
            <v>AVENIDA CANAS GORDAS</v>
          </cell>
          <cell r="F407" t="str">
            <v>Si</v>
          </cell>
          <cell r="G407" t="str">
            <v>Si</v>
          </cell>
          <cell r="H407" t="str">
            <v>NAMAFLA</v>
          </cell>
          <cell r="I407">
            <v>46091</v>
          </cell>
        </row>
        <row r="408">
          <cell r="A408">
            <v>718</v>
          </cell>
          <cell r="B408" t="str">
            <v>CENTRO</v>
          </cell>
          <cell r="C408" t="str">
            <v>Edwin Andres Lievano Orjuela</v>
          </cell>
          <cell r="D408">
            <v>718</v>
          </cell>
          <cell r="E408" t="str">
            <v>LA ESTACION IBAGUE</v>
          </cell>
          <cell r="F408" t="str">
            <v>Si</v>
          </cell>
          <cell r="G408" t="str">
            <v>Si</v>
          </cell>
          <cell r="H408" t="str">
            <v>GEBARRER</v>
          </cell>
          <cell r="I408">
            <v>46093</v>
          </cell>
        </row>
        <row r="409">
          <cell r="A409">
            <v>719</v>
          </cell>
          <cell r="B409" t="str">
            <v>SUR</v>
          </cell>
          <cell r="C409" t="str">
            <v>Sergio Arias Pelaez</v>
          </cell>
          <cell r="D409">
            <v>719</v>
          </cell>
          <cell r="E409" t="str">
            <v>BELEN DE UMBRIA</v>
          </cell>
          <cell r="F409" t="str">
            <v>Si</v>
          </cell>
          <cell r="G409" t="str">
            <v>No</v>
          </cell>
          <cell r="H409" t="str">
            <v>JOHGARCI</v>
          </cell>
          <cell r="I409">
            <v>46091</v>
          </cell>
        </row>
        <row r="410">
          <cell r="A410">
            <v>721</v>
          </cell>
          <cell r="B410" t="str">
            <v>SUR</v>
          </cell>
          <cell r="C410" t="str">
            <v>Sergio Arias Pelaez</v>
          </cell>
          <cell r="D410">
            <v>721</v>
          </cell>
          <cell r="E410" t="str">
            <v>EL LAGO</v>
          </cell>
          <cell r="F410" t="str">
            <v>Si</v>
          </cell>
          <cell r="G410" t="str">
            <v>Si</v>
          </cell>
          <cell r="H410" t="str">
            <v>LUZMLOPE</v>
          </cell>
          <cell r="I410">
            <v>46091</v>
          </cell>
        </row>
        <row r="411">
          <cell r="A411">
            <v>723</v>
          </cell>
          <cell r="B411" t="str">
            <v>SUR</v>
          </cell>
          <cell r="C411" t="str">
            <v>Sergio Arias Pelaez</v>
          </cell>
          <cell r="D411">
            <v>723</v>
          </cell>
          <cell r="E411" t="str">
            <v>PARQUE ARBOLEDA</v>
          </cell>
          <cell r="F411" t="str">
            <v>Si</v>
          </cell>
          <cell r="G411" t="str">
            <v>Si</v>
          </cell>
          <cell r="H411" t="str">
            <v>LECADAVI</v>
          </cell>
          <cell r="I411">
            <v>46098</v>
          </cell>
        </row>
        <row r="412">
          <cell r="A412">
            <v>724</v>
          </cell>
          <cell r="B412" t="str">
            <v>CARIBE</v>
          </cell>
          <cell r="C412" t="str">
            <v>Alicia Minerva Fontalvo Reales</v>
          </cell>
          <cell r="D412">
            <v>724</v>
          </cell>
          <cell r="E412" t="str">
            <v>FONSECA</v>
          </cell>
          <cell r="F412" t="str">
            <v>Si</v>
          </cell>
          <cell r="G412" t="str">
            <v>Si</v>
          </cell>
          <cell r="H412" t="str">
            <v>MVSIERRA</v>
          </cell>
          <cell r="I412">
            <v>46093</v>
          </cell>
        </row>
        <row r="413">
          <cell r="A413">
            <v>725</v>
          </cell>
          <cell r="B413" t="str">
            <v>SUR</v>
          </cell>
          <cell r="C413" t="str">
            <v>Sergio Arias Pelaez</v>
          </cell>
          <cell r="D413">
            <v>725</v>
          </cell>
          <cell r="E413" t="str">
            <v>DOSQUEBRADAS</v>
          </cell>
          <cell r="F413" t="str">
            <v>Si</v>
          </cell>
          <cell r="G413" t="str">
            <v>No</v>
          </cell>
          <cell r="H413" t="str">
            <v>JOLOAIZA</v>
          </cell>
          <cell r="I413">
            <v>46092</v>
          </cell>
        </row>
        <row r="414">
          <cell r="A414">
            <v>728</v>
          </cell>
          <cell r="B414" t="str">
            <v>SUR</v>
          </cell>
          <cell r="C414" t="str">
            <v>John Didier Villegas Martinez</v>
          </cell>
          <cell r="D414">
            <v>728</v>
          </cell>
          <cell r="E414" t="str">
            <v>CARTAGO</v>
          </cell>
          <cell r="F414" t="str">
            <v>Si</v>
          </cell>
          <cell r="G414" t="str">
            <v>No</v>
          </cell>
          <cell r="H414" t="str">
            <v>NPABON</v>
          </cell>
          <cell r="I414">
            <v>46092</v>
          </cell>
        </row>
        <row r="415">
          <cell r="A415">
            <v>730</v>
          </cell>
          <cell r="B415" t="str">
            <v>BOGOTA Y CUNDINAMARCA</v>
          </cell>
          <cell r="C415" t="str">
            <v>Pedro Javier Yazzo Moreno</v>
          </cell>
          <cell r="D415">
            <v>730</v>
          </cell>
          <cell r="E415" t="str">
            <v>LA MESA</v>
          </cell>
          <cell r="F415" t="str">
            <v>Si</v>
          </cell>
          <cell r="G415" t="str">
            <v>No</v>
          </cell>
          <cell r="H415" t="str">
            <v>LMPENA</v>
          </cell>
          <cell r="I415">
            <v>46093</v>
          </cell>
        </row>
        <row r="416">
          <cell r="A416">
            <v>732</v>
          </cell>
          <cell r="B416" t="str">
            <v>SUR</v>
          </cell>
          <cell r="C416" t="str">
            <v>John Didier Villegas Martinez</v>
          </cell>
          <cell r="D416">
            <v>732</v>
          </cell>
          <cell r="E416" t="str">
            <v>ROLDANILLO</v>
          </cell>
          <cell r="F416" t="str">
            <v>Si</v>
          </cell>
          <cell r="G416" t="str">
            <v>No</v>
          </cell>
          <cell r="H416" t="str">
            <v>HMILLAN</v>
          </cell>
          <cell r="I416">
            <v>46099</v>
          </cell>
        </row>
        <row r="417">
          <cell r="A417">
            <v>733</v>
          </cell>
          <cell r="B417" t="str">
            <v>SUR</v>
          </cell>
          <cell r="C417" t="str">
            <v>John Didier Villegas Martinez</v>
          </cell>
          <cell r="D417">
            <v>733</v>
          </cell>
          <cell r="E417" t="str">
            <v>LA UNION VALLE</v>
          </cell>
          <cell r="F417" t="str">
            <v>Si</v>
          </cell>
          <cell r="G417" t="str">
            <v>Si</v>
          </cell>
          <cell r="H417" t="str">
            <v>DIRENGIF</v>
          </cell>
          <cell r="I417">
            <v>46092</v>
          </cell>
        </row>
        <row r="418">
          <cell r="A418">
            <v>737</v>
          </cell>
          <cell r="B418" t="str">
            <v>SUR</v>
          </cell>
          <cell r="C418" t="str">
            <v>Yamileth Abella Bonilla</v>
          </cell>
          <cell r="D418">
            <v>737</v>
          </cell>
          <cell r="E418" t="str">
            <v>BANCA COLOMBIA AVENIDA CANAS GORDAS</v>
          </cell>
          <cell r="F418" t="str">
            <v>Si</v>
          </cell>
          <cell r="G418" t="str">
            <v>No</v>
          </cell>
          <cell r="H418" t="str">
            <v>JULDAQUI</v>
          </cell>
          <cell r="I418">
            <v>46091</v>
          </cell>
        </row>
        <row r="419">
          <cell r="A419">
            <v>738</v>
          </cell>
          <cell r="B419" t="str">
            <v>ANTIOQUIA</v>
          </cell>
          <cell r="C419" t="str">
            <v>Natalia Zuluaga Rodriguez</v>
          </cell>
          <cell r="D419">
            <v>738</v>
          </cell>
          <cell r="E419" t="str">
            <v>BANCA COLOMBIA OVIEDO</v>
          </cell>
          <cell r="F419" t="str">
            <v>Si</v>
          </cell>
          <cell r="G419" t="str">
            <v>Si</v>
          </cell>
          <cell r="H419" t="str">
            <v>SANTRUIZ</v>
          </cell>
          <cell r="I419">
            <v>46099</v>
          </cell>
        </row>
        <row r="420">
          <cell r="A420">
            <v>739</v>
          </cell>
          <cell r="B420" t="str">
            <v>ANTIOQUIA</v>
          </cell>
          <cell r="C420" t="str">
            <v>Julian Alejandro Rodriguez Escobar</v>
          </cell>
          <cell r="D420">
            <v>739</v>
          </cell>
          <cell r="E420" t="str">
            <v>NECOCLI</v>
          </cell>
          <cell r="F420" t="str">
            <v>Si</v>
          </cell>
          <cell r="G420" t="str">
            <v>Si</v>
          </cell>
          <cell r="H420" t="str">
            <v>RJIMENEZ</v>
          </cell>
          <cell r="I420">
            <v>46100</v>
          </cell>
        </row>
        <row r="421">
          <cell r="A421">
            <v>740</v>
          </cell>
          <cell r="B421" t="str">
            <v>BOGOTA Y CUNDINAMARCA</v>
          </cell>
          <cell r="C421" t="str">
            <v>Victoria Eugenia Guaqueta Murcia</v>
          </cell>
          <cell r="D421">
            <v>740</v>
          </cell>
          <cell r="E421" t="str">
            <v>AUTONAL</v>
          </cell>
          <cell r="F421" t="str">
            <v>Si</v>
          </cell>
          <cell r="G421" t="str">
            <v>No</v>
          </cell>
          <cell r="H421" t="str">
            <v>GYMORENO</v>
          </cell>
          <cell r="I421">
            <v>46098</v>
          </cell>
          <cell r="J421" t="str">
            <v>2 Días</v>
          </cell>
        </row>
        <row r="422">
          <cell r="A422">
            <v>741</v>
          </cell>
          <cell r="B422" t="str">
            <v>SUR</v>
          </cell>
          <cell r="C422" t="str">
            <v>Hector Mario Rendon Ocampo</v>
          </cell>
          <cell r="D422">
            <v>741</v>
          </cell>
          <cell r="E422" t="str">
            <v>CALIMA</v>
          </cell>
          <cell r="F422" t="str">
            <v>Si</v>
          </cell>
          <cell r="G422" t="str">
            <v>No</v>
          </cell>
          <cell r="H422" t="str">
            <v>DIEGJARA</v>
          </cell>
          <cell r="I422">
            <v>46099</v>
          </cell>
          <cell r="J422" t="str">
            <v>2 Días</v>
          </cell>
        </row>
        <row r="423">
          <cell r="A423">
            <v>743</v>
          </cell>
          <cell r="B423" t="str">
            <v>BOGOTA Y CUNDINAMARCA</v>
          </cell>
          <cell r="C423" t="str">
            <v>Camilo Andres Mila Jimenez</v>
          </cell>
          <cell r="D423">
            <v>743</v>
          </cell>
          <cell r="E423" t="str">
            <v>NORTH POINT</v>
          </cell>
          <cell r="F423" t="str">
            <v>Si</v>
          </cell>
          <cell r="G423" t="str">
            <v>Si</v>
          </cell>
          <cell r="H423" t="str">
            <v>EMMARINO</v>
          </cell>
          <cell r="I423">
            <v>46093</v>
          </cell>
        </row>
        <row r="424">
          <cell r="A424">
            <v>744</v>
          </cell>
          <cell r="B424" t="str">
            <v>SUR</v>
          </cell>
          <cell r="C424" t="str">
            <v>Sergio Arias Pelaez</v>
          </cell>
          <cell r="D424">
            <v>744</v>
          </cell>
          <cell r="E424" t="str">
            <v>SANTA ROSA DE CABAL</v>
          </cell>
          <cell r="F424" t="str">
            <v>Si</v>
          </cell>
          <cell r="G424" t="str">
            <v>No</v>
          </cell>
          <cell r="H424" t="str">
            <v>JEAGUIRR</v>
          </cell>
          <cell r="I424">
            <v>46091</v>
          </cell>
        </row>
        <row r="425">
          <cell r="A425">
            <v>745</v>
          </cell>
          <cell r="B425" t="str">
            <v>SUR</v>
          </cell>
          <cell r="C425" t="str">
            <v>Hector Mario Rendon Ocampo</v>
          </cell>
          <cell r="D425">
            <v>745</v>
          </cell>
          <cell r="E425" t="str">
            <v>MALLPLAZA CALI</v>
          </cell>
          <cell r="F425" t="str">
            <v>Si</v>
          </cell>
          <cell r="G425" t="str">
            <v>No</v>
          </cell>
          <cell r="H425" t="str">
            <v>MCORRALE</v>
          </cell>
          <cell r="I425">
            <v>46091</v>
          </cell>
        </row>
        <row r="426">
          <cell r="A426">
            <v>746</v>
          </cell>
          <cell r="B426" t="str">
            <v>BOGOTA Y CUNDINAMARCA</v>
          </cell>
          <cell r="C426" t="str">
            <v>Victoria Eugenia Guaqueta Murcia</v>
          </cell>
          <cell r="D426">
            <v>746</v>
          </cell>
          <cell r="E426" t="str">
            <v>INTEXZONA</v>
          </cell>
          <cell r="F426" t="str">
            <v>Si</v>
          </cell>
          <cell r="G426" t="str">
            <v>Si</v>
          </cell>
          <cell r="H426" t="str">
            <v>WHENAOOR</v>
          </cell>
          <cell r="I426">
            <v>46092</v>
          </cell>
        </row>
        <row r="427">
          <cell r="A427">
            <v>748</v>
          </cell>
          <cell r="B427" t="str">
            <v>CARIBE</v>
          </cell>
          <cell r="C427" t="str">
            <v>Magaly Del Socorro Cabrales Isaac</v>
          </cell>
          <cell r="D427">
            <v>748</v>
          </cell>
          <cell r="E427" t="str">
            <v>MOMPOX</v>
          </cell>
          <cell r="F427" t="str">
            <v>Si</v>
          </cell>
          <cell r="G427" t="str">
            <v>No</v>
          </cell>
          <cell r="H427" t="str">
            <v>CALPEREZ</v>
          </cell>
          <cell r="I427">
            <v>46086</v>
          </cell>
        </row>
        <row r="428">
          <cell r="A428">
            <v>749</v>
          </cell>
          <cell r="B428" t="str">
            <v>SUR</v>
          </cell>
          <cell r="C428" t="str">
            <v>Hector Mario Rendon Ocampo</v>
          </cell>
          <cell r="D428">
            <v>749</v>
          </cell>
          <cell r="E428" t="str">
            <v>SANTA MONICA</v>
          </cell>
          <cell r="F428" t="str">
            <v>Si</v>
          </cell>
          <cell r="G428" t="str">
            <v>Si</v>
          </cell>
          <cell r="H428" t="str">
            <v>ANBERMUD</v>
          </cell>
          <cell r="I428">
            <v>46100</v>
          </cell>
        </row>
        <row r="429">
          <cell r="A429">
            <v>750</v>
          </cell>
          <cell r="B429" t="str">
            <v>SUR</v>
          </cell>
          <cell r="C429" t="str">
            <v>Hector Mario Rendon Ocampo</v>
          </cell>
          <cell r="D429">
            <v>750</v>
          </cell>
          <cell r="E429" t="str">
            <v>AVENIDA ROOSEVELT</v>
          </cell>
          <cell r="F429" t="str">
            <v>Si</v>
          </cell>
          <cell r="G429" t="str">
            <v>No</v>
          </cell>
          <cell r="H429" t="str">
            <v>EBUENO</v>
          </cell>
          <cell r="I429">
            <v>46099</v>
          </cell>
        </row>
        <row r="430">
          <cell r="A430">
            <v>751</v>
          </cell>
          <cell r="B430" t="str">
            <v>BOGOTA Y CUNDINAMARCA</v>
          </cell>
          <cell r="C430" t="str">
            <v>Kirsys Nadyra Robelto Sanchez</v>
          </cell>
          <cell r="D430">
            <v>751</v>
          </cell>
          <cell r="E430" t="str">
            <v>BANCA COLOMBIA NIZA</v>
          </cell>
          <cell r="F430" t="str">
            <v>Si</v>
          </cell>
          <cell r="G430" t="str">
            <v>Si</v>
          </cell>
          <cell r="H430" t="str">
            <v>CPQUINTE</v>
          </cell>
          <cell r="I430">
            <v>46086</v>
          </cell>
          <cell r="J430" t="str">
            <v>2 Días</v>
          </cell>
        </row>
        <row r="431">
          <cell r="A431">
            <v>756</v>
          </cell>
          <cell r="B431" t="str">
            <v>SUR</v>
          </cell>
          <cell r="C431" t="str">
            <v>John Didier Villegas Martinez</v>
          </cell>
          <cell r="D431">
            <v>756</v>
          </cell>
          <cell r="E431" t="str">
            <v>ARMENIA NORTE</v>
          </cell>
          <cell r="F431" t="str">
            <v>Si</v>
          </cell>
          <cell r="G431" t="str">
            <v>Si</v>
          </cell>
          <cell r="H431" t="str">
            <v>MARMAGON</v>
          </cell>
          <cell r="I431">
            <v>46098</v>
          </cell>
        </row>
        <row r="432">
          <cell r="A432">
            <v>761</v>
          </cell>
          <cell r="B432" t="str">
            <v>SUR</v>
          </cell>
          <cell r="C432" t="str">
            <v>John Didier Villegas Martinez</v>
          </cell>
          <cell r="D432">
            <v>761</v>
          </cell>
          <cell r="E432" t="str">
            <v>MONTENEGRO</v>
          </cell>
          <cell r="F432" t="str">
            <v>Si</v>
          </cell>
          <cell r="G432" t="str">
            <v>No</v>
          </cell>
          <cell r="H432" t="str">
            <v>AMISAZA</v>
          </cell>
          <cell r="I432">
            <v>46099</v>
          </cell>
        </row>
        <row r="433">
          <cell r="A433">
            <v>762</v>
          </cell>
          <cell r="B433" t="str">
            <v>SUR</v>
          </cell>
          <cell r="C433" t="str">
            <v>John Didier Villegas Martinez</v>
          </cell>
          <cell r="D433">
            <v>762</v>
          </cell>
          <cell r="E433" t="str">
            <v>LA HERRADURA</v>
          </cell>
          <cell r="F433" t="str">
            <v>Si</v>
          </cell>
          <cell r="G433" t="str">
            <v>No</v>
          </cell>
          <cell r="H433" t="str">
            <v>FGUEVARA</v>
          </cell>
          <cell r="I433">
            <v>46099</v>
          </cell>
        </row>
        <row r="434">
          <cell r="A434">
            <v>763</v>
          </cell>
          <cell r="B434" t="str">
            <v>CENTRO</v>
          </cell>
          <cell r="C434" t="str">
            <v>Juan Felipe Russi Gamboa</v>
          </cell>
          <cell r="D434">
            <v>763</v>
          </cell>
          <cell r="E434" t="str">
            <v>INIRIDA</v>
          </cell>
          <cell r="F434" t="str">
            <v>Si</v>
          </cell>
          <cell r="G434" t="str">
            <v>No</v>
          </cell>
          <cell r="H434" t="str">
            <v>AECALDER</v>
          </cell>
          <cell r="I434">
            <v>46099</v>
          </cell>
        </row>
        <row r="435">
          <cell r="A435">
            <v>764</v>
          </cell>
          <cell r="B435" t="str">
            <v>SUR</v>
          </cell>
          <cell r="C435" t="str">
            <v>Hector Mario Rendon Ocampo</v>
          </cell>
          <cell r="D435">
            <v>764</v>
          </cell>
          <cell r="E435" t="str">
            <v>JAMUNDI</v>
          </cell>
          <cell r="F435" t="str">
            <v>Si</v>
          </cell>
          <cell r="G435" t="str">
            <v>Si</v>
          </cell>
          <cell r="H435" t="str">
            <v>ACHACON</v>
          </cell>
          <cell r="I435">
            <v>46100</v>
          </cell>
        </row>
        <row r="436">
          <cell r="A436">
            <v>765</v>
          </cell>
          <cell r="B436" t="str">
            <v>CARIBE</v>
          </cell>
          <cell r="C436" t="str">
            <v>Alicia Minerva Fontalvo Reales</v>
          </cell>
          <cell r="D436">
            <v>765</v>
          </cell>
          <cell r="E436" t="str">
            <v>BECERRIL</v>
          </cell>
          <cell r="F436" t="str">
            <v>Si</v>
          </cell>
          <cell r="G436" t="str">
            <v>No</v>
          </cell>
          <cell r="H436" t="str">
            <v>HERDUQUE</v>
          </cell>
          <cell r="I436">
            <v>46086</v>
          </cell>
        </row>
        <row r="437">
          <cell r="A437">
            <v>767</v>
          </cell>
          <cell r="B437" t="str">
            <v>CARIBE</v>
          </cell>
          <cell r="C437" t="str">
            <v>Maria Teresa Chaves Ahumada</v>
          </cell>
          <cell r="D437">
            <v>767</v>
          </cell>
          <cell r="E437" t="str">
            <v>CALLE 84</v>
          </cell>
          <cell r="F437" t="str">
            <v>Si</v>
          </cell>
          <cell r="G437" t="str">
            <v>Si</v>
          </cell>
          <cell r="H437" t="str">
            <v>DIANAJAR</v>
          </cell>
          <cell r="I437">
            <v>46099</v>
          </cell>
        </row>
        <row r="438">
          <cell r="A438">
            <v>769</v>
          </cell>
          <cell r="B438" t="str">
            <v>CARIBE</v>
          </cell>
          <cell r="C438" t="str">
            <v>German Alcides Hernandez Vivero</v>
          </cell>
          <cell r="D438">
            <v>769</v>
          </cell>
          <cell r="E438" t="str">
            <v>PORTAL DEL PRADO</v>
          </cell>
          <cell r="F438" t="str">
            <v>Si</v>
          </cell>
          <cell r="G438" t="str">
            <v>Si</v>
          </cell>
          <cell r="H438" t="str">
            <v>CAGUAS</v>
          </cell>
          <cell r="I438">
            <v>46086</v>
          </cell>
        </row>
        <row r="439">
          <cell r="A439">
            <v>770</v>
          </cell>
          <cell r="B439" t="str">
            <v>CARIBE</v>
          </cell>
          <cell r="C439" t="str">
            <v>German Alcides Hernandez Vivero</v>
          </cell>
          <cell r="D439">
            <v>770</v>
          </cell>
          <cell r="E439" t="str">
            <v>PASEO BOLIVAR</v>
          </cell>
          <cell r="F439" t="str">
            <v>Si</v>
          </cell>
          <cell r="G439" t="str">
            <v>Si</v>
          </cell>
          <cell r="H439" t="str">
            <v>EPONCE</v>
          </cell>
          <cell r="I439">
            <v>46093</v>
          </cell>
        </row>
        <row r="440">
          <cell r="A440">
            <v>772</v>
          </cell>
          <cell r="B440" t="str">
            <v>SUR</v>
          </cell>
          <cell r="C440" t="str">
            <v>John Didier Villegas Martinez</v>
          </cell>
          <cell r="D440">
            <v>772</v>
          </cell>
          <cell r="E440" t="str">
            <v>CAICEDONIA</v>
          </cell>
          <cell r="F440" t="str">
            <v>Si</v>
          </cell>
          <cell r="G440" t="str">
            <v>Si</v>
          </cell>
          <cell r="H440" t="str">
            <v>ERSERNA</v>
          </cell>
          <cell r="I440">
            <v>46098</v>
          </cell>
        </row>
        <row r="441">
          <cell r="A441">
            <v>776</v>
          </cell>
          <cell r="B441" t="str">
            <v>CENTRO</v>
          </cell>
          <cell r="C441" t="str">
            <v>Frank William Castillo Leal</v>
          </cell>
          <cell r="D441">
            <v>776</v>
          </cell>
          <cell r="E441" t="str">
            <v>LEBRIJA</v>
          </cell>
          <cell r="F441" t="str">
            <v>Si</v>
          </cell>
          <cell r="G441" t="str">
            <v>No</v>
          </cell>
          <cell r="H441" t="str">
            <v>CANINO</v>
          </cell>
          <cell r="I441">
            <v>46099</v>
          </cell>
          <cell r="J441" t="str">
            <v>2 Días</v>
          </cell>
        </row>
        <row r="442">
          <cell r="A442">
            <v>777</v>
          </cell>
          <cell r="B442" t="str">
            <v>CARIBE</v>
          </cell>
          <cell r="C442" t="str">
            <v>Maria Teresa Chaves Ahumada</v>
          </cell>
          <cell r="D442">
            <v>777</v>
          </cell>
          <cell r="E442" t="str">
            <v>PARQUE WASHINGTON</v>
          </cell>
          <cell r="F442" t="str">
            <v>Si</v>
          </cell>
          <cell r="G442" t="str">
            <v>Si</v>
          </cell>
          <cell r="H442" t="str">
            <v>FRICAURT</v>
          </cell>
          <cell r="I442">
            <v>46092</v>
          </cell>
        </row>
        <row r="443">
          <cell r="A443">
            <v>778</v>
          </cell>
          <cell r="B443" t="str">
            <v>SUR</v>
          </cell>
          <cell r="C443" t="str">
            <v>John Didier Villegas Martinez</v>
          </cell>
          <cell r="D443">
            <v>778</v>
          </cell>
          <cell r="E443" t="str">
            <v>CALARCA</v>
          </cell>
          <cell r="F443" t="str">
            <v>Si</v>
          </cell>
          <cell r="G443" t="str">
            <v>No</v>
          </cell>
          <cell r="H443" t="str">
            <v>JUBURGOS</v>
          </cell>
          <cell r="I443">
            <v>46091</v>
          </cell>
        </row>
        <row r="444">
          <cell r="A444">
            <v>779</v>
          </cell>
          <cell r="B444" t="str">
            <v>CARIBE</v>
          </cell>
          <cell r="C444" t="str">
            <v>Alicia Minerva Fontalvo Reales</v>
          </cell>
          <cell r="D444">
            <v>779</v>
          </cell>
          <cell r="E444" t="str">
            <v>BUENAVISTA SANTA MARTA</v>
          </cell>
          <cell r="F444" t="str">
            <v>Si</v>
          </cell>
          <cell r="G444" t="str">
            <v>Si</v>
          </cell>
          <cell r="H444" t="str">
            <v>MAVERGAR</v>
          </cell>
          <cell r="I444">
            <v>46100</v>
          </cell>
        </row>
        <row r="445">
          <cell r="A445">
            <v>780</v>
          </cell>
          <cell r="B445" t="str">
            <v>CENTRO</v>
          </cell>
          <cell r="C445" t="str">
            <v>Yenis Meybi Fernandez Marin</v>
          </cell>
          <cell r="D445">
            <v>780</v>
          </cell>
          <cell r="E445" t="str">
            <v>REAL DE MINAS</v>
          </cell>
          <cell r="F445" t="str">
            <v>Si</v>
          </cell>
          <cell r="G445" t="str">
            <v>Si</v>
          </cell>
          <cell r="H445" t="str">
            <v>CGUESGUA</v>
          </cell>
          <cell r="I445">
            <v>46098</v>
          </cell>
        </row>
        <row r="446">
          <cell r="A446">
            <v>781</v>
          </cell>
          <cell r="B446" t="str">
            <v>CARIBE</v>
          </cell>
          <cell r="C446" t="str">
            <v>Alicia Minerva Fontalvo Reales</v>
          </cell>
          <cell r="D446">
            <v>781</v>
          </cell>
          <cell r="E446" t="str">
            <v>PRADO PLAZA</v>
          </cell>
          <cell r="F446" t="str">
            <v>Si</v>
          </cell>
          <cell r="G446" t="str">
            <v>No</v>
          </cell>
          <cell r="H446" t="str">
            <v>ANACAMAC</v>
          </cell>
          <cell r="I446">
            <v>46100</v>
          </cell>
        </row>
        <row r="447">
          <cell r="A447">
            <v>782</v>
          </cell>
          <cell r="B447" t="str">
            <v>SUR</v>
          </cell>
          <cell r="C447" t="str">
            <v>John Didier Villegas Martinez</v>
          </cell>
          <cell r="D447">
            <v>782</v>
          </cell>
          <cell r="E447" t="str">
            <v>SEVILLA</v>
          </cell>
          <cell r="F447" t="str">
            <v>Si</v>
          </cell>
          <cell r="G447" t="str">
            <v>No</v>
          </cell>
          <cell r="H447" t="str">
            <v>SAQUINTE</v>
          </cell>
          <cell r="I447">
            <v>46098</v>
          </cell>
          <cell r="J447" t="str">
            <v>2 Días</v>
          </cell>
        </row>
        <row r="448">
          <cell r="A448">
            <v>784</v>
          </cell>
          <cell r="B448" t="str">
            <v>CARIBE</v>
          </cell>
          <cell r="C448" t="str">
            <v>Didi Alejandra Pareja Medina</v>
          </cell>
          <cell r="D448">
            <v>784</v>
          </cell>
          <cell r="E448" t="str">
            <v>CENTRO COLON</v>
          </cell>
          <cell r="F448" t="str">
            <v>Si</v>
          </cell>
          <cell r="G448" t="str">
            <v>No</v>
          </cell>
          <cell r="H448" t="str">
            <v>LYHERNAN</v>
          </cell>
          <cell r="I448">
            <v>46100</v>
          </cell>
        </row>
        <row r="449">
          <cell r="A449">
            <v>787</v>
          </cell>
          <cell r="B449" t="str">
            <v>CARIBE</v>
          </cell>
          <cell r="C449" t="str">
            <v>Didi Alejandra Pareja Medina</v>
          </cell>
          <cell r="D449">
            <v>787</v>
          </cell>
          <cell r="E449" t="str">
            <v>CARRERA TERCERA</v>
          </cell>
          <cell r="F449" t="str">
            <v>Si</v>
          </cell>
          <cell r="G449" t="str">
            <v>No</v>
          </cell>
          <cell r="H449" t="str">
            <v>MCSEGOVI</v>
          </cell>
          <cell r="I449">
            <v>46099</v>
          </cell>
        </row>
        <row r="450">
          <cell r="A450">
            <v>788</v>
          </cell>
          <cell r="B450" t="str">
            <v>CARIBE</v>
          </cell>
          <cell r="C450" t="str">
            <v>Didi Alejandra Pareja Medina</v>
          </cell>
          <cell r="D450">
            <v>788</v>
          </cell>
          <cell r="E450" t="str">
            <v>SHOPPING CENTER LA PLAZUELA</v>
          </cell>
          <cell r="F450" t="str">
            <v>Si</v>
          </cell>
          <cell r="G450" t="str">
            <v>Si</v>
          </cell>
          <cell r="H450" t="str">
            <v>EDGARODR</v>
          </cell>
          <cell r="I450">
            <v>46093</v>
          </cell>
        </row>
        <row r="451">
          <cell r="A451">
            <v>789</v>
          </cell>
          <cell r="B451" t="str">
            <v>CARIBE</v>
          </cell>
          <cell r="C451" t="str">
            <v>Didi Alejandra Pareja Medina</v>
          </cell>
          <cell r="D451">
            <v>789</v>
          </cell>
          <cell r="E451" t="str">
            <v>MANGA</v>
          </cell>
          <cell r="F451" t="str">
            <v>Si</v>
          </cell>
          <cell r="G451" t="str">
            <v>Si</v>
          </cell>
          <cell r="H451" t="str">
            <v>RVARELA</v>
          </cell>
          <cell r="I451">
            <v>46091</v>
          </cell>
        </row>
        <row r="452">
          <cell r="A452">
            <v>792</v>
          </cell>
          <cell r="B452" t="str">
            <v>CENTRO</v>
          </cell>
          <cell r="C452" t="str">
            <v>Yenis Meybi Fernandez Marin</v>
          </cell>
          <cell r="D452">
            <v>792</v>
          </cell>
          <cell r="E452" t="str">
            <v>PASEO DEL COMERCIO</v>
          </cell>
          <cell r="F452" t="str">
            <v>Si</v>
          </cell>
          <cell r="G452" t="str">
            <v>No</v>
          </cell>
          <cell r="H452" t="str">
            <v>JXPINEDA</v>
          </cell>
          <cell r="I452">
            <v>46093</v>
          </cell>
        </row>
        <row r="453">
          <cell r="A453">
            <v>793</v>
          </cell>
          <cell r="B453" t="str">
            <v>CENTRO</v>
          </cell>
          <cell r="C453" t="str">
            <v>Yenis Meybi Fernandez Marin</v>
          </cell>
          <cell r="D453">
            <v>793</v>
          </cell>
          <cell r="E453" t="str">
            <v>PROFESIONALES</v>
          </cell>
          <cell r="F453" t="str">
            <v>Si</v>
          </cell>
          <cell r="G453" t="str">
            <v>Si</v>
          </cell>
          <cell r="H453" t="str">
            <v>JNMANCER</v>
          </cell>
          <cell r="I453">
            <v>46092</v>
          </cell>
        </row>
        <row r="454">
          <cell r="A454">
            <v>794</v>
          </cell>
          <cell r="B454" t="str">
            <v>BOGOTA Y CUNDINAMARCA</v>
          </cell>
          <cell r="C454" t="str">
            <v>Kirsys Nadyra Robelto Sanchez</v>
          </cell>
          <cell r="D454">
            <v>794</v>
          </cell>
          <cell r="E454" t="str">
            <v xml:space="preserve">BANCA COLOMBIA ROSALES </v>
          </cell>
          <cell r="F454" t="str">
            <v>Si</v>
          </cell>
          <cell r="G454" t="str">
            <v>Si</v>
          </cell>
          <cell r="H454" t="str">
            <v>INDIAZ</v>
          </cell>
          <cell r="I454">
            <v>46099</v>
          </cell>
        </row>
        <row r="455">
          <cell r="A455">
            <v>795</v>
          </cell>
          <cell r="B455" t="str">
            <v>CENTRO</v>
          </cell>
          <cell r="C455" t="str">
            <v>Yenis Meybi Fernandez Marin</v>
          </cell>
          <cell r="D455">
            <v>795</v>
          </cell>
          <cell r="E455" t="str">
            <v>CANAVERAL</v>
          </cell>
          <cell r="F455" t="str">
            <v>Si</v>
          </cell>
          <cell r="G455" t="str">
            <v>Si</v>
          </cell>
          <cell r="H455" t="str">
            <v>CEAUARIA</v>
          </cell>
          <cell r="I455">
            <v>46091</v>
          </cell>
          <cell r="J455" t="str">
            <v>2 Días</v>
          </cell>
        </row>
        <row r="456">
          <cell r="A456">
            <v>796</v>
          </cell>
          <cell r="B456" t="str">
            <v>CENTRO</v>
          </cell>
          <cell r="C456" t="str">
            <v>Frank William Castillo Leal</v>
          </cell>
          <cell r="D456">
            <v>796</v>
          </cell>
          <cell r="E456" t="str">
            <v>GIRON</v>
          </cell>
          <cell r="F456" t="str">
            <v>Si</v>
          </cell>
          <cell r="G456" t="str">
            <v>No</v>
          </cell>
          <cell r="H456" t="str">
            <v>ADCALA</v>
          </cell>
          <cell r="I456">
            <v>46098</v>
          </cell>
        </row>
        <row r="457">
          <cell r="A457">
            <v>799</v>
          </cell>
          <cell r="B457" t="str">
            <v>CENTRO</v>
          </cell>
          <cell r="C457" t="str">
            <v>Yenis Meybi Fernandez Marin</v>
          </cell>
          <cell r="D457">
            <v>799</v>
          </cell>
          <cell r="E457" t="str">
            <v>FLORIDABLANCA</v>
          </cell>
          <cell r="F457" t="str">
            <v>Si</v>
          </cell>
          <cell r="G457" t="str">
            <v>Si</v>
          </cell>
          <cell r="H457" t="str">
            <v>MEAALVAR</v>
          </cell>
          <cell r="I457">
            <v>46091</v>
          </cell>
        </row>
        <row r="458">
          <cell r="A458">
            <v>802</v>
          </cell>
          <cell r="B458" t="str">
            <v>CENTRO</v>
          </cell>
          <cell r="C458" t="str">
            <v>Juan Felipe Russi Gamboa</v>
          </cell>
          <cell r="D458">
            <v>802</v>
          </cell>
          <cell r="E458" t="str">
            <v>PUERTO LOPEZ</v>
          </cell>
          <cell r="F458" t="str">
            <v>Si</v>
          </cell>
          <cell r="G458" t="str">
            <v>No</v>
          </cell>
          <cell r="H458" t="str">
            <v>YEBELLO</v>
          </cell>
          <cell r="I458">
            <v>46098</v>
          </cell>
        </row>
        <row r="459">
          <cell r="A459">
            <v>806</v>
          </cell>
          <cell r="B459" t="str">
            <v>BOGOTA Y CUNDINAMARCA</v>
          </cell>
          <cell r="C459" t="str">
            <v>Samuel Alexander Mendez Suarez</v>
          </cell>
          <cell r="D459">
            <v>806</v>
          </cell>
          <cell r="E459" t="str">
            <v>BAZAR ALSACIA</v>
          </cell>
          <cell r="F459" t="str">
            <v>Si</v>
          </cell>
          <cell r="G459" t="str">
            <v>Si</v>
          </cell>
          <cell r="H459" t="str">
            <v>JTRIANA</v>
          </cell>
          <cell r="I459">
            <v>46092</v>
          </cell>
        </row>
        <row r="460">
          <cell r="A460">
            <v>808</v>
          </cell>
          <cell r="B460" t="str">
            <v>SUR</v>
          </cell>
          <cell r="C460" t="str">
            <v>Hector Mario Rendon Ocampo</v>
          </cell>
          <cell r="D460">
            <v>808</v>
          </cell>
          <cell r="E460" t="str">
            <v>PALMETTO</v>
          </cell>
          <cell r="F460" t="str">
            <v>Si</v>
          </cell>
          <cell r="G460" t="str">
            <v>Si</v>
          </cell>
          <cell r="H460" t="str">
            <v>JOBUSTAM</v>
          </cell>
          <cell r="I460">
            <v>46100</v>
          </cell>
          <cell r="J460" t="str">
            <v>2 Días</v>
          </cell>
        </row>
        <row r="461">
          <cell r="A461">
            <v>809</v>
          </cell>
          <cell r="B461" t="str">
            <v>SUR</v>
          </cell>
          <cell r="C461" t="str">
            <v>Yamileth Abella Bonilla</v>
          </cell>
          <cell r="D461">
            <v>809</v>
          </cell>
          <cell r="E461" t="str">
            <v>MIRANDA CAUCA</v>
          </cell>
          <cell r="F461" t="str">
            <v>Si</v>
          </cell>
          <cell r="G461" t="str">
            <v>No</v>
          </cell>
          <cell r="H461" t="str">
            <v>LRENGIFO</v>
          </cell>
          <cell r="I461">
            <v>46098</v>
          </cell>
        </row>
        <row r="462">
          <cell r="A462">
            <v>810</v>
          </cell>
          <cell r="B462" t="str">
            <v>SUR</v>
          </cell>
          <cell r="C462" t="str">
            <v>Hector Mario Rendon Ocampo</v>
          </cell>
          <cell r="D462">
            <v>810</v>
          </cell>
          <cell r="E462" t="str">
            <v>OESTE</v>
          </cell>
          <cell r="F462" t="str">
            <v>Si</v>
          </cell>
          <cell r="G462" t="str">
            <v>Si</v>
          </cell>
          <cell r="H462" t="str">
            <v>CDSALINA</v>
          </cell>
          <cell r="I462">
            <v>46091</v>
          </cell>
        </row>
        <row r="463">
          <cell r="A463">
            <v>812</v>
          </cell>
          <cell r="B463" t="str">
            <v>SUR</v>
          </cell>
          <cell r="C463" t="str">
            <v>Hector Mario Rendon Ocampo</v>
          </cell>
          <cell r="D463">
            <v>812</v>
          </cell>
          <cell r="E463" t="str">
            <v>CHIPICHAPE</v>
          </cell>
          <cell r="F463" t="str">
            <v>Si</v>
          </cell>
          <cell r="G463" t="str">
            <v>Si</v>
          </cell>
          <cell r="H463" t="str">
            <v>DRRAMIRE</v>
          </cell>
          <cell r="I463">
            <v>46091</v>
          </cell>
        </row>
        <row r="464">
          <cell r="A464">
            <v>814</v>
          </cell>
          <cell r="B464" t="str">
            <v>CENTRO</v>
          </cell>
          <cell r="C464" t="str">
            <v>Yenis Meybi Fernandez Marin</v>
          </cell>
          <cell r="D464">
            <v>814</v>
          </cell>
          <cell r="E464" t="str">
            <v>CABECERA DEL LLANO</v>
          </cell>
          <cell r="F464" t="str">
            <v>Si</v>
          </cell>
          <cell r="G464" t="str">
            <v>No</v>
          </cell>
          <cell r="H464" t="str">
            <v>KMANRIQU</v>
          </cell>
          <cell r="I464">
            <v>46098</v>
          </cell>
        </row>
        <row r="465">
          <cell r="A465">
            <v>816</v>
          </cell>
          <cell r="B465" t="str">
            <v>CENTRO</v>
          </cell>
          <cell r="C465" t="str">
            <v>Adriana Maritza Angulo Mora</v>
          </cell>
          <cell r="D465">
            <v>816</v>
          </cell>
          <cell r="E465" t="str">
            <v>CALLE 10</v>
          </cell>
          <cell r="F465" t="str">
            <v>Si</v>
          </cell>
          <cell r="G465" t="str">
            <v>No</v>
          </cell>
          <cell r="H465" t="str">
            <v>LRCACERE</v>
          </cell>
          <cell r="I465">
            <v>46093</v>
          </cell>
        </row>
        <row r="466">
          <cell r="A466">
            <v>819</v>
          </cell>
          <cell r="B466" t="str">
            <v>SUR</v>
          </cell>
          <cell r="C466" t="str">
            <v>Yamileth Abella Bonilla</v>
          </cell>
          <cell r="D466">
            <v>819</v>
          </cell>
          <cell r="E466" t="str">
            <v>FANALCA</v>
          </cell>
          <cell r="F466" t="str">
            <v>Si</v>
          </cell>
          <cell r="G466" t="str">
            <v>Si</v>
          </cell>
          <cell r="H466" t="str">
            <v>LAPENUEL</v>
          </cell>
          <cell r="I466">
            <v>46092</v>
          </cell>
        </row>
        <row r="467">
          <cell r="A467">
            <v>820</v>
          </cell>
          <cell r="B467" t="str">
            <v>CENTRO</v>
          </cell>
          <cell r="C467" t="str">
            <v>Adriana Maritza Angulo Mora</v>
          </cell>
          <cell r="D467">
            <v>820</v>
          </cell>
          <cell r="E467" t="str">
            <v>AVENIDA CERO</v>
          </cell>
          <cell r="F467" t="str">
            <v>Si</v>
          </cell>
          <cell r="G467" t="str">
            <v>No</v>
          </cell>
          <cell r="H467" t="str">
            <v>RDMENDOZ</v>
          </cell>
          <cell r="I467">
            <v>46093</v>
          </cell>
          <cell r="J467" t="str">
            <v>2 Días</v>
          </cell>
        </row>
        <row r="468">
          <cell r="A468">
            <v>821</v>
          </cell>
          <cell r="B468" t="str">
            <v>SUR</v>
          </cell>
          <cell r="C468" t="str">
            <v>Hector Mario Rendon Ocampo</v>
          </cell>
          <cell r="D468">
            <v>821</v>
          </cell>
          <cell r="E468" t="str">
            <v>GRANADA CALI</v>
          </cell>
          <cell r="F468" t="str">
            <v>Si</v>
          </cell>
          <cell r="G468" t="str">
            <v>Si</v>
          </cell>
          <cell r="H468" t="str">
            <v>RACHAVES</v>
          </cell>
          <cell r="I468">
            <v>46092</v>
          </cell>
        </row>
        <row r="469">
          <cell r="A469">
            <v>824</v>
          </cell>
          <cell r="B469" t="str">
            <v>CENTRO</v>
          </cell>
          <cell r="C469" t="str">
            <v>Adriana Maritza Angulo Mora</v>
          </cell>
          <cell r="D469">
            <v>824</v>
          </cell>
          <cell r="E469" t="str">
            <v>VENTURA PLAZA</v>
          </cell>
          <cell r="F469" t="str">
            <v>Si</v>
          </cell>
          <cell r="G469" t="str">
            <v>No</v>
          </cell>
          <cell r="H469" t="str">
            <v>MABAEZ</v>
          </cell>
          <cell r="I469">
            <v>46093</v>
          </cell>
          <cell r="J469" t="str">
            <v>2 Días</v>
          </cell>
        </row>
        <row r="470">
          <cell r="A470">
            <v>825</v>
          </cell>
          <cell r="B470" t="str">
            <v>SUR</v>
          </cell>
          <cell r="C470" t="str">
            <v>Hector Mario Rendon Ocampo</v>
          </cell>
          <cell r="D470">
            <v>825</v>
          </cell>
          <cell r="E470" t="str">
            <v>ASTROCENTRO</v>
          </cell>
          <cell r="F470" t="str">
            <v>Si</v>
          </cell>
          <cell r="G470" t="str">
            <v>No</v>
          </cell>
          <cell r="H470" t="str">
            <v>JHAMAYA</v>
          </cell>
          <cell r="I470">
            <v>46086</v>
          </cell>
          <cell r="J470" t="str">
            <v>2 Días</v>
          </cell>
        </row>
        <row r="471">
          <cell r="A471">
            <v>827</v>
          </cell>
          <cell r="B471" t="str">
            <v>BOGOTA Y CUNDINAMARCA</v>
          </cell>
          <cell r="C471" t="str">
            <v>Nidya Marcela Poveda Sanchez</v>
          </cell>
          <cell r="D471">
            <v>827</v>
          </cell>
          <cell r="E471" t="str">
            <v>COTA</v>
          </cell>
          <cell r="F471" t="str">
            <v>Si</v>
          </cell>
          <cell r="G471" t="str">
            <v>No</v>
          </cell>
          <cell r="H471" t="str">
            <v>CAESGOME</v>
          </cell>
          <cell r="I471">
            <v>46092</v>
          </cell>
        </row>
        <row r="472">
          <cell r="A472">
            <v>828</v>
          </cell>
          <cell r="B472" t="str">
            <v>CENTRO</v>
          </cell>
          <cell r="C472" t="str">
            <v>Juan Felipe Russi Gamboa</v>
          </cell>
          <cell r="D472">
            <v>828</v>
          </cell>
          <cell r="E472" t="str">
            <v>SAN JOSE DEL GUAVIARE</v>
          </cell>
          <cell r="F472" t="str">
            <v>Si</v>
          </cell>
          <cell r="G472" t="str">
            <v>No</v>
          </cell>
          <cell r="H472" t="str">
            <v>JJROLDAN</v>
          </cell>
          <cell r="I472">
            <v>46098</v>
          </cell>
        </row>
        <row r="473">
          <cell r="A473">
            <v>829</v>
          </cell>
          <cell r="B473" t="str">
            <v>SUR</v>
          </cell>
          <cell r="C473" t="str">
            <v>Hector Mario Rendon Ocampo</v>
          </cell>
          <cell r="D473">
            <v>829</v>
          </cell>
          <cell r="E473" t="str">
            <v>UNICENTRO CALI</v>
          </cell>
          <cell r="F473" t="str">
            <v>Si</v>
          </cell>
          <cell r="G473" t="str">
            <v>Si</v>
          </cell>
          <cell r="H473" t="str">
            <v>SMBEDOYA</v>
          </cell>
          <cell r="I473">
            <v>46098</v>
          </cell>
        </row>
        <row r="474">
          <cell r="A474">
            <v>831</v>
          </cell>
          <cell r="B474" t="str">
            <v>ANTIOQUIA</v>
          </cell>
          <cell r="C474" t="str">
            <v>Julian Alejandro Rodriguez Escobar</v>
          </cell>
          <cell r="D474">
            <v>831</v>
          </cell>
          <cell r="E474" t="str">
            <v>CAREPA</v>
          </cell>
          <cell r="F474" t="str">
            <v>Si</v>
          </cell>
          <cell r="G474" t="str">
            <v>Si</v>
          </cell>
          <cell r="H474" t="str">
            <v>PAANORTI</v>
          </cell>
          <cell r="I474">
            <v>46099</v>
          </cell>
        </row>
        <row r="475">
          <cell r="A475">
            <v>832</v>
          </cell>
          <cell r="B475" t="str">
            <v>CENTRO</v>
          </cell>
          <cell r="C475" t="str">
            <v>Adriana Maritza Angulo Mora</v>
          </cell>
          <cell r="D475">
            <v>832</v>
          </cell>
          <cell r="E475" t="str">
            <v>FRANCISCO DE PAULA SANTANDER</v>
          </cell>
          <cell r="F475" t="str">
            <v>Si</v>
          </cell>
          <cell r="G475" t="str">
            <v>Si</v>
          </cell>
          <cell r="H475" t="str">
            <v>JENDUART</v>
          </cell>
          <cell r="I475">
            <v>46091</v>
          </cell>
        </row>
        <row r="476">
          <cell r="A476">
            <v>833</v>
          </cell>
          <cell r="B476" t="str">
            <v>BOGOTA Y CUNDINAMARCA</v>
          </cell>
          <cell r="C476" t="str">
            <v>Victoria Eugenia Guaqueta Murcia</v>
          </cell>
          <cell r="D476">
            <v>833</v>
          </cell>
          <cell r="E476" t="str">
            <v>BANCOLOMBIA UNIVERSIDAD JORGE TADEO LOZANO</v>
          </cell>
          <cell r="F476" t="str">
            <v>Si</v>
          </cell>
          <cell r="G476" t="str">
            <v>No</v>
          </cell>
          <cell r="H476" t="str">
            <v>GYMORENO</v>
          </cell>
          <cell r="I476">
            <v>46092</v>
          </cell>
          <cell r="J476" t="str">
            <v>2 Días</v>
          </cell>
        </row>
        <row r="477">
          <cell r="A477">
            <v>834</v>
          </cell>
          <cell r="B477" t="str">
            <v>CENTRO</v>
          </cell>
          <cell r="C477" t="str">
            <v>Adriana Maritza Angulo Mora</v>
          </cell>
          <cell r="D477">
            <v>834</v>
          </cell>
          <cell r="E477" t="str">
            <v>SAN MATEO</v>
          </cell>
          <cell r="F477" t="str">
            <v>Si</v>
          </cell>
          <cell r="G477" t="str">
            <v>No</v>
          </cell>
          <cell r="H477" t="str">
            <v>AKPEREZ</v>
          </cell>
          <cell r="I477">
            <v>46093</v>
          </cell>
        </row>
        <row r="478">
          <cell r="A478">
            <v>836</v>
          </cell>
          <cell r="B478" t="str">
            <v>SUR</v>
          </cell>
          <cell r="C478" t="str">
            <v>Hector Mario Rendon Ocampo</v>
          </cell>
          <cell r="D478">
            <v>836</v>
          </cell>
          <cell r="E478" t="str">
            <v>EXITO LA FLORA</v>
          </cell>
          <cell r="F478" t="str">
            <v>Si</v>
          </cell>
          <cell r="G478" t="str">
            <v>Si</v>
          </cell>
          <cell r="H478" t="str">
            <v>MAULEGUI</v>
          </cell>
          <cell r="I478">
            <v>46091</v>
          </cell>
        </row>
        <row r="479">
          <cell r="A479">
            <v>838</v>
          </cell>
          <cell r="B479" t="str">
            <v>SUR</v>
          </cell>
          <cell r="C479" t="str">
            <v>Norma Constanza Barrera Pabon</v>
          </cell>
          <cell r="D479">
            <v>838</v>
          </cell>
          <cell r="E479" t="str">
            <v>SANTANDER DE QUILICHAO</v>
          </cell>
          <cell r="F479" t="str">
            <v>Si</v>
          </cell>
          <cell r="G479" t="str">
            <v>No</v>
          </cell>
          <cell r="H479" t="str">
            <v>AXBASTID</v>
          </cell>
          <cell r="I479">
            <v>46092</v>
          </cell>
        </row>
        <row r="480">
          <cell r="A480">
            <v>839</v>
          </cell>
          <cell r="B480" t="str">
            <v>BOGOTA Y CUNDINAMARCA</v>
          </cell>
          <cell r="C480" t="str">
            <v>Victoria Eugenia Guaqueta Murcia</v>
          </cell>
          <cell r="D480">
            <v>839</v>
          </cell>
          <cell r="E480" t="str">
            <v>ZONA FRANCA BOGOTA</v>
          </cell>
          <cell r="F480" t="str">
            <v>Si</v>
          </cell>
          <cell r="G480" t="str">
            <v>No</v>
          </cell>
          <cell r="H480" t="str">
            <v>WHENAOOR</v>
          </cell>
          <cell r="I480">
            <v>46098</v>
          </cell>
        </row>
        <row r="481">
          <cell r="A481">
            <v>840</v>
          </cell>
          <cell r="B481" t="str">
            <v>CENTRO</v>
          </cell>
          <cell r="C481" t="str">
            <v>Yury Yaquelin Daza Congo</v>
          </cell>
          <cell r="D481">
            <v>840</v>
          </cell>
          <cell r="E481" t="str">
            <v>PAZ DE ARIPORO</v>
          </cell>
          <cell r="F481" t="str">
            <v>Si</v>
          </cell>
          <cell r="G481" t="str">
            <v>No</v>
          </cell>
          <cell r="H481" t="str">
            <v>KAARIAS</v>
          </cell>
          <cell r="I481">
            <v>46086</v>
          </cell>
        </row>
        <row r="482">
          <cell r="A482">
            <v>842</v>
          </cell>
          <cell r="B482" t="str">
            <v>SUR</v>
          </cell>
          <cell r="C482" t="str">
            <v>Yamileth Abella Bonilla</v>
          </cell>
          <cell r="D482">
            <v>842</v>
          </cell>
          <cell r="E482" t="str">
            <v>BUENAVENTURA</v>
          </cell>
          <cell r="F482" t="str">
            <v>Si</v>
          </cell>
          <cell r="G482" t="str">
            <v>Si</v>
          </cell>
          <cell r="H482" t="str">
            <v>DMPAYAN</v>
          </cell>
          <cell r="I482">
            <v>46098</v>
          </cell>
        </row>
        <row r="483">
          <cell r="A483">
            <v>843</v>
          </cell>
          <cell r="B483" t="str">
            <v>SUR</v>
          </cell>
          <cell r="C483" t="str">
            <v>Yamileth Abella Bonilla</v>
          </cell>
          <cell r="D483">
            <v>843</v>
          </cell>
          <cell r="E483" t="str">
            <v>CALLE SEGUNDA</v>
          </cell>
          <cell r="F483" t="str">
            <v>Si</v>
          </cell>
          <cell r="G483" t="str">
            <v>No</v>
          </cell>
          <cell r="H483" t="str">
            <v>CAGAVIRI</v>
          </cell>
          <cell r="I483">
            <v>46091</v>
          </cell>
        </row>
        <row r="484">
          <cell r="A484">
            <v>844</v>
          </cell>
          <cell r="B484" t="str">
            <v>CENTRO</v>
          </cell>
          <cell r="C484" t="str">
            <v>Juan Felipe Russi Gamboa</v>
          </cell>
          <cell r="D484">
            <v>844</v>
          </cell>
          <cell r="E484" t="str">
            <v>PRIMAVERA</v>
          </cell>
          <cell r="F484" t="str">
            <v>Si</v>
          </cell>
          <cell r="G484" t="str">
            <v>Si</v>
          </cell>
          <cell r="H484" t="str">
            <v>SPVARGAS</v>
          </cell>
          <cell r="I484">
            <v>46093</v>
          </cell>
        </row>
        <row r="485">
          <cell r="A485">
            <v>845</v>
          </cell>
          <cell r="B485" t="str">
            <v>CENTRO</v>
          </cell>
          <cell r="C485" t="str">
            <v>Astrid Alexandra Quintero Arciniegas</v>
          </cell>
          <cell r="D485">
            <v>845</v>
          </cell>
          <cell r="E485" t="str">
            <v>LA PLATA</v>
          </cell>
          <cell r="F485" t="str">
            <v>Si</v>
          </cell>
          <cell r="G485" t="str">
            <v>Si</v>
          </cell>
          <cell r="H485" t="str">
            <v>ERMALDO</v>
          </cell>
          <cell r="I485">
            <v>46093</v>
          </cell>
          <cell r="J485" t="str">
            <v>2 Días</v>
          </cell>
        </row>
        <row r="486">
          <cell r="A486">
            <v>846</v>
          </cell>
          <cell r="B486" t="str">
            <v>CENTRO</v>
          </cell>
          <cell r="C486" t="str">
            <v>Juan Felipe Russi Gamboa</v>
          </cell>
          <cell r="D486">
            <v>846</v>
          </cell>
          <cell r="E486" t="str">
            <v>CUMARAL</v>
          </cell>
          <cell r="F486" t="str">
            <v>Si</v>
          </cell>
          <cell r="G486" t="str">
            <v>No</v>
          </cell>
          <cell r="H486" t="str">
            <v>YPUENTES</v>
          </cell>
          <cell r="I486">
            <v>46086</v>
          </cell>
        </row>
        <row r="487">
          <cell r="A487">
            <v>847</v>
          </cell>
          <cell r="B487" t="str">
            <v>CENTRO</v>
          </cell>
          <cell r="C487" t="str">
            <v>Astrid Alexandra Quintero Arciniegas</v>
          </cell>
          <cell r="D487">
            <v>847</v>
          </cell>
          <cell r="E487" t="str">
            <v>GRAN PLAZA FLORENCIA</v>
          </cell>
          <cell r="F487" t="str">
            <v>Si</v>
          </cell>
          <cell r="G487" t="str">
            <v>Si</v>
          </cell>
          <cell r="H487" t="str">
            <v>MASAENZ</v>
          </cell>
          <cell r="I487">
            <v>46086</v>
          </cell>
        </row>
        <row r="488">
          <cell r="A488">
            <v>848</v>
          </cell>
          <cell r="B488" t="str">
            <v>SUR</v>
          </cell>
          <cell r="C488" t="str">
            <v>John Didier Villegas Martinez</v>
          </cell>
          <cell r="D488">
            <v>848</v>
          </cell>
          <cell r="E488" t="str">
            <v>BUGA</v>
          </cell>
          <cell r="F488" t="str">
            <v>Si</v>
          </cell>
          <cell r="G488" t="str">
            <v>Si</v>
          </cell>
          <cell r="H488" t="str">
            <v>CVRODRIG</v>
          </cell>
          <cell r="I488">
            <v>46099</v>
          </cell>
        </row>
        <row r="489">
          <cell r="A489">
            <v>849</v>
          </cell>
          <cell r="B489" t="str">
            <v>CENTRO</v>
          </cell>
          <cell r="C489" t="str">
            <v>Juan Felipe Russi Gamboa</v>
          </cell>
          <cell r="D489">
            <v>849</v>
          </cell>
          <cell r="E489" t="str">
            <v>UNICENTRO VILLAVICENCIO</v>
          </cell>
          <cell r="F489" t="str">
            <v>Si</v>
          </cell>
          <cell r="G489" t="str">
            <v>No</v>
          </cell>
          <cell r="H489" t="str">
            <v>YENMUNOZ</v>
          </cell>
          <cell r="I489">
            <v>46091</v>
          </cell>
        </row>
        <row r="490">
          <cell r="A490">
            <v>850</v>
          </cell>
          <cell r="B490" t="str">
            <v>ANTIOQUIA</v>
          </cell>
          <cell r="C490" t="str">
            <v>Natalia Zuluaga Rodriguez</v>
          </cell>
          <cell r="D490">
            <v>850</v>
          </cell>
          <cell r="E490" t="str">
            <v xml:space="preserve">BANCA COLOMBIA POBLADO </v>
          </cell>
          <cell r="F490" t="str">
            <v>Si</v>
          </cell>
          <cell r="G490" t="str">
            <v>No</v>
          </cell>
          <cell r="H490" t="str">
            <v>DIAJARAM</v>
          </cell>
          <cell r="I490">
            <v>46091</v>
          </cell>
        </row>
        <row r="491">
          <cell r="A491">
            <v>851</v>
          </cell>
          <cell r="B491" t="str">
            <v>SUR</v>
          </cell>
          <cell r="C491" t="str">
            <v>Sergio Arias Pelaez</v>
          </cell>
          <cell r="D491">
            <v>851</v>
          </cell>
          <cell r="E491" t="str">
            <v>PLAZA DE BOLIVAR PEREIRA</v>
          </cell>
          <cell r="F491" t="str">
            <v>Si</v>
          </cell>
          <cell r="G491" t="str">
            <v>No</v>
          </cell>
          <cell r="H491" t="str">
            <v>JULCASTA</v>
          </cell>
          <cell r="I491">
            <v>46100</v>
          </cell>
        </row>
        <row r="492">
          <cell r="A492">
            <v>852</v>
          </cell>
          <cell r="B492" t="str">
            <v>SUR</v>
          </cell>
          <cell r="C492" t="str">
            <v>Sergio Arias Pelaez</v>
          </cell>
          <cell r="D492">
            <v>852</v>
          </cell>
          <cell r="E492" t="str">
            <v>VICTORIA PLAZA</v>
          </cell>
          <cell r="F492" t="str">
            <v>Si</v>
          </cell>
          <cell r="G492" t="str">
            <v>Si</v>
          </cell>
          <cell r="H492" t="str">
            <v>FJESPINO</v>
          </cell>
          <cell r="I492">
            <v>46091</v>
          </cell>
        </row>
        <row r="493">
          <cell r="A493">
            <v>854</v>
          </cell>
          <cell r="B493" t="str">
            <v>SUR</v>
          </cell>
          <cell r="C493" t="str">
            <v>John Didier Villegas Martinez</v>
          </cell>
          <cell r="D493">
            <v>854</v>
          </cell>
          <cell r="E493" t="str">
            <v>BUGALAGRANDE</v>
          </cell>
          <cell r="F493" t="str">
            <v>Si</v>
          </cell>
          <cell r="G493" t="str">
            <v>No</v>
          </cell>
          <cell r="H493" t="str">
            <v>JJGIL</v>
          </cell>
          <cell r="I493">
            <v>46091</v>
          </cell>
          <cell r="J493" t="str">
            <v>2 Días</v>
          </cell>
        </row>
        <row r="494">
          <cell r="A494">
            <v>858</v>
          </cell>
          <cell r="B494" t="str">
            <v>SUR</v>
          </cell>
          <cell r="C494" t="str">
            <v>Yamileth Abella Bonilla</v>
          </cell>
          <cell r="D494">
            <v>858</v>
          </cell>
          <cell r="E494" t="str">
            <v>CERRITO</v>
          </cell>
          <cell r="F494" t="str">
            <v>Si</v>
          </cell>
          <cell r="G494" t="str">
            <v>Si</v>
          </cell>
          <cell r="H494" t="str">
            <v>SMPLAZA</v>
          </cell>
          <cell r="I494">
            <v>46091</v>
          </cell>
        </row>
        <row r="495">
          <cell r="A495">
            <v>860</v>
          </cell>
          <cell r="B495" t="str">
            <v>SUR</v>
          </cell>
          <cell r="C495" t="str">
            <v>Sergio Arias Pelaez</v>
          </cell>
          <cell r="D495">
            <v>860</v>
          </cell>
          <cell r="E495" t="str">
            <v>EL CABLE</v>
          </cell>
          <cell r="F495" t="str">
            <v>Si</v>
          </cell>
          <cell r="G495" t="str">
            <v>No</v>
          </cell>
          <cell r="H495" t="str">
            <v>LUADMART</v>
          </cell>
          <cell r="I495">
            <v>46093</v>
          </cell>
        </row>
        <row r="496">
          <cell r="A496">
            <v>861</v>
          </cell>
          <cell r="B496" t="str">
            <v>CARIBE</v>
          </cell>
          <cell r="C496" t="str">
            <v>Alicia Minerva Fontalvo Reales</v>
          </cell>
          <cell r="D496">
            <v>861</v>
          </cell>
          <cell r="E496" t="str">
            <v>ALBANIA</v>
          </cell>
          <cell r="F496" t="str">
            <v>Si</v>
          </cell>
          <cell r="G496" t="str">
            <v>Si</v>
          </cell>
          <cell r="H496" t="str">
            <v>PBUELVAS</v>
          </cell>
          <cell r="I496">
            <v>46086</v>
          </cell>
        </row>
        <row r="497">
          <cell r="A497">
            <v>862</v>
          </cell>
          <cell r="B497" t="str">
            <v>ANTIOQUIA</v>
          </cell>
          <cell r="C497" t="str">
            <v>Natalia Zuluaga Rodriguez</v>
          </cell>
          <cell r="D497">
            <v>862</v>
          </cell>
          <cell r="E497" t="str">
            <v>EL TESORO ASESORIA</v>
          </cell>
          <cell r="F497" t="str">
            <v>Si</v>
          </cell>
          <cell r="G497" t="str">
            <v>Si</v>
          </cell>
          <cell r="H497" t="str">
            <v>LFLOPERA</v>
          </cell>
          <cell r="I497">
            <v>46100</v>
          </cell>
        </row>
        <row r="498">
          <cell r="A498">
            <v>863</v>
          </cell>
          <cell r="B498" t="str">
            <v>CENTRO</v>
          </cell>
          <cell r="C498" t="str">
            <v>Adriana Maritza Angulo Mora</v>
          </cell>
          <cell r="D498">
            <v>863</v>
          </cell>
          <cell r="E498" t="str">
            <v>LOS PATIOS</v>
          </cell>
          <cell r="F498" t="str">
            <v>Si</v>
          </cell>
          <cell r="G498" t="str">
            <v>Si</v>
          </cell>
          <cell r="H498" t="str">
            <v>YURMOREN</v>
          </cell>
          <cell r="I498">
            <v>46092</v>
          </cell>
        </row>
        <row r="499">
          <cell r="A499">
            <v>864</v>
          </cell>
          <cell r="B499" t="str">
            <v>SUR</v>
          </cell>
          <cell r="C499" t="str">
            <v>Yamileth Abella Bonilla</v>
          </cell>
          <cell r="D499">
            <v>864</v>
          </cell>
          <cell r="E499" t="str">
            <v>PRADERA</v>
          </cell>
          <cell r="F499" t="str">
            <v>Si</v>
          </cell>
          <cell r="G499" t="str">
            <v>Si</v>
          </cell>
          <cell r="H499" t="str">
            <v>LAPENUEL</v>
          </cell>
          <cell r="I499">
            <v>46093</v>
          </cell>
        </row>
        <row r="500">
          <cell r="A500">
            <v>865</v>
          </cell>
          <cell r="B500" t="str">
            <v>SUR</v>
          </cell>
          <cell r="C500" t="str">
            <v>John Didier Villegas Martinez</v>
          </cell>
          <cell r="D500">
            <v>865</v>
          </cell>
          <cell r="E500" t="str">
            <v>CALLE 21 ARMENIA</v>
          </cell>
          <cell r="F500" t="str">
            <v>Si</v>
          </cell>
          <cell r="G500" t="str">
            <v>No</v>
          </cell>
          <cell r="H500" t="str">
            <v>AMRAMIRE</v>
          </cell>
          <cell r="I500">
            <v>46092</v>
          </cell>
        </row>
        <row r="501">
          <cell r="A501">
            <v>866</v>
          </cell>
          <cell r="B501" t="str">
            <v>SUR</v>
          </cell>
          <cell r="C501" t="str">
            <v>Yamileth Abella Bonilla</v>
          </cell>
          <cell r="D501">
            <v>866</v>
          </cell>
          <cell r="E501" t="str">
            <v>FLORIDA</v>
          </cell>
          <cell r="F501" t="str">
            <v>Si</v>
          </cell>
          <cell r="G501" t="str">
            <v>No</v>
          </cell>
          <cell r="H501" t="str">
            <v>MAILOPEZ</v>
          </cell>
          <cell r="I501">
            <v>46093</v>
          </cell>
          <cell r="J501" t="str">
            <v>2 Días</v>
          </cell>
        </row>
        <row r="502">
          <cell r="A502">
            <v>867</v>
          </cell>
          <cell r="B502" t="str">
            <v>SUR</v>
          </cell>
          <cell r="C502" t="str">
            <v>John Didier Villegas Martinez</v>
          </cell>
          <cell r="D502">
            <v>867</v>
          </cell>
          <cell r="E502" t="str">
            <v>UNICENTRO ARMENIA</v>
          </cell>
          <cell r="F502" t="str">
            <v>Si</v>
          </cell>
          <cell r="G502" t="str">
            <v>No</v>
          </cell>
          <cell r="H502" t="str">
            <v>DIOSPINA</v>
          </cell>
          <cell r="I502">
            <v>46099</v>
          </cell>
          <cell r="J502" t="str">
            <v>2 Días</v>
          </cell>
        </row>
        <row r="503">
          <cell r="A503">
            <v>868</v>
          </cell>
          <cell r="B503" t="str">
            <v>SUR</v>
          </cell>
          <cell r="C503" t="str">
            <v>Norma Constanza Barrera Pabon</v>
          </cell>
          <cell r="D503">
            <v>868</v>
          </cell>
          <cell r="E503" t="str">
            <v>POPAYAN</v>
          </cell>
          <cell r="F503" t="str">
            <v>Si</v>
          </cell>
          <cell r="G503" t="str">
            <v>No</v>
          </cell>
          <cell r="H503" t="str">
            <v>SVIDAL</v>
          </cell>
          <cell r="I503">
            <v>46099</v>
          </cell>
        </row>
        <row r="504">
          <cell r="A504">
            <v>874</v>
          </cell>
          <cell r="B504" t="str">
            <v>SUR</v>
          </cell>
          <cell r="C504" t="str">
            <v>John Didier Villegas Martinez</v>
          </cell>
          <cell r="D504">
            <v>874</v>
          </cell>
          <cell r="E504" t="str">
            <v>TULUA</v>
          </cell>
          <cell r="F504" t="str">
            <v>Si</v>
          </cell>
          <cell r="G504" t="str">
            <v>Si</v>
          </cell>
          <cell r="H504" t="str">
            <v>VPUERTA</v>
          </cell>
          <cell r="I504">
            <v>46098</v>
          </cell>
        </row>
        <row r="505">
          <cell r="A505">
            <v>876</v>
          </cell>
          <cell r="B505" t="str">
            <v>CARIBE</v>
          </cell>
          <cell r="C505" t="str">
            <v>German Alcides Hernandez Vivero</v>
          </cell>
          <cell r="D505">
            <v>876</v>
          </cell>
          <cell r="E505" t="str">
            <v>VILLA CAMPESTRE</v>
          </cell>
          <cell r="F505" t="str">
            <v>Si</v>
          </cell>
          <cell r="G505" t="str">
            <v>No</v>
          </cell>
          <cell r="H505" t="str">
            <v>DGDONADO</v>
          </cell>
          <cell r="I505">
            <v>46093</v>
          </cell>
        </row>
        <row r="506">
          <cell r="A506">
            <v>879</v>
          </cell>
          <cell r="B506" t="str">
            <v>SUR</v>
          </cell>
          <cell r="C506" t="str">
            <v>Norma Constanza Barrera Pabon</v>
          </cell>
          <cell r="D506">
            <v>879</v>
          </cell>
          <cell r="E506" t="str">
            <v>UNICENTRO PASTO</v>
          </cell>
          <cell r="F506" t="str">
            <v>Si</v>
          </cell>
          <cell r="G506" t="str">
            <v>No</v>
          </cell>
          <cell r="H506" t="str">
            <v>AGUEVARA</v>
          </cell>
          <cell r="I506">
            <v>46093</v>
          </cell>
        </row>
        <row r="507">
          <cell r="A507">
            <v>881</v>
          </cell>
          <cell r="B507" t="str">
            <v>SUR</v>
          </cell>
          <cell r="C507" t="str">
            <v>Norma Constanza Barrera Pabon</v>
          </cell>
          <cell r="D507">
            <v>881</v>
          </cell>
          <cell r="E507" t="str">
            <v>SEBASTIAN DE BELALCAZAR</v>
          </cell>
          <cell r="F507" t="str">
            <v>Si</v>
          </cell>
          <cell r="G507" t="str">
            <v>No</v>
          </cell>
          <cell r="H507" t="str">
            <v>AMINO</v>
          </cell>
          <cell r="I507">
            <v>46100</v>
          </cell>
        </row>
        <row r="508">
          <cell r="A508">
            <v>882</v>
          </cell>
          <cell r="B508" t="str">
            <v>CENTRO</v>
          </cell>
          <cell r="C508" t="str">
            <v>Yury Yaquelin Daza Congo</v>
          </cell>
          <cell r="D508">
            <v>882</v>
          </cell>
          <cell r="E508" t="str">
            <v>LIBERTADORES</v>
          </cell>
          <cell r="F508" t="str">
            <v>Si</v>
          </cell>
          <cell r="G508" t="str">
            <v>Si</v>
          </cell>
          <cell r="H508" t="str">
            <v>YPARRA</v>
          </cell>
          <cell r="I508">
            <v>46093</v>
          </cell>
          <cell r="J508" t="str">
            <v>2 Días</v>
          </cell>
        </row>
        <row r="509">
          <cell r="A509">
            <v>883</v>
          </cell>
          <cell r="B509" t="str">
            <v>ANTIOQUIA</v>
          </cell>
          <cell r="C509" t="str">
            <v>Sandra Milena Cardona Franco</v>
          </cell>
          <cell r="D509">
            <v>883</v>
          </cell>
          <cell r="E509" t="str">
            <v>SALGAR</v>
          </cell>
          <cell r="F509" t="str">
            <v>Si</v>
          </cell>
          <cell r="G509" t="str">
            <v>Si</v>
          </cell>
          <cell r="H509" t="str">
            <v>DCORREA</v>
          </cell>
          <cell r="I509">
            <v>46100</v>
          </cell>
          <cell r="J509" t="str">
            <v>2 Días</v>
          </cell>
        </row>
        <row r="510">
          <cell r="A510">
            <v>884</v>
          </cell>
          <cell r="B510" t="str">
            <v>CENTRO</v>
          </cell>
          <cell r="C510" t="str">
            <v>Frank William Castillo Leal</v>
          </cell>
          <cell r="D510">
            <v>884</v>
          </cell>
          <cell r="E510" t="str">
            <v>SAN MARTIN</v>
          </cell>
          <cell r="F510" t="str">
            <v>Si</v>
          </cell>
          <cell r="G510" t="str">
            <v>No</v>
          </cell>
          <cell r="H510" t="str">
            <v>CABARBOS</v>
          </cell>
          <cell r="I510">
            <v>46091</v>
          </cell>
        </row>
        <row r="511">
          <cell r="A511">
            <v>885</v>
          </cell>
          <cell r="B511" t="str">
            <v>SUR</v>
          </cell>
          <cell r="C511" t="str">
            <v>Norma Constanza Barrera Pabon</v>
          </cell>
          <cell r="D511">
            <v>885</v>
          </cell>
          <cell r="E511" t="str">
            <v>TUQUERRES</v>
          </cell>
          <cell r="F511" t="str">
            <v>Si</v>
          </cell>
          <cell r="G511" t="str">
            <v>Si</v>
          </cell>
          <cell r="H511" t="str">
            <v>JOEORTIZ</v>
          </cell>
          <cell r="I511">
            <v>46100</v>
          </cell>
        </row>
        <row r="512">
          <cell r="A512">
            <v>888</v>
          </cell>
          <cell r="B512" t="str">
            <v>SUR</v>
          </cell>
          <cell r="C512" t="str">
            <v>Norma Constanza Barrera Pabon</v>
          </cell>
          <cell r="D512">
            <v>888</v>
          </cell>
          <cell r="E512" t="str">
            <v>IPIALES</v>
          </cell>
          <cell r="F512" t="str">
            <v>Si</v>
          </cell>
          <cell r="G512" t="str">
            <v>No</v>
          </cell>
          <cell r="H512" t="str">
            <v>DIEFLORE</v>
          </cell>
          <cell r="I512">
            <v>46091</v>
          </cell>
        </row>
        <row r="513">
          <cell r="A513">
            <v>890</v>
          </cell>
          <cell r="B513" t="str">
            <v>CENTRO</v>
          </cell>
          <cell r="C513" t="str">
            <v>Juan Felipe Russi Gamboa</v>
          </cell>
          <cell r="D513">
            <v>890</v>
          </cell>
          <cell r="E513" t="str">
            <v>ACACIAS</v>
          </cell>
          <cell r="F513" t="str">
            <v>Si</v>
          </cell>
          <cell r="G513" t="str">
            <v>No</v>
          </cell>
          <cell r="H513" t="str">
            <v>ERPFRANC</v>
          </cell>
          <cell r="I513">
            <v>46099</v>
          </cell>
        </row>
        <row r="514">
          <cell r="A514">
            <v>892</v>
          </cell>
          <cell r="B514" t="str">
            <v>BOGOTA Y CUNDINAMARCA</v>
          </cell>
          <cell r="C514" t="str">
            <v>Pedro Javier Yazzo Moreno</v>
          </cell>
          <cell r="D514">
            <v>892</v>
          </cell>
          <cell r="E514" t="str">
            <v>LA VEGA</v>
          </cell>
          <cell r="F514" t="str">
            <v>Si</v>
          </cell>
          <cell r="G514" t="str">
            <v>Si</v>
          </cell>
          <cell r="H514" t="str">
            <v>BFLORIAN</v>
          </cell>
          <cell r="I514">
            <v>46086</v>
          </cell>
        </row>
        <row r="515">
          <cell r="A515">
            <v>893</v>
          </cell>
          <cell r="B515" t="str">
            <v>BOGOTA Y CUNDINAMARCA</v>
          </cell>
          <cell r="C515" t="str">
            <v>Nidya Marcela Poveda Sanchez</v>
          </cell>
          <cell r="D515">
            <v>893</v>
          </cell>
          <cell r="E515" t="str">
            <v>SOPO</v>
          </cell>
          <cell r="F515" t="str">
            <v>Si</v>
          </cell>
          <cell r="G515" t="str">
            <v>No</v>
          </cell>
          <cell r="H515" t="str">
            <v>DCANASTO</v>
          </cell>
          <cell r="I515">
            <v>46086</v>
          </cell>
        </row>
        <row r="516">
          <cell r="A516">
            <v>894</v>
          </cell>
          <cell r="B516" t="str">
            <v>SUR</v>
          </cell>
          <cell r="C516" t="str">
            <v>Norma Constanza Barrera Pabon</v>
          </cell>
          <cell r="D516">
            <v>894</v>
          </cell>
          <cell r="E516" t="str">
            <v>TUMACO</v>
          </cell>
          <cell r="F516" t="str">
            <v>Si</v>
          </cell>
          <cell r="G516" t="str">
            <v>No</v>
          </cell>
          <cell r="H516" t="str">
            <v>DIARQUIN</v>
          </cell>
          <cell r="I516">
            <v>46100</v>
          </cell>
        </row>
        <row r="517">
          <cell r="A517">
            <v>906</v>
          </cell>
          <cell r="B517" t="str">
            <v>CENTRO</v>
          </cell>
          <cell r="C517" t="str">
            <v>Edwin Andres Lievano Orjuela</v>
          </cell>
          <cell r="D517">
            <v>906</v>
          </cell>
          <cell r="E517" t="str">
            <v>FRESNO</v>
          </cell>
          <cell r="F517" t="str">
            <v>Si</v>
          </cell>
          <cell r="G517" t="str">
            <v>No</v>
          </cell>
          <cell r="H517" t="str">
            <v>DGONGORA</v>
          </cell>
          <cell r="I517">
            <v>46100</v>
          </cell>
        </row>
        <row r="518">
          <cell r="A518">
            <v>907</v>
          </cell>
          <cell r="B518" t="str">
            <v>ANTIOQUIA</v>
          </cell>
          <cell r="C518" t="str">
            <v>Natalia Zuluaga Rodriguez</v>
          </cell>
          <cell r="D518">
            <v>907</v>
          </cell>
          <cell r="E518" t="str">
            <v>LA FRONTERA</v>
          </cell>
          <cell r="F518" t="str">
            <v>Si</v>
          </cell>
          <cell r="G518" t="str">
            <v>No</v>
          </cell>
          <cell r="H518" t="str">
            <v>MARIADAG</v>
          </cell>
          <cell r="I518">
            <v>46093</v>
          </cell>
        </row>
        <row r="519">
          <cell r="A519">
            <v>909</v>
          </cell>
          <cell r="B519" t="str">
            <v>BOGOTA Y CUNDINAMARCA</v>
          </cell>
          <cell r="C519" t="str">
            <v>Nidya Marcela Poveda Sanchez</v>
          </cell>
          <cell r="D519">
            <v>909</v>
          </cell>
          <cell r="E519" t="str">
            <v>EL ROSAL</v>
          </cell>
          <cell r="F519" t="str">
            <v>Si</v>
          </cell>
          <cell r="G519" t="str">
            <v>Si</v>
          </cell>
          <cell r="H519" t="str">
            <v>MYFLOREZ</v>
          </cell>
          <cell r="I519">
            <v>46093</v>
          </cell>
        </row>
        <row r="520">
          <cell r="A520">
            <v>914</v>
          </cell>
          <cell r="B520" t="str">
            <v>ANTIOQUIA</v>
          </cell>
          <cell r="C520" t="str">
            <v>Julian Alejandro Rodriguez Escobar</v>
          </cell>
          <cell r="D520">
            <v>914</v>
          </cell>
          <cell r="E520" t="str">
            <v>DON MATIAS</v>
          </cell>
          <cell r="F520" t="str">
            <v>Si</v>
          </cell>
          <cell r="G520" t="str">
            <v>Si</v>
          </cell>
          <cell r="H520" t="str">
            <v>FJARANGO</v>
          </cell>
          <cell r="I520">
            <v>46093</v>
          </cell>
        </row>
        <row r="521">
          <cell r="A521">
            <v>915</v>
          </cell>
          <cell r="B521" t="str">
            <v>BOGOTA Y CUNDINAMARCA</v>
          </cell>
          <cell r="C521" t="str">
            <v>Kirsys Nadyra Robelto Sanchez</v>
          </cell>
          <cell r="D521">
            <v>915</v>
          </cell>
          <cell r="E521" t="str">
            <v>EDIFICIO 8111 ASESORIA</v>
          </cell>
          <cell r="F521" t="str">
            <v>Si</v>
          </cell>
          <cell r="G521" t="str">
            <v>Si</v>
          </cell>
          <cell r="H521" t="str">
            <v>NMPUERTO</v>
          </cell>
          <cell r="I521">
            <v>46092</v>
          </cell>
        </row>
        <row r="522">
          <cell r="A522">
            <v>916</v>
          </cell>
          <cell r="B522" t="str">
            <v>CARIBE</v>
          </cell>
          <cell r="C522" t="str">
            <v>Alicia Minerva Fontalvo Reales</v>
          </cell>
          <cell r="D522">
            <v>916</v>
          </cell>
          <cell r="E522" t="str">
            <v>OCEAN MALL</v>
          </cell>
          <cell r="F522" t="str">
            <v>Si</v>
          </cell>
          <cell r="G522" t="str">
            <v>No</v>
          </cell>
          <cell r="H522" t="str">
            <v>SDELOS</v>
          </cell>
          <cell r="I522">
            <v>46093</v>
          </cell>
        </row>
        <row r="523">
          <cell r="A523">
            <v>926</v>
          </cell>
          <cell r="B523" t="str">
            <v>CARIBE</v>
          </cell>
          <cell r="C523" t="str">
            <v>German Alcides Hernandez Vivero</v>
          </cell>
          <cell r="D523">
            <v>926</v>
          </cell>
          <cell r="E523" t="str">
            <v>UNIVERSIDAD DEL NORTE</v>
          </cell>
          <cell r="F523" t="str">
            <v>Si</v>
          </cell>
          <cell r="G523" t="str">
            <v>Si</v>
          </cell>
          <cell r="H523" t="str">
            <v>LINLOAIZ</v>
          </cell>
          <cell r="I523">
            <v>46091</v>
          </cell>
        </row>
        <row r="524">
          <cell r="A524">
            <v>927</v>
          </cell>
          <cell r="B524" t="str">
            <v>CENTRO</v>
          </cell>
          <cell r="C524" t="str">
            <v>Astrid Alexandra Quintero Arciniegas</v>
          </cell>
          <cell r="D524">
            <v>927</v>
          </cell>
          <cell r="E524" t="str">
            <v>MOCOA</v>
          </cell>
          <cell r="F524" t="str">
            <v>Si</v>
          </cell>
          <cell r="G524" t="str">
            <v>No</v>
          </cell>
          <cell r="H524" t="str">
            <v>DMOTTA</v>
          </cell>
          <cell r="I524">
            <v>46099</v>
          </cell>
        </row>
        <row r="525">
          <cell r="A525">
            <v>928</v>
          </cell>
          <cell r="B525" t="str">
            <v>ANTIOQUIA</v>
          </cell>
          <cell r="C525" t="str">
            <v>Juan Fernando Alzate Valencia</v>
          </cell>
          <cell r="D525">
            <v>928</v>
          </cell>
          <cell r="E525" t="str">
            <v>LLANOGRANDE</v>
          </cell>
          <cell r="F525" t="str">
            <v>Si</v>
          </cell>
          <cell r="G525" t="str">
            <v>Si</v>
          </cell>
          <cell r="H525" t="str">
            <v>MARINMAR</v>
          </cell>
          <cell r="I525">
            <v>46086</v>
          </cell>
        </row>
        <row r="526">
          <cell r="A526">
            <v>929</v>
          </cell>
          <cell r="B526" t="str">
            <v>ANTIOQUIA</v>
          </cell>
          <cell r="C526" t="str">
            <v>Natalia Zuluaga Rodriguez</v>
          </cell>
          <cell r="D526">
            <v>929</v>
          </cell>
          <cell r="E526" t="str">
            <v>BANCA COLOMBIA SAN FERNANDO PLAZA</v>
          </cell>
          <cell r="F526" t="str">
            <v>Si</v>
          </cell>
          <cell r="G526" t="str">
            <v>No</v>
          </cell>
          <cell r="H526" t="str">
            <v>AMMARULA</v>
          </cell>
          <cell r="I526">
            <v>46098</v>
          </cell>
        </row>
        <row r="527">
          <cell r="A527">
            <v>936</v>
          </cell>
          <cell r="B527" t="str">
            <v>ANTIOQUIA</v>
          </cell>
          <cell r="C527" t="str">
            <v>Katherine Zapata Cano</v>
          </cell>
          <cell r="D527">
            <v>936</v>
          </cell>
          <cell r="E527" t="str">
            <v>MUNICIPIO DE MEDELLIN</v>
          </cell>
          <cell r="F527" t="str">
            <v>Si</v>
          </cell>
          <cell r="G527" t="str">
            <v>Si</v>
          </cell>
          <cell r="H527" t="str">
            <v>LDZAPATA</v>
          </cell>
          <cell r="I527">
            <v>46099</v>
          </cell>
        </row>
        <row r="528">
          <cell r="A528">
            <v>937</v>
          </cell>
          <cell r="B528" t="str">
            <v>SUR</v>
          </cell>
          <cell r="C528" t="str">
            <v>Norma Constanza Barrera Pabon</v>
          </cell>
          <cell r="D528">
            <v>937</v>
          </cell>
          <cell r="E528" t="str">
            <v>MODELO POPAYAN</v>
          </cell>
          <cell r="F528" t="str">
            <v>Si</v>
          </cell>
          <cell r="G528" t="str">
            <v>Si</v>
          </cell>
          <cell r="H528" t="str">
            <v>CAEDMART</v>
          </cell>
          <cell r="I528">
            <v>46086</v>
          </cell>
        </row>
        <row r="529">
          <cell r="A529">
            <v>941</v>
          </cell>
          <cell r="B529" t="str">
            <v>CENTRO</v>
          </cell>
          <cell r="C529" t="str">
            <v>Astrid Alexandra Quintero Arciniegas</v>
          </cell>
          <cell r="D529">
            <v>941</v>
          </cell>
          <cell r="E529" t="str">
            <v>NEIVA LA NUEVA</v>
          </cell>
          <cell r="F529" t="str">
            <v>Si</v>
          </cell>
          <cell r="G529" t="str">
            <v>Si</v>
          </cell>
          <cell r="H529" t="str">
            <v>GINGARZO</v>
          </cell>
          <cell r="I529">
            <v>46099</v>
          </cell>
        </row>
        <row r="530">
          <cell r="A530">
            <v>943</v>
          </cell>
          <cell r="B530" t="str">
            <v>CENTRO</v>
          </cell>
          <cell r="C530" t="str">
            <v>Juan Felipe Russi Gamboa</v>
          </cell>
          <cell r="D530">
            <v>943</v>
          </cell>
          <cell r="E530" t="str">
            <v>LETICIA</v>
          </cell>
          <cell r="F530" t="str">
            <v>Si</v>
          </cell>
          <cell r="G530" t="str">
            <v>No</v>
          </cell>
          <cell r="H530" t="str">
            <v>SJUNCA</v>
          </cell>
          <cell r="I530">
            <v>46093</v>
          </cell>
        </row>
        <row r="531">
          <cell r="A531">
            <v>944</v>
          </cell>
          <cell r="B531" t="str">
            <v>BOGOTA Y CUNDINAMARCA</v>
          </cell>
          <cell r="C531" t="str">
            <v>Nidya Marcela Poveda Sanchez</v>
          </cell>
          <cell r="D531">
            <v>944</v>
          </cell>
          <cell r="E531" t="str">
            <v>CENTRO COMERCIAL SANTAFE</v>
          </cell>
          <cell r="F531" t="str">
            <v>Si</v>
          </cell>
          <cell r="G531" t="str">
            <v>Si</v>
          </cell>
          <cell r="H531" t="str">
            <v>SBOHORQU</v>
          </cell>
          <cell r="I531">
            <v>46098</v>
          </cell>
        </row>
        <row r="532">
          <cell r="A532">
            <v>945</v>
          </cell>
          <cell r="B532" t="str">
            <v>BOGOTA Y CUNDINAMARCA</v>
          </cell>
          <cell r="C532" t="str">
            <v>Pedro Javier Yazzo Moreno</v>
          </cell>
          <cell r="D532">
            <v>945</v>
          </cell>
          <cell r="E532" t="str">
            <v>SIBATE</v>
          </cell>
          <cell r="F532" t="str">
            <v>Si</v>
          </cell>
          <cell r="G532" t="str">
            <v>No</v>
          </cell>
          <cell r="H532" t="str">
            <v>YESSLOPE</v>
          </cell>
          <cell r="I532">
            <v>46093</v>
          </cell>
        </row>
        <row r="533">
          <cell r="A533">
            <v>946</v>
          </cell>
          <cell r="B533" t="str">
            <v>BOGOTA Y CUNDINAMARCA</v>
          </cell>
          <cell r="C533" t="str">
            <v>Nidya Marcela Poveda Sanchez</v>
          </cell>
          <cell r="D533">
            <v>946</v>
          </cell>
          <cell r="E533" t="str">
            <v>SABANA NORTE CHIA</v>
          </cell>
          <cell r="F533" t="str">
            <v>Si</v>
          </cell>
          <cell r="G533" t="str">
            <v>Si</v>
          </cell>
          <cell r="H533" t="str">
            <v>OACHURY</v>
          </cell>
          <cell r="I533">
            <v>46098</v>
          </cell>
        </row>
        <row r="534">
          <cell r="A534">
            <v>948</v>
          </cell>
          <cell r="B534" t="str">
            <v>BOGOTA Y CUNDINAMARCA</v>
          </cell>
          <cell r="C534" t="str">
            <v>Victoria Eugenia Guaqueta Murcia</v>
          </cell>
          <cell r="D534">
            <v>948</v>
          </cell>
          <cell r="E534" t="str">
            <v xml:space="preserve">SUPERSOCIEDADES </v>
          </cell>
          <cell r="F534" t="str">
            <v>Si</v>
          </cell>
          <cell r="G534" t="str">
            <v>Si</v>
          </cell>
          <cell r="H534" t="str">
            <v>GYMORENO</v>
          </cell>
          <cell r="I534">
            <v>46093</v>
          </cell>
        </row>
        <row r="535">
          <cell r="A535">
            <v>951</v>
          </cell>
          <cell r="B535" t="str">
            <v>CARIBE</v>
          </cell>
          <cell r="C535" t="str">
            <v>Alicia Minerva Fontalvo Reales</v>
          </cell>
          <cell r="D535">
            <v>951</v>
          </cell>
          <cell r="E535" t="str">
            <v>BOSCONIA</v>
          </cell>
          <cell r="F535" t="str">
            <v>Si</v>
          </cell>
          <cell r="G535" t="str">
            <v>No</v>
          </cell>
          <cell r="H535" t="str">
            <v>LKORTIZ</v>
          </cell>
          <cell r="I535">
            <v>46099</v>
          </cell>
          <cell r="J535" t="str">
            <v>2 Días</v>
          </cell>
        </row>
        <row r="536">
          <cell r="A536">
            <v>957</v>
          </cell>
          <cell r="B536" t="str">
            <v>CARIBE</v>
          </cell>
          <cell r="C536" t="str">
            <v>German Alcides Hernandez Vivero</v>
          </cell>
          <cell r="D536">
            <v>957</v>
          </cell>
          <cell r="E536" t="str">
            <v>CENTRO COMERCIAL PARQUE ALEGRA</v>
          </cell>
          <cell r="F536" t="str">
            <v>Si</v>
          </cell>
          <cell r="G536" t="str">
            <v>No</v>
          </cell>
          <cell r="H536" t="str">
            <v>MCTRILL</v>
          </cell>
          <cell r="I536">
            <v>46086</v>
          </cell>
          <cell r="J536" t="str">
            <v>2 Días</v>
          </cell>
        </row>
        <row r="537">
          <cell r="A537">
            <v>959</v>
          </cell>
          <cell r="B537" t="str">
            <v>ANTIOQUIA</v>
          </cell>
          <cell r="C537" t="str">
            <v>Julian Alejandro Rodriguez Escobar</v>
          </cell>
          <cell r="D537">
            <v>959</v>
          </cell>
          <cell r="E537" t="str">
            <v>TURBO</v>
          </cell>
          <cell r="F537" t="str">
            <v>Si</v>
          </cell>
          <cell r="G537" t="str">
            <v>Si</v>
          </cell>
          <cell r="H537" t="str">
            <v>JUVCANTI</v>
          </cell>
          <cell r="I537">
            <v>46099</v>
          </cell>
        </row>
        <row r="538">
          <cell r="A538">
            <v>961</v>
          </cell>
          <cell r="B538" t="str">
            <v>CARIBE</v>
          </cell>
          <cell r="C538" t="str">
            <v>German Alcides Hernandez Vivero</v>
          </cell>
          <cell r="D538">
            <v>961</v>
          </cell>
          <cell r="E538" t="str">
            <v>BANCA COLOMBIA BARRANQUILLA</v>
          </cell>
          <cell r="F538" t="str">
            <v>Si</v>
          </cell>
          <cell r="G538" t="str">
            <v>Si</v>
          </cell>
          <cell r="H538" t="str">
            <v>OTRIVINO</v>
          </cell>
          <cell r="I538">
            <v>46093</v>
          </cell>
        </row>
        <row r="539">
          <cell r="A539">
            <v>963</v>
          </cell>
          <cell r="B539" t="str">
            <v>BOGOTA Y CUNDINAMARCA</v>
          </cell>
          <cell r="C539" t="str">
            <v>Kirsys Nadyra Robelto Sanchez</v>
          </cell>
          <cell r="D539">
            <v>963</v>
          </cell>
          <cell r="E539" t="str">
            <v>BANCA COLOMBIA  AVENIDA CHILE</v>
          </cell>
          <cell r="F539" t="str">
            <v>Si</v>
          </cell>
          <cell r="G539" t="str">
            <v>Si</v>
          </cell>
          <cell r="H539" t="str">
            <v>MMOLANO</v>
          </cell>
          <cell r="I539">
            <v>46099</v>
          </cell>
        </row>
        <row r="540">
          <cell r="A540">
            <v>966</v>
          </cell>
          <cell r="B540" t="str">
            <v>CARIBE</v>
          </cell>
          <cell r="C540" t="str">
            <v>Magaly Del Socorro Cabrales Isaac</v>
          </cell>
          <cell r="D540">
            <v>966</v>
          </cell>
          <cell r="E540" t="str">
            <v>MONTELIBANO</v>
          </cell>
          <cell r="F540" t="str">
            <v>Si</v>
          </cell>
          <cell r="G540" t="str">
            <v>Si</v>
          </cell>
          <cell r="H540" t="str">
            <v>HCARDOZO</v>
          </cell>
          <cell r="I540">
            <v>46086</v>
          </cell>
        </row>
        <row r="541">
          <cell r="A541">
            <v>967</v>
          </cell>
          <cell r="B541" t="str">
            <v>SUR</v>
          </cell>
          <cell r="C541" t="str">
            <v>Yamileth Abella Bonilla</v>
          </cell>
          <cell r="D541">
            <v>967</v>
          </cell>
          <cell r="E541" t="str">
            <v>BANCA COLOMBIA GRANADA CALI</v>
          </cell>
          <cell r="F541" t="str">
            <v>Si</v>
          </cell>
          <cell r="G541" t="str">
            <v>No</v>
          </cell>
          <cell r="H541" t="str">
            <v>ANIBANEZ</v>
          </cell>
          <cell r="I541">
            <v>46092</v>
          </cell>
        </row>
        <row r="542">
          <cell r="A542">
            <v>972</v>
          </cell>
          <cell r="B542" t="str">
            <v>SUR</v>
          </cell>
          <cell r="C542" t="str">
            <v>Norma Constanza Barrera Pabon</v>
          </cell>
          <cell r="D542">
            <v>972</v>
          </cell>
          <cell r="E542" t="str">
            <v>CENTRO COMERCIAL UNICO PASTO</v>
          </cell>
          <cell r="F542" t="str">
            <v>Si</v>
          </cell>
          <cell r="G542" t="str">
            <v>No</v>
          </cell>
          <cell r="H542" t="str">
            <v>MARORDON</v>
          </cell>
          <cell r="I542">
            <v>46092</v>
          </cell>
          <cell r="J542" t="str">
            <v>2 Días</v>
          </cell>
        </row>
        <row r="543">
          <cell r="A543">
            <v>991</v>
          </cell>
          <cell r="B543" t="str">
            <v>ANTIOQUIA</v>
          </cell>
          <cell r="C543" t="str">
            <v>Natalia Zuluaga Rodriguez</v>
          </cell>
          <cell r="D543">
            <v>991</v>
          </cell>
          <cell r="E543" t="str">
            <v>VIVA PALMAS</v>
          </cell>
          <cell r="F543" t="str">
            <v>Si</v>
          </cell>
          <cell r="G543" t="str">
            <v>No</v>
          </cell>
          <cell r="H543" t="str">
            <v>ANMSANCH</v>
          </cell>
          <cell r="I543">
            <v>46100</v>
          </cell>
          <cell r="J543" t="str">
            <v>2 Días</v>
          </cell>
        </row>
        <row r="544">
          <cell r="A544">
            <v>992</v>
          </cell>
          <cell r="B544" t="str">
            <v>SUR</v>
          </cell>
          <cell r="C544" t="str">
            <v>Norma Constanza Barrera Pabon</v>
          </cell>
          <cell r="D544">
            <v>992</v>
          </cell>
          <cell r="E544" t="str">
            <v>GUACHENE</v>
          </cell>
          <cell r="F544" t="str">
            <v>Si</v>
          </cell>
          <cell r="G544" t="str">
            <v>Si</v>
          </cell>
          <cell r="H544" t="str">
            <v>RICASTRI</v>
          </cell>
          <cell r="I544">
            <v>46086</v>
          </cell>
        </row>
        <row r="545">
          <cell r="A545">
            <v>993</v>
          </cell>
          <cell r="B545" t="str">
            <v>ANTIOQUIA</v>
          </cell>
          <cell r="C545" t="str">
            <v>Sandra Milena Cardona Franco</v>
          </cell>
          <cell r="D545">
            <v>993</v>
          </cell>
          <cell r="E545" t="str">
            <v>URRAO ANTIOQUIA</v>
          </cell>
          <cell r="F545" t="str">
            <v>Si</v>
          </cell>
          <cell r="G545" t="str">
            <v>No</v>
          </cell>
          <cell r="H545" t="str">
            <v>ROSOTO</v>
          </cell>
          <cell r="I545">
            <v>46091</v>
          </cell>
        </row>
      </sheetData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sta 1" id="{65BC363A-CBC6-4A98-9BDE-F9918039A64C}"/>
  <namedSheetView name="Vista 2" id="{D2CE90FE-5E53-4A19-A8BD-0F6C734475D2}"/>
  <namedSheetView name="Vista 3" id="{3585CAA5-B1C5-48BF-AF31-671C813AD19F}"/>
  <namedSheetView name="Vista 4" id="{76628B0D-3AB2-427B-9805-92974416FE62}"/>
  <namedSheetView name="Vista 5" id="{7C5C64C3-0B3C-4931-BDC6-A48C66EDD61A}"/>
  <namedSheetView name="Vista 6" id="{AE94BECE-13E5-4B30-B831-20A3A9566577}"/>
  <namedSheetView name="Vista 7" id="{61B355E0-5749-4236-B59C-5EC9133C953F}"/>
  <namedSheetView name="Vista 8" id="{9215ADA3-AF9E-4FBF-A420-DDC3F197780A}"/>
  <namedSheetView name="Vista 9" id="{DC47CFE3-40DD-42D2-A2AA-C0CA6A8B04CC}"/>
  <namedSheetView name="Vista 10" id="{66FFCFA0-7851-4508-912C-6A588FF602A4}"/>
  <namedSheetView name="Vista 11" id="{8C0E8EFD-F278-4265-B588-66AEE1C5388D}"/>
  <namedSheetView name="Vista 12" id="{A0249525-A8E4-45A1-B904-29349FC7F631}">
    <nsvFilter filterId="{4CA7671C-9926-4D00-BFA4-A7B2406C1955}" ref="A1:P510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>
  <namedSheetView name="Vista 1" id="{67D4AD7F-679A-4660-8827-9908A5D17A9D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671C-9926-4D00-BFA4-A7B2406C1955}">
  <sheetPr codeName="Hoja3"/>
  <dimension ref="A1:AI552"/>
  <sheetViews>
    <sheetView tabSelected="1" topLeftCell="K1" zoomScale="84" zoomScaleNormal="84" workbookViewId="0">
      <pane ySplit="1" topLeftCell="A502" activePane="bottomLeft" state="frozen"/>
      <selection pane="bottomLeft" activeCell="O511" sqref="O511"/>
    </sheetView>
  </sheetViews>
  <sheetFormatPr baseColWidth="10" defaultColWidth="12.453125" defaultRowHeight="14.5" x14ac:dyDescent="0.35"/>
  <cols>
    <col min="1" max="1" width="11.08984375" style="5" bestFit="1" customWidth="1"/>
    <col min="2" max="2" width="11.81640625" style="19" bestFit="1" customWidth="1"/>
    <col min="3" max="3" width="11.81640625" hidden="1" customWidth="1"/>
    <col min="4" max="4" width="13.6328125" customWidth="1"/>
    <col min="5" max="5" width="15.36328125" style="7" bestFit="1" customWidth="1"/>
    <col min="6" max="6" width="18.1796875" style="7" bestFit="1" customWidth="1"/>
    <col min="7" max="7" width="9.81640625" style="20" customWidth="1"/>
    <col min="8" max="8" width="14.81640625" customWidth="1"/>
    <col min="9" max="9" width="13.08984375" customWidth="1"/>
    <col min="10" max="10" width="13" customWidth="1"/>
    <col min="11" max="11" width="13.08984375" customWidth="1"/>
    <col min="12" max="12" width="15.7265625" style="53" customWidth="1"/>
    <col min="13" max="13" width="13.08984375" bestFit="1" customWidth="1"/>
    <col min="14" max="14" width="10.36328125" style="22" bestFit="1" customWidth="1"/>
    <col min="15" max="15" width="47.453125" style="25" customWidth="1"/>
    <col min="16" max="16" width="11.81640625" bestFit="1" customWidth="1"/>
  </cols>
  <sheetData>
    <row r="1" spans="1:16" s="5" customFormat="1" ht="47" customHeight="1" x14ac:dyDescent="0.35">
      <c r="A1" s="80" t="s">
        <v>265</v>
      </c>
      <c r="B1" s="81" t="s">
        <v>3</v>
      </c>
      <c r="C1" s="82" t="s">
        <v>4</v>
      </c>
      <c r="D1" s="80" t="s">
        <v>259</v>
      </c>
      <c r="E1" s="83" t="s">
        <v>257</v>
      </c>
      <c r="F1" s="83" t="s">
        <v>242</v>
      </c>
      <c r="G1" s="84" t="s">
        <v>241</v>
      </c>
      <c r="H1" s="83" t="s">
        <v>243</v>
      </c>
      <c r="I1" s="85" t="s">
        <v>238</v>
      </c>
      <c r="J1" s="85" t="s">
        <v>0</v>
      </c>
      <c r="K1" s="85" t="s">
        <v>1</v>
      </c>
      <c r="L1" s="83" t="s">
        <v>441</v>
      </c>
      <c r="M1" s="83" t="s">
        <v>245</v>
      </c>
      <c r="N1" s="86" t="s">
        <v>239</v>
      </c>
      <c r="O1" s="83" t="s">
        <v>240</v>
      </c>
      <c r="P1" s="83" t="s">
        <v>244</v>
      </c>
    </row>
    <row r="2" spans="1:16" x14ac:dyDescent="0.35">
      <c r="A2" s="70">
        <v>4</v>
      </c>
      <c r="B2" s="28">
        <v>316</v>
      </c>
      <c r="C2" s="18" t="str">
        <f>VLOOKUP(B2,'Lista MF'!B:C,2,0)</f>
        <v>BELLTECH</v>
      </c>
      <c r="D2" s="28" t="s">
        <v>6</v>
      </c>
      <c r="E2" s="29">
        <v>46084</v>
      </c>
      <c r="F2" s="29">
        <v>46083</v>
      </c>
      <c r="G2" s="45" t="s">
        <v>535</v>
      </c>
      <c r="H2" s="8">
        <v>165401700</v>
      </c>
      <c r="I2" s="31">
        <v>152849650</v>
      </c>
      <c r="J2" s="8">
        <v>10330000</v>
      </c>
      <c r="K2" s="8">
        <v>30416000</v>
      </c>
      <c r="L2" s="52">
        <f>1660000+2920000+2690000</f>
        <v>7270000</v>
      </c>
      <c r="M2" s="6">
        <f t="shared" ref="M2:M33" si="0">I2-(H2+J2-K2)-L2</f>
        <v>263950</v>
      </c>
      <c r="N2" s="21" t="str">
        <f t="shared" ref="N2:N33" si="1">IF(M2="","",IF(M2=0,"Cuadrado",IF(M2&gt;0,"Faltante","Sobrante")))</f>
        <v>Faltante</v>
      </c>
      <c r="O2" s="65" t="s">
        <v>271</v>
      </c>
      <c r="P2" s="54">
        <v>71278620</v>
      </c>
    </row>
    <row r="3" spans="1:16" x14ac:dyDescent="0.35">
      <c r="A3" s="70">
        <v>4</v>
      </c>
      <c r="B3" s="28">
        <v>8630</v>
      </c>
      <c r="C3" s="18" t="str">
        <f>VLOOKUP(B3,'Lista MF'!B:C,2,0)</f>
        <v>BELLTECH</v>
      </c>
      <c r="D3" s="36" t="s">
        <v>6</v>
      </c>
      <c r="E3" s="29">
        <v>46084</v>
      </c>
      <c r="F3" s="29">
        <v>46083</v>
      </c>
      <c r="G3" s="45" t="s">
        <v>588</v>
      </c>
      <c r="H3" s="8">
        <v>340986350</v>
      </c>
      <c r="I3" s="31">
        <v>309933350</v>
      </c>
      <c r="J3" s="8">
        <v>1640000</v>
      </c>
      <c r="K3" s="8">
        <v>32693000</v>
      </c>
      <c r="L3" s="52"/>
      <c r="M3" s="6">
        <f t="shared" si="0"/>
        <v>0</v>
      </c>
      <c r="N3" s="21" t="str">
        <f t="shared" si="1"/>
        <v>Cuadrado</v>
      </c>
      <c r="O3" s="4" t="s">
        <v>590</v>
      </c>
      <c r="P3" s="54">
        <v>71278620</v>
      </c>
    </row>
    <row r="4" spans="1:16" x14ac:dyDescent="0.35">
      <c r="A4" s="70">
        <v>4</v>
      </c>
      <c r="B4" s="28">
        <v>8631</v>
      </c>
      <c r="C4" s="18" t="str">
        <f>VLOOKUP(B4,'Lista MF'!B:C,2,0)</f>
        <v>BELLTECH</v>
      </c>
      <c r="D4" s="36" t="s">
        <v>6</v>
      </c>
      <c r="E4" s="29">
        <v>46084</v>
      </c>
      <c r="F4" s="29">
        <v>46083</v>
      </c>
      <c r="G4" s="45" t="s">
        <v>589</v>
      </c>
      <c r="H4" s="8">
        <v>212123550</v>
      </c>
      <c r="I4" s="31">
        <v>170623550</v>
      </c>
      <c r="J4" s="8">
        <v>15550000</v>
      </c>
      <c r="K4" s="8">
        <v>57050000</v>
      </c>
      <c r="L4" s="52"/>
      <c r="M4" s="6">
        <f t="shared" si="0"/>
        <v>0</v>
      </c>
      <c r="N4" s="21" t="str">
        <f t="shared" si="1"/>
        <v>Cuadrado</v>
      </c>
      <c r="O4" s="4" t="s">
        <v>590</v>
      </c>
      <c r="P4" s="54">
        <v>71278620</v>
      </c>
    </row>
    <row r="5" spans="1:16" x14ac:dyDescent="0.35">
      <c r="A5" s="70">
        <v>5</v>
      </c>
      <c r="B5" s="28">
        <v>4866</v>
      </c>
      <c r="C5" s="18" t="str">
        <f>VLOOKUP(B5,'Lista MF'!B:C,2,0)</f>
        <v>DIEBOLD</v>
      </c>
      <c r="D5" s="28" t="s">
        <v>6</v>
      </c>
      <c r="E5" s="29">
        <v>46084</v>
      </c>
      <c r="F5" s="29">
        <v>46083</v>
      </c>
      <c r="G5" s="45" t="s">
        <v>541</v>
      </c>
      <c r="H5" s="8">
        <v>204655550</v>
      </c>
      <c r="I5" s="31">
        <v>144824400</v>
      </c>
      <c r="J5" s="8">
        <v>9970000</v>
      </c>
      <c r="K5" s="8">
        <v>69703150</v>
      </c>
      <c r="L5" s="52"/>
      <c r="M5" s="6">
        <f t="shared" si="0"/>
        <v>-98000</v>
      </c>
      <c r="N5" s="21" t="str">
        <f t="shared" si="1"/>
        <v>Sobrante</v>
      </c>
      <c r="O5" s="9" t="s">
        <v>592</v>
      </c>
      <c r="P5" s="54">
        <v>43824478</v>
      </c>
    </row>
    <row r="6" spans="1:16" x14ac:dyDescent="0.35">
      <c r="A6" s="70">
        <v>7</v>
      </c>
      <c r="B6" s="28">
        <v>5059</v>
      </c>
      <c r="C6" s="18" t="str">
        <f>VLOOKUP(B6,'Lista MF'!B:C,2,0)</f>
        <v>BELLTECH</v>
      </c>
      <c r="D6" s="28" t="s">
        <v>6</v>
      </c>
      <c r="E6" s="29">
        <v>46084</v>
      </c>
      <c r="F6" s="29">
        <v>46083</v>
      </c>
      <c r="G6" s="45" t="s">
        <v>547</v>
      </c>
      <c r="H6" s="8">
        <v>198375050</v>
      </c>
      <c r="I6" s="31">
        <v>200485150</v>
      </c>
      <c r="J6" s="8">
        <v>7370000</v>
      </c>
      <c r="K6" s="8">
        <v>0</v>
      </c>
      <c r="L6" s="52"/>
      <c r="M6" s="6">
        <f t="shared" si="0"/>
        <v>-5259900</v>
      </c>
      <c r="N6" s="21" t="str">
        <f t="shared" si="1"/>
        <v>Sobrante</v>
      </c>
      <c r="O6" s="9" t="s">
        <v>592</v>
      </c>
      <c r="P6" s="54">
        <v>1017155472</v>
      </c>
    </row>
    <row r="7" spans="1:16" x14ac:dyDescent="0.35">
      <c r="A7" s="70">
        <v>7</v>
      </c>
      <c r="B7" s="28">
        <v>7812</v>
      </c>
      <c r="C7" s="18" t="str">
        <f>VLOOKUP(B7,'Lista MF'!B:C,2,0)</f>
        <v>DIEBOLD</v>
      </c>
      <c r="D7" s="28" t="s">
        <v>6</v>
      </c>
      <c r="E7" s="29">
        <v>46084</v>
      </c>
      <c r="F7" s="29">
        <v>46083</v>
      </c>
      <c r="G7" s="45" t="s">
        <v>562</v>
      </c>
      <c r="H7" s="8">
        <v>69564800</v>
      </c>
      <c r="I7" s="31">
        <v>77472800</v>
      </c>
      <c r="J7" s="8">
        <v>4500000</v>
      </c>
      <c r="K7" s="8">
        <v>4955000</v>
      </c>
      <c r="L7" s="52">
        <v>8363000</v>
      </c>
      <c r="M7" s="6">
        <f t="shared" si="0"/>
        <v>0</v>
      </c>
      <c r="N7" s="21" t="str">
        <f t="shared" si="1"/>
        <v>Cuadrado</v>
      </c>
      <c r="O7" s="55" t="s">
        <v>590</v>
      </c>
      <c r="P7" s="54">
        <v>1017155472</v>
      </c>
    </row>
    <row r="8" spans="1:16" x14ac:dyDescent="0.35">
      <c r="A8" s="70">
        <v>15</v>
      </c>
      <c r="B8" s="28">
        <v>8578</v>
      </c>
      <c r="C8" s="18" t="str">
        <f>VLOOKUP(B8,'Lista MF'!B:C,2,0)</f>
        <v>BELLTECH</v>
      </c>
      <c r="D8" s="28" t="s">
        <v>6</v>
      </c>
      <c r="E8" s="29">
        <v>46084</v>
      </c>
      <c r="F8" s="29">
        <v>46083</v>
      </c>
      <c r="G8" s="45" t="s">
        <v>566</v>
      </c>
      <c r="H8" s="8">
        <v>37305450</v>
      </c>
      <c r="I8" s="31">
        <v>53765450</v>
      </c>
      <c r="J8" s="8">
        <v>45750000</v>
      </c>
      <c r="K8" s="8">
        <v>28525000</v>
      </c>
      <c r="L8" s="52"/>
      <c r="M8" s="6">
        <f t="shared" si="0"/>
        <v>-765000</v>
      </c>
      <c r="N8" s="21" t="str">
        <f t="shared" si="1"/>
        <v>Sobrante</v>
      </c>
      <c r="O8" s="9" t="s">
        <v>592</v>
      </c>
      <c r="P8" s="54">
        <v>1037325417</v>
      </c>
    </row>
    <row r="9" spans="1:16" x14ac:dyDescent="0.35">
      <c r="A9" s="70">
        <v>33</v>
      </c>
      <c r="B9" s="28">
        <v>8861</v>
      </c>
      <c r="C9" s="18" t="str">
        <f>VLOOKUP(B9,'Lista MF'!B:C,2,0)</f>
        <v>BELLTECH</v>
      </c>
      <c r="D9" s="28" t="s">
        <v>6</v>
      </c>
      <c r="E9" s="29">
        <v>46084</v>
      </c>
      <c r="F9" s="29">
        <v>46083</v>
      </c>
      <c r="G9" s="45" t="s">
        <v>565</v>
      </c>
      <c r="H9" s="8">
        <v>134901800</v>
      </c>
      <c r="I9" s="31">
        <v>168074400</v>
      </c>
      <c r="J9" s="8">
        <v>23520000</v>
      </c>
      <c r="K9" s="8">
        <v>11607400</v>
      </c>
      <c r="L9" s="52"/>
      <c r="M9" s="6">
        <f t="shared" si="0"/>
        <v>21260000</v>
      </c>
      <c r="N9" s="21" t="str">
        <f t="shared" si="1"/>
        <v>Faltante</v>
      </c>
      <c r="O9" s="13" t="s">
        <v>593</v>
      </c>
      <c r="P9" s="54">
        <v>79659379</v>
      </c>
    </row>
    <row r="10" spans="1:16" x14ac:dyDescent="0.35">
      <c r="A10" s="70">
        <v>54</v>
      </c>
      <c r="B10" s="28">
        <v>6204</v>
      </c>
      <c r="C10" s="18" t="str">
        <f>VLOOKUP(B10,'Lista MF'!B:C,2,0)</f>
        <v>BELLTECH</v>
      </c>
      <c r="D10" s="28" t="s">
        <v>6</v>
      </c>
      <c r="E10" s="29">
        <v>46084</v>
      </c>
      <c r="F10" s="29">
        <v>46083</v>
      </c>
      <c r="G10" s="45" t="s">
        <v>540</v>
      </c>
      <c r="H10" s="8">
        <v>240573750</v>
      </c>
      <c r="I10" s="31">
        <v>241908750</v>
      </c>
      <c r="J10" s="8">
        <v>3880000</v>
      </c>
      <c r="K10" s="8">
        <v>0</v>
      </c>
      <c r="L10" s="52"/>
      <c r="M10" s="6">
        <f t="shared" si="0"/>
        <v>-2545000</v>
      </c>
      <c r="N10" s="21" t="str">
        <f t="shared" si="1"/>
        <v>Sobrante</v>
      </c>
      <c r="O10" s="9" t="s">
        <v>592</v>
      </c>
      <c r="P10" s="54">
        <v>1019068822</v>
      </c>
    </row>
    <row r="11" spans="1:16" x14ac:dyDescent="0.35">
      <c r="A11" s="70">
        <v>60</v>
      </c>
      <c r="B11" s="28">
        <v>8729</v>
      </c>
      <c r="C11" s="18" t="str">
        <f>VLOOKUP(B11,'Lista MF'!B:C,2,0)</f>
        <v>BELLTECH</v>
      </c>
      <c r="D11" s="28" t="s">
        <v>6</v>
      </c>
      <c r="E11" s="29">
        <v>46084</v>
      </c>
      <c r="F11" s="29">
        <v>46083</v>
      </c>
      <c r="G11" s="45" t="s">
        <v>569</v>
      </c>
      <c r="H11" s="8">
        <v>43414250</v>
      </c>
      <c r="I11" s="31">
        <v>32468250</v>
      </c>
      <c r="J11" s="8">
        <v>18200000</v>
      </c>
      <c r="K11" s="8">
        <v>29196000</v>
      </c>
      <c r="L11" s="52">
        <v>50000</v>
      </c>
      <c r="M11" s="6">
        <f t="shared" si="0"/>
        <v>0</v>
      </c>
      <c r="N11" s="21" t="str">
        <f t="shared" si="1"/>
        <v>Cuadrado</v>
      </c>
      <c r="O11" s="55" t="s">
        <v>590</v>
      </c>
      <c r="P11" s="54">
        <v>14697128</v>
      </c>
    </row>
    <row r="12" spans="1:16" x14ac:dyDescent="0.35">
      <c r="A12" s="70">
        <v>61</v>
      </c>
      <c r="B12" s="28">
        <v>788</v>
      </c>
      <c r="C12" s="18" t="str">
        <f>VLOOKUP(B12,'Lista MF'!B:C,2,0)</f>
        <v>BELLTECH</v>
      </c>
      <c r="D12" s="28" t="s">
        <v>99</v>
      </c>
      <c r="E12" s="29">
        <v>46084</v>
      </c>
      <c r="F12" s="29">
        <v>46083</v>
      </c>
      <c r="G12" s="45" t="s">
        <v>536</v>
      </c>
      <c r="H12" s="8">
        <v>149527500</v>
      </c>
      <c r="I12" s="31">
        <v>155897500</v>
      </c>
      <c r="J12" s="8">
        <v>16070000</v>
      </c>
      <c r="K12" s="8">
        <v>9900000</v>
      </c>
      <c r="L12" s="52"/>
      <c r="M12" s="6">
        <f t="shared" si="0"/>
        <v>200000</v>
      </c>
      <c r="N12" s="21" t="str">
        <f t="shared" si="1"/>
        <v>Faltante</v>
      </c>
      <c r="O12" s="55" t="s">
        <v>622</v>
      </c>
      <c r="P12" s="54">
        <v>16497924</v>
      </c>
    </row>
    <row r="13" spans="1:16" x14ac:dyDescent="0.35">
      <c r="A13" s="70">
        <v>77</v>
      </c>
      <c r="B13" s="28">
        <v>5204</v>
      </c>
      <c r="C13" s="18" t="str">
        <f>VLOOKUP(B13,'Lista MF'!B:C,2,0)</f>
        <v>BELLTECH</v>
      </c>
      <c r="D13" s="28" t="s">
        <v>99</v>
      </c>
      <c r="E13" s="29">
        <v>46084</v>
      </c>
      <c r="F13" s="29">
        <v>46080</v>
      </c>
      <c r="G13" s="45" t="s">
        <v>575</v>
      </c>
      <c r="H13" s="8">
        <v>125379500</v>
      </c>
      <c r="I13" s="31">
        <v>138577800</v>
      </c>
      <c r="J13" s="8">
        <v>31520000</v>
      </c>
      <c r="K13" s="8">
        <v>18321700</v>
      </c>
      <c r="L13" s="52"/>
      <c r="M13" s="6">
        <f t="shared" si="0"/>
        <v>0</v>
      </c>
      <c r="N13" s="21" t="str">
        <f t="shared" si="1"/>
        <v>Cuadrado</v>
      </c>
      <c r="O13" s="55" t="s">
        <v>590</v>
      </c>
      <c r="P13" s="54">
        <v>94493031</v>
      </c>
    </row>
    <row r="14" spans="1:16" x14ac:dyDescent="0.35">
      <c r="A14" s="70">
        <v>115</v>
      </c>
      <c r="B14" s="28">
        <v>5080</v>
      </c>
      <c r="C14" s="18" t="str">
        <f>VLOOKUP(B14,'Lista MF'!B:C,2,0)</f>
        <v>BELLTECH</v>
      </c>
      <c r="D14" s="28" t="s">
        <v>6</v>
      </c>
      <c r="E14" s="29">
        <v>46084</v>
      </c>
      <c r="F14" s="29">
        <v>46083</v>
      </c>
      <c r="G14" s="45" t="s">
        <v>548</v>
      </c>
      <c r="H14" s="8">
        <v>117021700</v>
      </c>
      <c r="I14" s="31">
        <v>127700600</v>
      </c>
      <c r="J14" s="8">
        <v>13120000</v>
      </c>
      <c r="K14" s="8">
        <v>2441000</v>
      </c>
      <c r="L14" s="52"/>
      <c r="M14" s="6">
        <f t="shared" si="0"/>
        <v>-100</v>
      </c>
      <c r="N14" s="21" t="str">
        <f t="shared" si="1"/>
        <v>Sobrante</v>
      </c>
      <c r="O14" s="9" t="s">
        <v>592</v>
      </c>
      <c r="P14" s="54">
        <v>42158306</v>
      </c>
    </row>
    <row r="15" spans="1:16" x14ac:dyDescent="0.35">
      <c r="A15" s="70">
        <v>185</v>
      </c>
      <c r="B15" s="28">
        <v>2208</v>
      </c>
      <c r="C15" s="18" t="str">
        <f>VLOOKUP(B15,'Lista MF'!B:C,2,0)</f>
        <v>DIEBOLD</v>
      </c>
      <c r="D15" s="28" t="s">
        <v>6</v>
      </c>
      <c r="E15" s="29">
        <v>46084</v>
      </c>
      <c r="F15" s="29">
        <v>46083</v>
      </c>
      <c r="G15" s="45" t="s">
        <v>538</v>
      </c>
      <c r="H15" s="8">
        <v>72642500</v>
      </c>
      <c r="I15" s="31">
        <v>81285500</v>
      </c>
      <c r="J15" s="8">
        <v>60000</v>
      </c>
      <c r="K15" s="8">
        <v>1765000</v>
      </c>
      <c r="L15" s="52">
        <v>8823300</v>
      </c>
      <c r="M15" s="6">
        <f t="shared" si="0"/>
        <v>1524700</v>
      </c>
      <c r="N15" s="21" t="str">
        <f t="shared" si="1"/>
        <v>Faltante</v>
      </c>
      <c r="O15" s="55" t="s">
        <v>622</v>
      </c>
      <c r="P15" s="54">
        <v>66784636</v>
      </c>
    </row>
    <row r="16" spans="1:16" x14ac:dyDescent="0.35">
      <c r="A16" s="71">
        <v>191</v>
      </c>
      <c r="B16" s="28">
        <v>5112</v>
      </c>
      <c r="C16" s="18" t="str">
        <f>VLOOKUP(B16,'Lista MF'!B:C,2,0)</f>
        <v>BELLTECH</v>
      </c>
      <c r="D16" s="28" t="s">
        <v>6</v>
      </c>
      <c r="E16" s="29">
        <v>46084</v>
      </c>
      <c r="F16" s="29">
        <v>46081</v>
      </c>
      <c r="G16" s="45" t="s">
        <v>579</v>
      </c>
      <c r="H16" s="8">
        <v>293735350</v>
      </c>
      <c r="I16" s="31">
        <v>293735350</v>
      </c>
      <c r="J16" s="8">
        <v>0</v>
      </c>
      <c r="K16" s="8">
        <v>0</v>
      </c>
      <c r="L16" s="52"/>
      <c r="M16" s="6">
        <f t="shared" si="0"/>
        <v>0</v>
      </c>
      <c r="N16" s="21" t="str">
        <f t="shared" si="1"/>
        <v>Cuadrado</v>
      </c>
      <c r="O16" s="55" t="s">
        <v>590</v>
      </c>
      <c r="P16" s="54">
        <v>80812756</v>
      </c>
    </row>
    <row r="17" spans="1:16" x14ac:dyDescent="0.35">
      <c r="A17" s="71">
        <v>221</v>
      </c>
      <c r="B17" s="28">
        <v>5221</v>
      </c>
      <c r="C17" s="18" t="str">
        <f>VLOOKUP(B17,'Lista MF'!B:C,2,0)</f>
        <v>BELLTECH</v>
      </c>
      <c r="D17" s="28" t="s">
        <v>6</v>
      </c>
      <c r="E17" s="29">
        <v>46084</v>
      </c>
      <c r="F17" s="29">
        <v>46081</v>
      </c>
      <c r="G17" s="45" t="s">
        <v>581</v>
      </c>
      <c r="H17" s="8">
        <v>110352600</v>
      </c>
      <c r="I17" s="31">
        <v>174772600</v>
      </c>
      <c r="J17" s="8">
        <v>64420000</v>
      </c>
      <c r="K17" s="8">
        <v>0</v>
      </c>
      <c r="L17" s="52"/>
      <c r="M17" s="6">
        <f t="shared" si="0"/>
        <v>0</v>
      </c>
      <c r="N17" s="21" t="str">
        <f t="shared" si="1"/>
        <v>Cuadrado</v>
      </c>
      <c r="O17" s="55" t="s">
        <v>590</v>
      </c>
      <c r="P17" s="54">
        <v>52833254</v>
      </c>
    </row>
    <row r="18" spans="1:16" x14ac:dyDescent="0.35">
      <c r="A18" s="70">
        <v>231</v>
      </c>
      <c r="B18" s="28">
        <v>6243</v>
      </c>
      <c r="C18" s="18" t="str">
        <f>VLOOKUP(B18,'Lista MF'!B:C,2,0)</f>
        <v>BELLTECH</v>
      </c>
      <c r="D18" s="28" t="s">
        <v>6</v>
      </c>
      <c r="E18" s="29">
        <v>46084</v>
      </c>
      <c r="F18" s="29">
        <v>46083</v>
      </c>
      <c r="G18" s="45" t="s">
        <v>556</v>
      </c>
      <c r="H18" s="8">
        <v>140183150</v>
      </c>
      <c r="I18" s="31">
        <v>138868150</v>
      </c>
      <c r="J18" s="8">
        <v>0</v>
      </c>
      <c r="K18" s="8">
        <v>0</v>
      </c>
      <c r="L18" s="52"/>
      <c r="M18" s="6">
        <f t="shared" si="0"/>
        <v>-1315000</v>
      </c>
      <c r="N18" s="21" t="str">
        <f t="shared" si="1"/>
        <v>Sobrante</v>
      </c>
      <c r="O18" s="9" t="s">
        <v>592</v>
      </c>
      <c r="P18" s="54">
        <v>52979634</v>
      </c>
    </row>
    <row r="19" spans="1:16" x14ac:dyDescent="0.35">
      <c r="A19" s="70">
        <v>236</v>
      </c>
      <c r="B19" s="28">
        <v>8497</v>
      </c>
      <c r="C19" s="18" t="str">
        <f>VLOOKUP(B19,'Lista MF'!B:C,2,0)</f>
        <v>BELLTECH</v>
      </c>
      <c r="D19" s="28" t="s">
        <v>6</v>
      </c>
      <c r="E19" s="29">
        <v>46084</v>
      </c>
      <c r="F19" s="29">
        <v>46083</v>
      </c>
      <c r="G19" s="45" t="s">
        <v>565</v>
      </c>
      <c r="H19" s="8">
        <v>91447850</v>
      </c>
      <c r="I19" s="31">
        <v>328503750</v>
      </c>
      <c r="J19" s="8">
        <v>25800000</v>
      </c>
      <c r="K19" s="8">
        <v>67128000</v>
      </c>
      <c r="L19" s="52">
        <v>281748000</v>
      </c>
      <c r="M19" s="6">
        <f t="shared" si="0"/>
        <v>-3364100</v>
      </c>
      <c r="N19" s="21" t="str">
        <f t="shared" si="1"/>
        <v>Sobrante</v>
      </c>
      <c r="O19" s="9" t="s">
        <v>592</v>
      </c>
      <c r="P19" s="54">
        <v>71369714</v>
      </c>
    </row>
    <row r="20" spans="1:16" x14ac:dyDescent="0.35">
      <c r="A20" s="70">
        <v>261</v>
      </c>
      <c r="B20" s="28">
        <v>5048</v>
      </c>
      <c r="C20" s="18" t="str">
        <f>VLOOKUP(B20,'Lista MF'!B:C,2,0)</f>
        <v>BELLTECH</v>
      </c>
      <c r="D20" s="28" t="s">
        <v>6</v>
      </c>
      <c r="E20" s="29">
        <v>46084</v>
      </c>
      <c r="F20" s="29">
        <v>46083</v>
      </c>
      <c r="G20" s="45" t="s">
        <v>544</v>
      </c>
      <c r="H20" s="8">
        <v>289683850</v>
      </c>
      <c r="I20" s="31">
        <v>234003350</v>
      </c>
      <c r="J20" s="8">
        <v>12930000</v>
      </c>
      <c r="K20" s="8">
        <v>54614950</v>
      </c>
      <c r="L20" s="52"/>
      <c r="M20" s="6">
        <f t="shared" si="0"/>
        <v>-13995550</v>
      </c>
      <c r="N20" s="21" t="str">
        <f t="shared" si="1"/>
        <v>Sobrante</v>
      </c>
      <c r="O20" s="55" t="s">
        <v>622</v>
      </c>
      <c r="P20" s="54">
        <v>34327627</v>
      </c>
    </row>
    <row r="21" spans="1:16" x14ac:dyDescent="0.35">
      <c r="A21" s="70">
        <v>262</v>
      </c>
      <c r="B21" s="28">
        <v>5153</v>
      </c>
      <c r="C21" s="18" t="str">
        <f>VLOOKUP(B21,'Lista MF'!B:C,2,0)</f>
        <v>BELLTECH</v>
      </c>
      <c r="D21" s="28" t="s">
        <v>6</v>
      </c>
      <c r="E21" s="29">
        <v>46084</v>
      </c>
      <c r="F21" s="29">
        <v>46083</v>
      </c>
      <c r="G21" s="45" t="s">
        <v>584</v>
      </c>
      <c r="H21" s="8">
        <v>41691750</v>
      </c>
      <c r="I21" s="31">
        <v>75511750</v>
      </c>
      <c r="J21" s="8">
        <v>35520000</v>
      </c>
      <c r="K21" s="8">
        <v>1700000</v>
      </c>
      <c r="L21" s="52"/>
      <c r="M21" s="6">
        <f t="shared" si="0"/>
        <v>0</v>
      </c>
      <c r="N21" s="21" t="str">
        <f t="shared" si="1"/>
        <v>Cuadrado</v>
      </c>
      <c r="O21" s="55" t="s">
        <v>590</v>
      </c>
      <c r="P21" s="54">
        <v>1052378530</v>
      </c>
    </row>
    <row r="22" spans="1:16" x14ac:dyDescent="0.35">
      <c r="A22" s="70">
        <v>264</v>
      </c>
      <c r="B22" s="28">
        <v>9906</v>
      </c>
      <c r="C22" s="18" t="str">
        <f>VLOOKUP(B22,'Lista MF'!B:C,2,0)</f>
        <v>BELLTECH</v>
      </c>
      <c r="D22" s="28" t="s">
        <v>6</v>
      </c>
      <c r="E22" s="29">
        <v>46084</v>
      </c>
      <c r="F22" s="29">
        <v>46083</v>
      </c>
      <c r="G22" s="45" t="s">
        <v>573</v>
      </c>
      <c r="H22" s="8">
        <v>61182800</v>
      </c>
      <c r="I22" s="31">
        <v>63445750</v>
      </c>
      <c r="J22" s="8">
        <v>23250000</v>
      </c>
      <c r="K22" s="8">
        <v>20837000</v>
      </c>
      <c r="L22" s="52"/>
      <c r="M22" s="6">
        <f t="shared" si="0"/>
        <v>-150050</v>
      </c>
      <c r="N22" s="21" t="str">
        <f t="shared" si="1"/>
        <v>Sobrante</v>
      </c>
      <c r="O22" s="9" t="s">
        <v>592</v>
      </c>
      <c r="P22" s="54">
        <v>1069722520</v>
      </c>
    </row>
    <row r="23" spans="1:16" x14ac:dyDescent="0.35">
      <c r="A23" s="70">
        <v>291</v>
      </c>
      <c r="B23" s="28">
        <v>5114</v>
      </c>
      <c r="C23" s="18" t="str">
        <f>VLOOKUP(B23,'Lista MF'!B:C,2,0)</f>
        <v>BELLTECH</v>
      </c>
      <c r="D23" s="28" t="s">
        <v>6</v>
      </c>
      <c r="E23" s="29">
        <v>46084</v>
      </c>
      <c r="F23" s="29">
        <v>46080</v>
      </c>
      <c r="G23" s="45" t="s">
        <v>574</v>
      </c>
      <c r="H23" s="8">
        <v>129953250</v>
      </c>
      <c r="I23" s="31">
        <v>145821250</v>
      </c>
      <c r="J23" s="8">
        <v>29550000</v>
      </c>
      <c r="K23" s="8">
        <v>13682000</v>
      </c>
      <c r="L23" s="52"/>
      <c r="M23" s="6">
        <f t="shared" si="0"/>
        <v>0</v>
      </c>
      <c r="N23" s="21" t="str">
        <f t="shared" si="1"/>
        <v>Cuadrado</v>
      </c>
      <c r="O23" s="55" t="s">
        <v>590</v>
      </c>
      <c r="P23" s="54">
        <v>1095930956</v>
      </c>
    </row>
    <row r="24" spans="1:16" x14ac:dyDescent="0.35">
      <c r="A24" s="70">
        <v>291</v>
      </c>
      <c r="B24" s="28">
        <v>5114</v>
      </c>
      <c r="C24" s="18" t="str">
        <f>VLOOKUP(B24,'Lista MF'!B:C,2,0)</f>
        <v>BELLTECH</v>
      </c>
      <c r="D24" s="28" t="s">
        <v>6</v>
      </c>
      <c r="E24" s="29">
        <v>46084</v>
      </c>
      <c r="F24" s="29">
        <v>46083</v>
      </c>
      <c r="G24" s="45" t="s">
        <v>552</v>
      </c>
      <c r="H24" s="8">
        <v>201253250</v>
      </c>
      <c r="I24" s="31">
        <v>207333250</v>
      </c>
      <c r="J24" s="8">
        <v>17450000</v>
      </c>
      <c r="K24" s="8">
        <v>11190000</v>
      </c>
      <c r="L24" s="52"/>
      <c r="M24" s="6">
        <f t="shared" si="0"/>
        <v>-180000</v>
      </c>
      <c r="N24" s="21" t="str">
        <f t="shared" si="1"/>
        <v>Sobrante</v>
      </c>
      <c r="O24" s="9" t="s">
        <v>592</v>
      </c>
      <c r="P24" s="54">
        <v>1095930956</v>
      </c>
    </row>
    <row r="25" spans="1:16" x14ac:dyDescent="0.35">
      <c r="A25" s="70">
        <v>318</v>
      </c>
      <c r="B25" s="28">
        <v>5136</v>
      </c>
      <c r="C25" s="18" t="str">
        <f>VLOOKUP(B25,'Lista MF'!B:C,2,0)</f>
        <v>BELLTECH</v>
      </c>
      <c r="D25" s="28" t="s">
        <v>99</v>
      </c>
      <c r="E25" s="29">
        <v>46084</v>
      </c>
      <c r="F25" s="29">
        <v>46083</v>
      </c>
      <c r="G25" s="45" t="s">
        <v>553</v>
      </c>
      <c r="H25" s="8">
        <v>107378550</v>
      </c>
      <c r="I25" s="31">
        <v>98473550</v>
      </c>
      <c r="J25" s="8">
        <v>2870000</v>
      </c>
      <c r="K25" s="8">
        <v>11300000</v>
      </c>
      <c r="L25" s="52"/>
      <c r="M25" s="6">
        <f t="shared" si="0"/>
        <v>-475000</v>
      </c>
      <c r="N25" s="21" t="str">
        <f t="shared" si="1"/>
        <v>Sobrante</v>
      </c>
      <c r="O25" s="9" t="s">
        <v>592</v>
      </c>
      <c r="P25" s="54">
        <v>1065862494</v>
      </c>
    </row>
    <row r="26" spans="1:16" x14ac:dyDescent="0.35">
      <c r="A26" s="70">
        <v>318</v>
      </c>
      <c r="B26" s="28">
        <v>7680</v>
      </c>
      <c r="C26" s="18" t="str">
        <f>VLOOKUP(B26,'Lista MF'!B:C,2,0)</f>
        <v>BELLTECH</v>
      </c>
      <c r="D26" s="28" t="s">
        <v>6</v>
      </c>
      <c r="E26" s="29">
        <v>46084</v>
      </c>
      <c r="F26" s="29">
        <v>46083</v>
      </c>
      <c r="G26" s="45" t="s">
        <v>561</v>
      </c>
      <c r="H26" s="8">
        <v>77044000</v>
      </c>
      <c r="I26" s="31">
        <v>69364000</v>
      </c>
      <c r="J26" s="8">
        <v>450000</v>
      </c>
      <c r="K26" s="8">
        <v>6400000</v>
      </c>
      <c r="L26" s="52"/>
      <c r="M26" s="6">
        <f t="shared" si="0"/>
        <v>-1730000</v>
      </c>
      <c r="N26" s="21" t="str">
        <f t="shared" si="1"/>
        <v>Sobrante</v>
      </c>
      <c r="O26" s="9" t="s">
        <v>592</v>
      </c>
      <c r="P26" s="54">
        <v>1065862494</v>
      </c>
    </row>
    <row r="27" spans="1:16" x14ac:dyDescent="0.35">
      <c r="A27" s="70">
        <v>322</v>
      </c>
      <c r="B27" s="28">
        <v>2444</v>
      </c>
      <c r="C27" s="18" t="str">
        <f>VLOOKUP(B27,'Lista MF'!B:C,2,0)</f>
        <v>BELLTECH</v>
      </c>
      <c r="D27" s="28" t="s">
        <v>6</v>
      </c>
      <c r="E27" s="29">
        <v>46084</v>
      </c>
      <c r="F27" s="29">
        <v>46083</v>
      </c>
      <c r="G27" s="45" t="s">
        <v>539</v>
      </c>
      <c r="H27" s="8">
        <v>239919900</v>
      </c>
      <c r="I27" s="31">
        <v>257059900</v>
      </c>
      <c r="J27" s="8">
        <v>0</v>
      </c>
      <c r="K27" s="8">
        <v>0</v>
      </c>
      <c r="L27" s="52"/>
      <c r="M27" s="6">
        <f t="shared" si="0"/>
        <v>17140000</v>
      </c>
      <c r="N27" s="21" t="str">
        <f t="shared" si="1"/>
        <v>Faltante</v>
      </c>
      <c r="O27" s="65" t="s">
        <v>622</v>
      </c>
      <c r="P27" s="54">
        <v>1101320155</v>
      </c>
    </row>
    <row r="28" spans="1:16" x14ac:dyDescent="0.35">
      <c r="A28" s="70">
        <v>332</v>
      </c>
      <c r="B28" s="28">
        <v>7569</v>
      </c>
      <c r="C28" s="18" t="str">
        <f>VLOOKUP(B28,'Lista MF'!B:C,2,0)</f>
        <v>BELLTECH</v>
      </c>
      <c r="D28" s="28" t="s">
        <v>6</v>
      </c>
      <c r="E28" s="29">
        <v>46084</v>
      </c>
      <c r="F28" s="29">
        <v>46083</v>
      </c>
      <c r="G28" s="45" t="s">
        <v>560</v>
      </c>
      <c r="H28" s="8">
        <v>15708350</v>
      </c>
      <c r="I28" s="31">
        <v>216513950</v>
      </c>
      <c r="J28" s="8">
        <v>0</v>
      </c>
      <c r="K28" s="8">
        <v>7804400</v>
      </c>
      <c r="L28" s="52">
        <v>111822000</v>
      </c>
      <c r="M28" s="6">
        <f t="shared" si="0"/>
        <v>96788000</v>
      </c>
      <c r="N28" s="21" t="str">
        <f t="shared" si="1"/>
        <v>Faltante</v>
      </c>
      <c r="O28" s="65" t="s">
        <v>622</v>
      </c>
      <c r="P28" s="54">
        <v>80541675</v>
      </c>
    </row>
    <row r="29" spans="1:16" x14ac:dyDescent="0.35">
      <c r="A29" s="70">
        <v>348</v>
      </c>
      <c r="B29" s="28">
        <v>6724</v>
      </c>
      <c r="C29" s="18" t="str">
        <f>VLOOKUP(B29,'Lista MF'!B:C,2,0)</f>
        <v>DIEBOLD</v>
      </c>
      <c r="D29" s="28" t="s">
        <v>6</v>
      </c>
      <c r="E29" s="29">
        <v>46084</v>
      </c>
      <c r="F29" s="29">
        <v>46083</v>
      </c>
      <c r="G29" s="45" t="s">
        <v>557</v>
      </c>
      <c r="H29" s="8">
        <v>65431400</v>
      </c>
      <c r="I29" s="31">
        <v>105169800</v>
      </c>
      <c r="J29" s="8">
        <v>21090000</v>
      </c>
      <c r="K29" s="8">
        <v>82702000</v>
      </c>
      <c r="L29" s="52">
        <v>105446000</v>
      </c>
      <c r="M29" s="6">
        <f t="shared" si="0"/>
        <v>-4095600</v>
      </c>
      <c r="N29" s="21" t="str">
        <f t="shared" si="1"/>
        <v>Sobrante</v>
      </c>
      <c r="O29" s="9" t="s">
        <v>592</v>
      </c>
      <c r="P29" s="54">
        <v>1123633014</v>
      </c>
    </row>
    <row r="30" spans="1:16" x14ac:dyDescent="0.35">
      <c r="A30" s="70">
        <v>383</v>
      </c>
      <c r="B30" s="28">
        <v>5194</v>
      </c>
      <c r="C30" s="18" t="str">
        <f>VLOOKUP(B30,'Lista MF'!B:C,2,0)</f>
        <v>BELLTECH</v>
      </c>
      <c r="D30" s="28" t="s">
        <v>6</v>
      </c>
      <c r="E30" s="29">
        <v>46084</v>
      </c>
      <c r="F30" s="29">
        <v>46083</v>
      </c>
      <c r="G30" s="45" t="s">
        <v>555</v>
      </c>
      <c r="H30" s="8">
        <v>76097750</v>
      </c>
      <c r="I30" s="31">
        <v>197826150</v>
      </c>
      <c r="J30" s="8">
        <v>30200000</v>
      </c>
      <c r="K30" s="8">
        <v>24594000</v>
      </c>
      <c r="L30" s="52"/>
      <c r="M30" s="6">
        <f t="shared" si="0"/>
        <v>116122400</v>
      </c>
      <c r="N30" s="21" t="str">
        <f t="shared" si="1"/>
        <v>Faltante</v>
      </c>
      <c r="O30" s="13" t="s">
        <v>593</v>
      </c>
      <c r="P30" s="54">
        <v>1073160492</v>
      </c>
    </row>
    <row r="31" spans="1:16" x14ac:dyDescent="0.35">
      <c r="A31" s="72">
        <v>395</v>
      </c>
      <c r="B31" s="28">
        <v>1529</v>
      </c>
      <c r="C31" s="18" t="str">
        <f>VLOOKUP(B31,'Lista MF'!B:C,2,0)</f>
        <v>BELLTECH</v>
      </c>
      <c r="D31" s="36" t="s">
        <v>6</v>
      </c>
      <c r="E31" s="29">
        <v>46084</v>
      </c>
      <c r="F31" s="29">
        <v>46083</v>
      </c>
      <c r="G31" s="45" t="s">
        <v>537</v>
      </c>
      <c r="H31" s="8">
        <v>352278500</v>
      </c>
      <c r="I31" s="31">
        <v>350070350</v>
      </c>
      <c r="J31" s="8">
        <v>7850000</v>
      </c>
      <c r="K31" s="8">
        <v>0</v>
      </c>
      <c r="L31" s="52"/>
      <c r="M31" s="6">
        <f t="shared" si="0"/>
        <v>-10058150</v>
      </c>
      <c r="N31" s="21" t="str">
        <f t="shared" si="1"/>
        <v>Sobrante</v>
      </c>
      <c r="O31" s="9" t="s">
        <v>592</v>
      </c>
      <c r="P31" s="56">
        <v>1121857901</v>
      </c>
    </row>
    <row r="32" spans="1:16" x14ac:dyDescent="0.35">
      <c r="A32" s="70">
        <v>453</v>
      </c>
      <c r="B32" s="28">
        <v>8018</v>
      </c>
      <c r="C32" s="18" t="str">
        <f>VLOOKUP(B32,'Lista MF'!B:C,2,0)</f>
        <v>BELLTECH</v>
      </c>
      <c r="D32" s="28" t="s">
        <v>6</v>
      </c>
      <c r="E32" s="29">
        <v>46084</v>
      </c>
      <c r="F32" s="29">
        <v>46083</v>
      </c>
      <c r="G32" s="45" t="s">
        <v>563</v>
      </c>
      <c r="H32" s="8">
        <v>116554650</v>
      </c>
      <c r="I32" s="31">
        <v>83609650</v>
      </c>
      <c r="J32" s="8">
        <v>5880000</v>
      </c>
      <c r="K32" s="8">
        <v>24532000</v>
      </c>
      <c r="L32" s="52"/>
      <c r="M32" s="6">
        <f t="shared" si="0"/>
        <v>-14293000</v>
      </c>
      <c r="N32" s="21" t="str">
        <f t="shared" si="1"/>
        <v>Sobrante</v>
      </c>
      <c r="O32" s="4" t="s">
        <v>622</v>
      </c>
      <c r="P32" s="54">
        <v>1083897578</v>
      </c>
    </row>
    <row r="33" spans="1:16" ht="14" customHeight="1" x14ac:dyDescent="0.35">
      <c r="A33" s="70">
        <v>455</v>
      </c>
      <c r="B33" s="28">
        <v>5206</v>
      </c>
      <c r="C33" s="18" t="str">
        <f>VLOOKUP(B33,'Lista MF'!B:C,2,0)</f>
        <v>BELLTECH</v>
      </c>
      <c r="D33" s="28" t="s">
        <v>6</v>
      </c>
      <c r="E33" s="29">
        <v>46084</v>
      </c>
      <c r="F33" s="29">
        <v>46083</v>
      </c>
      <c r="G33" s="45" t="s">
        <v>585</v>
      </c>
      <c r="H33" s="8">
        <v>369152000</v>
      </c>
      <c r="I33" s="31">
        <v>319262200</v>
      </c>
      <c r="J33" s="8">
        <v>6650000</v>
      </c>
      <c r="K33" s="8">
        <v>56539800</v>
      </c>
      <c r="L33" s="52"/>
      <c r="M33" s="6">
        <f t="shared" si="0"/>
        <v>0</v>
      </c>
      <c r="N33" s="21" t="str">
        <f t="shared" si="1"/>
        <v>Cuadrado</v>
      </c>
      <c r="O33" s="55" t="s">
        <v>590</v>
      </c>
      <c r="P33" s="54">
        <v>1083896352</v>
      </c>
    </row>
    <row r="34" spans="1:16" x14ac:dyDescent="0.35">
      <c r="A34" s="70">
        <v>457</v>
      </c>
      <c r="B34" s="28">
        <v>9004</v>
      </c>
      <c r="C34" s="18" t="str">
        <f>VLOOKUP(B34,'Lista MF'!B:C,2,0)</f>
        <v>BELLTECH</v>
      </c>
      <c r="D34" s="28" t="s">
        <v>99</v>
      </c>
      <c r="E34" s="29">
        <v>46084</v>
      </c>
      <c r="F34" s="29">
        <v>46083</v>
      </c>
      <c r="G34" s="45" t="s">
        <v>570</v>
      </c>
      <c r="H34" s="8">
        <v>292223700</v>
      </c>
      <c r="I34" s="31">
        <v>232471100</v>
      </c>
      <c r="J34" s="8">
        <v>7900000</v>
      </c>
      <c r="K34" s="8">
        <v>59495000</v>
      </c>
      <c r="L34" s="52"/>
      <c r="M34" s="6">
        <f t="shared" ref="M34:M65" si="2">I34-(H34+J34-K34)-L34</f>
        <v>-8157600</v>
      </c>
      <c r="N34" s="21" t="str">
        <f t="shared" ref="N34:N65" si="3">IF(M34="","",IF(M34=0,"Cuadrado",IF(M34&gt;0,"Faltante","Sobrante")))</f>
        <v>Sobrante</v>
      </c>
      <c r="O34" s="9" t="s">
        <v>592</v>
      </c>
      <c r="P34" s="54">
        <v>33750644</v>
      </c>
    </row>
    <row r="35" spans="1:16" x14ac:dyDescent="0.35">
      <c r="A35" s="70">
        <v>523</v>
      </c>
      <c r="B35" s="28">
        <v>5082</v>
      </c>
      <c r="C35" s="18" t="str">
        <f>VLOOKUP(B35,'Lista MF'!B:C,2,0)</f>
        <v>BELLTECH</v>
      </c>
      <c r="D35" s="28" t="s">
        <v>6</v>
      </c>
      <c r="E35" s="29">
        <v>46084</v>
      </c>
      <c r="F35" s="29">
        <v>46083</v>
      </c>
      <c r="G35" s="45" t="s">
        <v>549</v>
      </c>
      <c r="H35" s="8">
        <v>199521050</v>
      </c>
      <c r="I35" s="31">
        <v>200075050</v>
      </c>
      <c r="J35" s="8">
        <v>1660000</v>
      </c>
      <c r="K35" s="8">
        <v>1100000</v>
      </c>
      <c r="L35" s="52"/>
      <c r="M35" s="6">
        <f t="shared" si="2"/>
        <v>-6000</v>
      </c>
      <c r="N35" s="21" t="str">
        <f t="shared" si="3"/>
        <v>Sobrante</v>
      </c>
      <c r="O35" s="9" t="s">
        <v>592</v>
      </c>
      <c r="P35" s="54">
        <v>1065609766</v>
      </c>
    </row>
    <row r="36" spans="1:16" x14ac:dyDescent="0.35">
      <c r="A36" s="70">
        <v>554</v>
      </c>
      <c r="B36" s="28">
        <v>8294</v>
      </c>
      <c r="C36" s="18" t="str">
        <f>VLOOKUP(B36,'Lista MF'!B:C,2,0)</f>
        <v>BELLTECH</v>
      </c>
      <c r="D36" s="28" t="s">
        <v>6</v>
      </c>
      <c r="E36" s="29">
        <v>46084</v>
      </c>
      <c r="F36" s="29">
        <v>46083</v>
      </c>
      <c r="G36" s="45" t="s">
        <v>586</v>
      </c>
      <c r="H36" s="8">
        <v>209347850</v>
      </c>
      <c r="I36" s="31">
        <v>219907850</v>
      </c>
      <c r="J36" s="8">
        <v>10560000</v>
      </c>
      <c r="K36" s="8">
        <v>0</v>
      </c>
      <c r="L36" s="52"/>
      <c r="M36" s="6">
        <f t="shared" si="2"/>
        <v>0</v>
      </c>
      <c r="N36" s="21" t="str">
        <f t="shared" si="3"/>
        <v>Cuadrado</v>
      </c>
      <c r="O36" s="55" t="s">
        <v>590</v>
      </c>
      <c r="P36" s="54">
        <v>1010130794</v>
      </c>
    </row>
    <row r="37" spans="1:16" x14ac:dyDescent="0.35">
      <c r="A37" s="72">
        <v>554</v>
      </c>
      <c r="B37" s="28">
        <v>8295</v>
      </c>
      <c r="C37" s="18" t="str">
        <f>VLOOKUP(B37,'Lista MF'!B:C,2,0)</f>
        <v>BELLTECH</v>
      </c>
      <c r="D37" s="36" t="s">
        <v>6</v>
      </c>
      <c r="E37" s="29">
        <v>46084</v>
      </c>
      <c r="F37" s="29">
        <v>46083</v>
      </c>
      <c r="G37" s="45" t="s">
        <v>564</v>
      </c>
      <c r="H37" s="8">
        <v>160173050</v>
      </c>
      <c r="I37" s="31">
        <v>135761900</v>
      </c>
      <c r="J37" s="8">
        <v>1000000</v>
      </c>
      <c r="K37" s="8">
        <v>16603000</v>
      </c>
      <c r="L37" s="52"/>
      <c r="M37" s="6">
        <f t="shared" si="2"/>
        <v>-8808150</v>
      </c>
      <c r="N37" s="21" t="str">
        <f t="shared" si="3"/>
        <v>Sobrante</v>
      </c>
      <c r="O37" s="9" t="s">
        <v>592</v>
      </c>
      <c r="P37" s="56">
        <v>1010130794</v>
      </c>
    </row>
    <row r="38" spans="1:16" x14ac:dyDescent="0.35">
      <c r="A38" s="73">
        <v>556</v>
      </c>
      <c r="B38" s="28">
        <v>8333</v>
      </c>
      <c r="C38" s="18" t="str">
        <f>VLOOKUP(B38,'Lista MF'!B:C,2,0)</f>
        <v>BELLTECH</v>
      </c>
      <c r="D38" s="36" t="s">
        <v>6</v>
      </c>
      <c r="E38" s="29">
        <v>46084</v>
      </c>
      <c r="F38" s="29">
        <v>46081</v>
      </c>
      <c r="G38" s="45" t="s">
        <v>582</v>
      </c>
      <c r="H38" s="8">
        <v>232437400</v>
      </c>
      <c r="I38" s="31">
        <v>252363900</v>
      </c>
      <c r="J38" s="8">
        <v>31530000</v>
      </c>
      <c r="K38" s="8">
        <v>11603500</v>
      </c>
      <c r="L38" s="52"/>
      <c r="M38" s="6">
        <f t="shared" si="2"/>
        <v>0</v>
      </c>
      <c r="N38" s="21" t="str">
        <f t="shared" si="3"/>
        <v>Cuadrado</v>
      </c>
      <c r="O38" s="55" t="s">
        <v>590</v>
      </c>
      <c r="P38" s="56">
        <v>39450196</v>
      </c>
    </row>
    <row r="39" spans="1:16" x14ac:dyDescent="0.35">
      <c r="A39" s="70">
        <v>613</v>
      </c>
      <c r="B39" s="28">
        <v>6713</v>
      </c>
      <c r="C39" s="18" t="str">
        <f>VLOOKUP(B39,'Lista MF'!B:C,2,0)</f>
        <v>DIEBOLD</v>
      </c>
      <c r="D39" s="28" t="s">
        <v>6</v>
      </c>
      <c r="E39" s="29">
        <v>46084</v>
      </c>
      <c r="F39" s="29">
        <v>46083</v>
      </c>
      <c r="G39" s="45" t="s">
        <v>540</v>
      </c>
      <c r="H39" s="8">
        <v>113270800</v>
      </c>
      <c r="I39" s="31">
        <v>110824100</v>
      </c>
      <c r="J39" s="8">
        <v>14050000</v>
      </c>
      <c r="K39" s="8">
        <v>16111300</v>
      </c>
      <c r="L39" s="52"/>
      <c r="M39" s="6">
        <f t="shared" si="2"/>
        <v>-385400</v>
      </c>
      <c r="N39" s="21" t="str">
        <f t="shared" si="3"/>
        <v>Sobrante</v>
      </c>
      <c r="O39" s="9" t="s">
        <v>592</v>
      </c>
      <c r="P39" s="54">
        <v>32106943</v>
      </c>
    </row>
    <row r="40" spans="1:16" x14ac:dyDescent="0.35">
      <c r="A40" s="70">
        <v>634</v>
      </c>
      <c r="B40" s="28">
        <v>5087</v>
      </c>
      <c r="C40" s="18" t="str">
        <f>VLOOKUP(B40,'Lista MF'!B:C,2,0)</f>
        <v>BELLTECH</v>
      </c>
      <c r="D40" s="28" t="s">
        <v>6</v>
      </c>
      <c r="E40" s="29">
        <v>46084</v>
      </c>
      <c r="F40" s="29">
        <v>46083</v>
      </c>
      <c r="G40" s="45" t="s">
        <v>550</v>
      </c>
      <c r="H40" s="8">
        <v>242530800</v>
      </c>
      <c r="I40" s="31">
        <v>254556300</v>
      </c>
      <c r="J40" s="8">
        <v>12040000</v>
      </c>
      <c r="K40" s="8">
        <v>0</v>
      </c>
      <c r="L40" s="52"/>
      <c r="M40" s="6">
        <f t="shared" si="2"/>
        <v>-14500</v>
      </c>
      <c r="N40" s="21" t="str">
        <f t="shared" si="3"/>
        <v>Sobrante</v>
      </c>
      <c r="O40" s="9" t="s">
        <v>592</v>
      </c>
      <c r="P40" s="54">
        <v>1032424944</v>
      </c>
    </row>
    <row r="41" spans="1:16" x14ac:dyDescent="0.35">
      <c r="A41" s="72">
        <v>651</v>
      </c>
      <c r="B41" s="28">
        <v>7318</v>
      </c>
      <c r="C41" s="18" t="str">
        <f>VLOOKUP(B41,'Lista MF'!B:C,2,0)</f>
        <v>DIEBOLD</v>
      </c>
      <c r="D41" s="36" t="s">
        <v>6</v>
      </c>
      <c r="E41" s="29">
        <v>46084</v>
      </c>
      <c r="F41" s="29">
        <v>46080</v>
      </c>
      <c r="G41" s="45" t="s">
        <v>577</v>
      </c>
      <c r="H41" s="8">
        <v>72889300</v>
      </c>
      <c r="I41" s="31">
        <v>101307300</v>
      </c>
      <c r="J41" s="8">
        <v>43670000</v>
      </c>
      <c r="K41" s="8">
        <v>15252000</v>
      </c>
      <c r="L41" s="52"/>
      <c r="M41" s="6">
        <f t="shared" si="2"/>
        <v>0</v>
      </c>
      <c r="N41" s="21" t="str">
        <f t="shared" si="3"/>
        <v>Cuadrado</v>
      </c>
      <c r="O41" s="55" t="s">
        <v>590</v>
      </c>
      <c r="P41" s="56">
        <v>70136398</v>
      </c>
    </row>
    <row r="42" spans="1:16" x14ac:dyDescent="0.35">
      <c r="A42" s="70">
        <v>659</v>
      </c>
      <c r="B42" s="28">
        <v>5102</v>
      </c>
      <c r="C42" s="18" t="str">
        <f>VLOOKUP(B42,'Lista MF'!B:C,2,0)</f>
        <v>BELLTECH</v>
      </c>
      <c r="D42" s="28" t="s">
        <v>6</v>
      </c>
      <c r="E42" s="29">
        <v>46084</v>
      </c>
      <c r="F42" s="29">
        <v>46083</v>
      </c>
      <c r="G42" s="45" t="s">
        <v>551</v>
      </c>
      <c r="H42" s="8">
        <v>147494150</v>
      </c>
      <c r="I42" s="31">
        <v>162044150</v>
      </c>
      <c r="J42" s="8">
        <v>18760000</v>
      </c>
      <c r="K42" s="8">
        <v>4240000</v>
      </c>
      <c r="L42" s="52"/>
      <c r="M42" s="6">
        <f t="shared" si="2"/>
        <v>30000</v>
      </c>
      <c r="N42" s="21" t="str">
        <f t="shared" si="3"/>
        <v>Faltante</v>
      </c>
      <c r="O42" s="55" t="s">
        <v>622</v>
      </c>
      <c r="P42" s="54">
        <v>1110555222</v>
      </c>
    </row>
    <row r="43" spans="1:16" x14ac:dyDescent="0.35">
      <c r="A43" s="70">
        <v>667</v>
      </c>
      <c r="B43" s="28">
        <v>5167</v>
      </c>
      <c r="C43" s="18" t="str">
        <f>VLOOKUP(B43,'Lista MF'!B:C,2,0)</f>
        <v>BELLTECH</v>
      </c>
      <c r="D43" s="28" t="s">
        <v>6</v>
      </c>
      <c r="E43" s="29">
        <v>46084</v>
      </c>
      <c r="F43" s="29">
        <v>46083</v>
      </c>
      <c r="G43" s="45" t="s">
        <v>554</v>
      </c>
      <c r="H43" s="8">
        <v>137263550</v>
      </c>
      <c r="I43" s="31">
        <v>137654200</v>
      </c>
      <c r="J43" s="8">
        <v>500000</v>
      </c>
      <c r="K43" s="8">
        <v>0</v>
      </c>
      <c r="L43" s="52"/>
      <c r="M43" s="6">
        <f t="shared" si="2"/>
        <v>-109350</v>
      </c>
      <c r="N43" s="21" t="str">
        <f t="shared" si="3"/>
        <v>Sobrante</v>
      </c>
      <c r="O43" s="9" t="s">
        <v>592</v>
      </c>
      <c r="P43" s="54">
        <v>79953058</v>
      </c>
    </row>
    <row r="44" spans="1:16" x14ac:dyDescent="0.35">
      <c r="A44" s="70">
        <v>682</v>
      </c>
      <c r="B44" s="28">
        <v>5049</v>
      </c>
      <c r="C44" s="18" t="str">
        <f>VLOOKUP(B44,'Lista MF'!B:C,2,0)</f>
        <v>BELLTECH</v>
      </c>
      <c r="D44" s="28" t="s">
        <v>6</v>
      </c>
      <c r="E44" s="29">
        <v>46084</v>
      </c>
      <c r="F44" s="29">
        <v>46083</v>
      </c>
      <c r="G44" s="45" t="s">
        <v>545</v>
      </c>
      <c r="H44" s="8">
        <v>207673400</v>
      </c>
      <c r="I44" s="31">
        <v>169164800</v>
      </c>
      <c r="J44" s="8">
        <v>40760000</v>
      </c>
      <c r="K44" s="8">
        <v>161877000</v>
      </c>
      <c r="L44" s="52">
        <f>102621000-20000000</f>
        <v>82621000</v>
      </c>
      <c r="M44" s="6">
        <f t="shared" si="2"/>
        <v>-12600</v>
      </c>
      <c r="N44" s="21" t="str">
        <f t="shared" si="3"/>
        <v>Sobrante</v>
      </c>
      <c r="O44" s="9" t="s">
        <v>592</v>
      </c>
      <c r="P44" s="54">
        <v>1018447800</v>
      </c>
    </row>
    <row r="45" spans="1:16" x14ac:dyDescent="0.35">
      <c r="A45" s="71">
        <v>698</v>
      </c>
      <c r="B45" s="28">
        <v>5187</v>
      </c>
      <c r="C45" s="18" t="str">
        <f>VLOOKUP(B45,'Lista MF'!B:C,2,0)</f>
        <v>BELLTECH</v>
      </c>
      <c r="D45" s="28" t="s">
        <v>6</v>
      </c>
      <c r="E45" s="29">
        <v>46084</v>
      </c>
      <c r="F45" s="29">
        <v>46080</v>
      </c>
      <c r="G45" s="45" t="s">
        <v>580</v>
      </c>
      <c r="H45" s="8">
        <v>255606100</v>
      </c>
      <c r="I45" s="31">
        <v>232013900</v>
      </c>
      <c r="J45" s="8">
        <v>25720000</v>
      </c>
      <c r="K45" s="8">
        <v>49312200</v>
      </c>
      <c r="L45" s="52"/>
      <c r="M45" s="6">
        <f t="shared" si="2"/>
        <v>0</v>
      </c>
      <c r="N45" s="21" t="str">
        <f t="shared" si="3"/>
        <v>Cuadrado</v>
      </c>
      <c r="O45" s="55" t="s">
        <v>590</v>
      </c>
      <c r="P45" s="54">
        <v>1019065205</v>
      </c>
    </row>
    <row r="46" spans="1:16" x14ac:dyDescent="0.35">
      <c r="A46" s="70">
        <v>723</v>
      </c>
      <c r="B46" s="28">
        <v>5046</v>
      </c>
      <c r="C46" s="18" t="str">
        <f>VLOOKUP(B46,'Lista MF'!B:C,2,0)</f>
        <v>BELLTECH</v>
      </c>
      <c r="D46" s="28" t="s">
        <v>6</v>
      </c>
      <c r="E46" s="29">
        <v>46084</v>
      </c>
      <c r="F46" s="29">
        <v>46083</v>
      </c>
      <c r="G46" s="45" t="s">
        <v>543</v>
      </c>
      <c r="H46" s="8">
        <v>252009000</v>
      </c>
      <c r="I46" s="31">
        <v>273030000</v>
      </c>
      <c r="J46" s="8">
        <v>0</v>
      </c>
      <c r="K46" s="8">
        <v>0</v>
      </c>
      <c r="L46" s="52">
        <f>20060000+961000</f>
        <v>21021000</v>
      </c>
      <c r="M46" s="6">
        <f t="shared" si="2"/>
        <v>0</v>
      </c>
      <c r="N46" s="21" t="str">
        <f t="shared" si="3"/>
        <v>Cuadrado</v>
      </c>
      <c r="O46" s="4" t="s">
        <v>590</v>
      </c>
      <c r="P46" s="54">
        <v>1088310723</v>
      </c>
    </row>
    <row r="47" spans="1:16" x14ac:dyDescent="0.35">
      <c r="A47" s="70">
        <v>725</v>
      </c>
      <c r="B47" s="28">
        <v>8090</v>
      </c>
      <c r="C47" s="18" t="str">
        <f>VLOOKUP(B47,'Lista MF'!B:C,2,0)</f>
        <v>BELLTECH</v>
      </c>
      <c r="D47" s="28" t="s">
        <v>6</v>
      </c>
      <c r="E47" s="29">
        <v>46084</v>
      </c>
      <c r="F47" s="29">
        <v>46080</v>
      </c>
      <c r="G47" s="45" t="s">
        <v>578</v>
      </c>
      <c r="H47" s="8">
        <v>75762300</v>
      </c>
      <c r="I47" s="31">
        <v>86092300</v>
      </c>
      <c r="J47" s="8">
        <v>10550000</v>
      </c>
      <c r="K47" s="8">
        <v>220000</v>
      </c>
      <c r="L47" s="52"/>
      <c r="M47" s="6">
        <f t="shared" si="2"/>
        <v>0</v>
      </c>
      <c r="N47" s="21" t="str">
        <f t="shared" si="3"/>
        <v>Cuadrado</v>
      </c>
      <c r="O47" s="4" t="s">
        <v>590</v>
      </c>
      <c r="P47" s="54">
        <v>1088032608</v>
      </c>
    </row>
    <row r="48" spans="1:16" x14ac:dyDescent="0.35">
      <c r="A48" s="70">
        <v>728</v>
      </c>
      <c r="B48" s="28">
        <v>8586</v>
      </c>
      <c r="C48" s="18" t="str">
        <f>VLOOKUP(B48,'Lista MF'!B:C,2,0)</f>
        <v>BELLTECH</v>
      </c>
      <c r="D48" s="28" t="s">
        <v>6</v>
      </c>
      <c r="E48" s="29">
        <v>46084</v>
      </c>
      <c r="F48" s="29">
        <v>46083</v>
      </c>
      <c r="G48" s="45" t="s">
        <v>567</v>
      </c>
      <c r="H48" s="8">
        <v>21395000</v>
      </c>
      <c r="I48" s="31">
        <v>57395000</v>
      </c>
      <c r="J48" s="8">
        <v>41600000</v>
      </c>
      <c r="K48" s="8">
        <v>2248500</v>
      </c>
      <c r="L48" s="52"/>
      <c r="M48" s="6">
        <f t="shared" si="2"/>
        <v>-3351500</v>
      </c>
      <c r="N48" s="21" t="str">
        <f t="shared" si="3"/>
        <v>Sobrante</v>
      </c>
      <c r="O48" s="4" t="s">
        <v>592</v>
      </c>
      <c r="P48" s="54">
        <v>1112783690</v>
      </c>
    </row>
    <row r="49" spans="1:16" x14ac:dyDescent="0.35">
      <c r="A49" s="70">
        <v>728</v>
      </c>
      <c r="B49" s="28">
        <v>8587</v>
      </c>
      <c r="C49" s="18" t="str">
        <f>VLOOKUP(B49,'Lista MF'!B:C,2,0)</f>
        <v>BELLTECH</v>
      </c>
      <c r="D49" s="28" t="s">
        <v>6</v>
      </c>
      <c r="E49" s="29">
        <v>46084</v>
      </c>
      <c r="F49" s="29">
        <v>46083</v>
      </c>
      <c r="G49" s="45" t="s">
        <v>587</v>
      </c>
      <c r="H49" s="8">
        <v>53145600</v>
      </c>
      <c r="I49" s="31">
        <v>43795600</v>
      </c>
      <c r="J49" s="8">
        <v>1350000</v>
      </c>
      <c r="K49" s="8">
        <v>10700000</v>
      </c>
      <c r="L49" s="52"/>
      <c r="M49" s="6">
        <f t="shared" si="2"/>
        <v>0</v>
      </c>
      <c r="N49" s="21" t="str">
        <f t="shared" si="3"/>
        <v>Cuadrado</v>
      </c>
      <c r="O49" s="4" t="s">
        <v>590</v>
      </c>
      <c r="P49" s="54">
        <v>1112783690</v>
      </c>
    </row>
    <row r="50" spans="1:16" x14ac:dyDescent="0.35">
      <c r="A50" s="70">
        <v>781</v>
      </c>
      <c r="B50" s="28">
        <v>5057</v>
      </c>
      <c r="C50" s="18" t="str">
        <f>VLOOKUP(B50,'Lista MF'!B:C,2,0)</f>
        <v>BELLTECH</v>
      </c>
      <c r="D50" s="28" t="s">
        <v>6</v>
      </c>
      <c r="E50" s="29">
        <v>46084</v>
      </c>
      <c r="F50" s="29">
        <v>46083</v>
      </c>
      <c r="G50" s="45" t="s">
        <v>546</v>
      </c>
      <c r="H50" s="8">
        <v>510283800</v>
      </c>
      <c r="I50" s="31">
        <v>488188150</v>
      </c>
      <c r="J50" s="8">
        <v>240000</v>
      </c>
      <c r="K50" s="8">
        <v>3169000</v>
      </c>
      <c r="L50" s="52"/>
      <c r="M50" s="6">
        <f t="shared" si="2"/>
        <v>-19166650</v>
      </c>
      <c r="N50" s="21" t="str">
        <f t="shared" si="3"/>
        <v>Sobrante</v>
      </c>
      <c r="O50" s="4" t="s">
        <v>622</v>
      </c>
      <c r="P50" s="54">
        <v>1082848167</v>
      </c>
    </row>
    <row r="51" spans="1:16" x14ac:dyDescent="0.35">
      <c r="A51" s="70">
        <v>796</v>
      </c>
      <c r="B51" s="28">
        <v>6911</v>
      </c>
      <c r="C51" s="18" t="str">
        <f>VLOOKUP(B51,'Lista MF'!B:C,2,0)</f>
        <v>BELLTECH</v>
      </c>
      <c r="D51" s="28" t="s">
        <v>6</v>
      </c>
      <c r="E51" s="29">
        <v>46084</v>
      </c>
      <c r="F51" s="29">
        <v>46083</v>
      </c>
      <c r="G51" s="45" t="s">
        <v>559</v>
      </c>
      <c r="H51" s="8">
        <v>225619500</v>
      </c>
      <c r="I51" s="31">
        <v>146645500</v>
      </c>
      <c r="J51" s="8">
        <v>51030000</v>
      </c>
      <c r="K51" s="8">
        <v>114049800</v>
      </c>
      <c r="L51" s="52"/>
      <c r="M51" s="6">
        <f t="shared" si="2"/>
        <v>-15954200</v>
      </c>
      <c r="N51" s="21" t="str">
        <f t="shared" si="3"/>
        <v>Sobrante</v>
      </c>
      <c r="O51" s="4" t="s">
        <v>622</v>
      </c>
      <c r="P51" s="54">
        <v>1095802301</v>
      </c>
    </row>
    <row r="52" spans="1:16" x14ac:dyDescent="0.35">
      <c r="A52" s="70">
        <v>849</v>
      </c>
      <c r="B52" s="28">
        <v>9724</v>
      </c>
      <c r="C52" s="18" t="str">
        <f>VLOOKUP(B52,'Lista MF'!B:C,2,0)</f>
        <v>BELLTECH</v>
      </c>
      <c r="D52" s="28" t="s">
        <v>6</v>
      </c>
      <c r="E52" s="29">
        <v>46084</v>
      </c>
      <c r="F52" s="29">
        <v>46083</v>
      </c>
      <c r="G52" s="45" t="s">
        <v>572</v>
      </c>
      <c r="H52" s="8">
        <v>179585400</v>
      </c>
      <c r="I52" s="31">
        <v>169885400</v>
      </c>
      <c r="J52" s="8">
        <v>0</v>
      </c>
      <c r="K52" s="8">
        <v>0</v>
      </c>
      <c r="L52" s="52"/>
      <c r="M52" s="6">
        <f t="shared" si="2"/>
        <v>-9700000</v>
      </c>
      <c r="N52" s="21" t="str">
        <f t="shared" si="3"/>
        <v>Sobrante</v>
      </c>
      <c r="O52" s="9" t="s">
        <v>592</v>
      </c>
      <c r="P52" s="54">
        <v>86063461</v>
      </c>
    </row>
    <row r="53" spans="1:16" x14ac:dyDescent="0.35">
      <c r="A53" s="70">
        <v>849</v>
      </c>
      <c r="B53" s="28">
        <v>9725</v>
      </c>
      <c r="C53" s="18" t="str">
        <f>VLOOKUP(B53,'Lista MF'!B:C,2,0)</f>
        <v>BELLTECH</v>
      </c>
      <c r="D53" s="28" t="s">
        <v>6</v>
      </c>
      <c r="E53" s="29">
        <v>46084</v>
      </c>
      <c r="F53" s="29">
        <v>46083</v>
      </c>
      <c r="G53" s="45" t="s">
        <v>572</v>
      </c>
      <c r="H53" s="8">
        <v>180547300</v>
      </c>
      <c r="I53" s="31">
        <v>214545300</v>
      </c>
      <c r="J53" s="8">
        <v>0</v>
      </c>
      <c r="K53" s="8">
        <v>0</v>
      </c>
      <c r="L53" s="52"/>
      <c r="M53" s="6">
        <f t="shared" si="2"/>
        <v>33998000</v>
      </c>
      <c r="N53" s="21" t="str">
        <f t="shared" si="3"/>
        <v>Faltante</v>
      </c>
      <c r="O53" s="13" t="s">
        <v>593</v>
      </c>
      <c r="P53" s="54">
        <v>86063461</v>
      </c>
    </row>
    <row r="54" spans="1:16" x14ac:dyDescent="0.35">
      <c r="A54" s="70">
        <v>852</v>
      </c>
      <c r="B54" s="28">
        <v>5050</v>
      </c>
      <c r="C54" s="18" t="str">
        <f>VLOOKUP(B54,'Lista MF'!B:C,2,0)</f>
        <v>BELLTECH</v>
      </c>
      <c r="D54" s="28" t="s">
        <v>6</v>
      </c>
      <c r="E54" s="29">
        <v>46084</v>
      </c>
      <c r="F54" s="29">
        <v>46083</v>
      </c>
      <c r="G54" s="45" t="s">
        <v>583</v>
      </c>
      <c r="H54" s="8">
        <v>266592150</v>
      </c>
      <c r="I54" s="31">
        <v>277422150</v>
      </c>
      <c r="J54" s="8">
        <v>17390000</v>
      </c>
      <c r="K54" s="8">
        <v>6560000</v>
      </c>
      <c r="L54" s="52"/>
      <c r="M54" s="6">
        <f t="shared" si="2"/>
        <v>0</v>
      </c>
      <c r="N54" s="21" t="str">
        <f t="shared" si="3"/>
        <v>Cuadrado</v>
      </c>
      <c r="O54" s="4" t="s">
        <v>590</v>
      </c>
      <c r="P54" s="54">
        <v>1088251245</v>
      </c>
    </row>
    <row r="55" spans="1:16" x14ac:dyDescent="0.35">
      <c r="A55" s="70">
        <v>866</v>
      </c>
      <c r="B55" s="28">
        <v>8662</v>
      </c>
      <c r="C55" s="18" t="str">
        <f>VLOOKUP(B55,'Lista MF'!B:C,2,0)</f>
        <v>BELLTECH</v>
      </c>
      <c r="D55" s="28" t="s">
        <v>6</v>
      </c>
      <c r="E55" s="29">
        <v>46084</v>
      </c>
      <c r="F55" s="29">
        <v>46083</v>
      </c>
      <c r="G55" s="45" t="s">
        <v>568</v>
      </c>
      <c r="H55" s="8">
        <v>63045450</v>
      </c>
      <c r="I55" s="31">
        <v>74845450</v>
      </c>
      <c r="J55" s="8">
        <v>11400000</v>
      </c>
      <c r="K55" s="8">
        <v>0</v>
      </c>
      <c r="L55" s="52"/>
      <c r="M55" s="6">
        <f t="shared" si="2"/>
        <v>400000</v>
      </c>
      <c r="N55" s="21" t="str">
        <f t="shared" si="3"/>
        <v>Faltante</v>
      </c>
      <c r="O55" s="4" t="s">
        <v>622</v>
      </c>
      <c r="P55" s="54">
        <v>1113674245</v>
      </c>
    </row>
    <row r="56" spans="1:16" x14ac:dyDescent="0.35">
      <c r="A56" s="70">
        <v>876</v>
      </c>
      <c r="B56" s="28">
        <v>9682</v>
      </c>
      <c r="C56" s="18" t="str">
        <f>VLOOKUP(B56,'Lista MF'!B:C,2,0)</f>
        <v>BELLTECH</v>
      </c>
      <c r="D56" s="28" t="s">
        <v>6</v>
      </c>
      <c r="E56" s="29">
        <v>46084</v>
      </c>
      <c r="F56" s="29">
        <v>46083</v>
      </c>
      <c r="G56" s="45" t="s">
        <v>571</v>
      </c>
      <c r="H56" s="8">
        <v>504195450</v>
      </c>
      <c r="I56" s="31">
        <v>382634450</v>
      </c>
      <c r="J56" s="8">
        <v>7520000</v>
      </c>
      <c r="K56" s="8">
        <v>131620000</v>
      </c>
      <c r="L56" s="52">
        <v>2539000</v>
      </c>
      <c r="M56" s="6">
        <f t="shared" si="2"/>
        <v>0</v>
      </c>
      <c r="N56" s="21" t="str">
        <f t="shared" si="3"/>
        <v>Cuadrado</v>
      </c>
      <c r="O56" s="4" t="s">
        <v>591</v>
      </c>
      <c r="P56" s="54">
        <v>1002032451</v>
      </c>
    </row>
    <row r="57" spans="1:16" x14ac:dyDescent="0.35">
      <c r="A57" s="70">
        <v>888</v>
      </c>
      <c r="B57" s="28">
        <v>6818</v>
      </c>
      <c r="C57" s="18" t="str">
        <f>VLOOKUP(B57,'Lista MF'!B:C,2,0)</f>
        <v>BELLTECH</v>
      </c>
      <c r="D57" s="28" t="s">
        <v>6</v>
      </c>
      <c r="E57" s="29">
        <v>46084</v>
      </c>
      <c r="F57" s="29">
        <v>46083</v>
      </c>
      <c r="G57" s="45" t="s">
        <v>558</v>
      </c>
      <c r="H57" s="8">
        <v>125980200</v>
      </c>
      <c r="I57" s="31">
        <v>123180200</v>
      </c>
      <c r="J57" s="8">
        <v>0</v>
      </c>
      <c r="K57" s="8">
        <v>0</v>
      </c>
      <c r="L57" s="52"/>
      <c r="M57" s="6">
        <f t="shared" si="2"/>
        <v>-2800000</v>
      </c>
      <c r="N57" s="21" t="str">
        <f t="shared" si="3"/>
        <v>Sobrante</v>
      </c>
      <c r="O57" s="9" t="s">
        <v>592</v>
      </c>
      <c r="P57" s="54">
        <v>1085921765</v>
      </c>
    </row>
    <row r="58" spans="1:16" x14ac:dyDescent="0.35">
      <c r="A58" s="70">
        <v>907</v>
      </c>
      <c r="B58" s="28">
        <v>4830</v>
      </c>
      <c r="C58" s="18" t="str">
        <f>VLOOKUP(B58,'Lista MF'!B:C,2,0)</f>
        <v>BELLTECH</v>
      </c>
      <c r="D58" s="28" t="s">
        <v>6</v>
      </c>
      <c r="E58" s="29">
        <v>46084</v>
      </c>
      <c r="F58" s="29">
        <v>46083</v>
      </c>
      <c r="G58" s="45" t="s">
        <v>540</v>
      </c>
      <c r="H58" s="8">
        <v>260035950</v>
      </c>
      <c r="I58" s="31">
        <v>259735950</v>
      </c>
      <c r="J58" s="8">
        <v>0</v>
      </c>
      <c r="K58" s="8">
        <v>0</v>
      </c>
      <c r="L58" s="52"/>
      <c r="M58" s="6">
        <f t="shared" si="2"/>
        <v>-300000</v>
      </c>
      <c r="N58" s="21" t="str">
        <f t="shared" si="3"/>
        <v>Sobrante</v>
      </c>
      <c r="O58" s="9" t="s">
        <v>592</v>
      </c>
      <c r="P58" s="54">
        <v>71339401</v>
      </c>
    </row>
    <row r="59" spans="1:16" x14ac:dyDescent="0.35">
      <c r="A59" s="70">
        <v>907</v>
      </c>
      <c r="B59" s="28">
        <v>5019</v>
      </c>
      <c r="C59" s="18" t="str">
        <f>VLOOKUP(B59,'Lista MF'!B:C,2,0)</f>
        <v>BELLTECH</v>
      </c>
      <c r="D59" s="28" t="s">
        <v>6</v>
      </c>
      <c r="E59" s="29">
        <v>46084</v>
      </c>
      <c r="F59" s="29">
        <v>46083</v>
      </c>
      <c r="G59" s="45" t="s">
        <v>542</v>
      </c>
      <c r="H59" s="8">
        <v>259784700</v>
      </c>
      <c r="I59" s="31">
        <v>274754700</v>
      </c>
      <c r="J59" s="8">
        <v>15000000</v>
      </c>
      <c r="K59" s="8">
        <v>0</v>
      </c>
      <c r="L59" s="52"/>
      <c r="M59" s="6">
        <f t="shared" si="2"/>
        <v>-30000</v>
      </c>
      <c r="N59" s="21" t="str">
        <f t="shared" si="3"/>
        <v>Sobrante</v>
      </c>
      <c r="O59" s="9" t="s">
        <v>592</v>
      </c>
      <c r="P59" s="54">
        <v>71339401</v>
      </c>
    </row>
    <row r="60" spans="1:16" x14ac:dyDescent="0.35">
      <c r="A60" s="70">
        <v>946</v>
      </c>
      <c r="B60" s="28">
        <v>5225</v>
      </c>
      <c r="C60" s="18" t="str">
        <f>VLOOKUP(B60,'Lista MF'!B:C,2,0)</f>
        <v>BELLTECH</v>
      </c>
      <c r="D60" s="28" t="s">
        <v>6</v>
      </c>
      <c r="E60" s="29">
        <v>46084</v>
      </c>
      <c r="F60" s="29">
        <v>46080</v>
      </c>
      <c r="G60" s="45" t="s">
        <v>576</v>
      </c>
      <c r="H60" s="8">
        <v>203942750</v>
      </c>
      <c r="I60" s="31">
        <v>246926750</v>
      </c>
      <c r="J60" s="8">
        <v>47380000</v>
      </c>
      <c r="K60" s="8">
        <v>4396000</v>
      </c>
      <c r="L60" s="52"/>
      <c r="M60" s="6">
        <f t="shared" si="2"/>
        <v>0</v>
      </c>
      <c r="N60" s="21" t="str">
        <f t="shared" si="3"/>
        <v>Cuadrado</v>
      </c>
      <c r="O60" s="55" t="s">
        <v>590</v>
      </c>
      <c r="P60" s="54">
        <v>20500181</v>
      </c>
    </row>
    <row r="61" spans="1:16" x14ac:dyDescent="0.35">
      <c r="A61" s="70">
        <v>1</v>
      </c>
      <c r="B61" s="28">
        <v>5000</v>
      </c>
      <c r="C61" s="18" t="str">
        <f>VLOOKUP(B61,'Lista MF'!B:C,2,0)</f>
        <v>BELLTECH</v>
      </c>
      <c r="D61" s="28" t="s">
        <v>6</v>
      </c>
      <c r="E61" s="29">
        <v>46085</v>
      </c>
      <c r="F61" s="29">
        <v>46084</v>
      </c>
      <c r="G61" s="45" t="s">
        <v>557</v>
      </c>
      <c r="H61" s="8">
        <v>196112400</v>
      </c>
      <c r="I61" s="31">
        <v>246926400</v>
      </c>
      <c r="J61" s="8">
        <v>75910000</v>
      </c>
      <c r="K61" s="8">
        <v>24702000</v>
      </c>
      <c r="L61" s="52"/>
      <c r="M61" s="6">
        <f t="shared" si="2"/>
        <v>-394000</v>
      </c>
      <c r="N61" s="21" t="str">
        <f t="shared" si="3"/>
        <v>Sobrante</v>
      </c>
      <c r="O61" s="9" t="s">
        <v>627</v>
      </c>
      <c r="P61" s="54">
        <v>1017128064</v>
      </c>
    </row>
    <row r="62" spans="1:16" x14ac:dyDescent="0.35">
      <c r="A62" s="70">
        <v>93</v>
      </c>
      <c r="B62" s="28">
        <v>7126</v>
      </c>
      <c r="C62" s="18" t="str">
        <f>VLOOKUP(B62,'Lista MF'!B:C,2,0)</f>
        <v>BELLTECH</v>
      </c>
      <c r="D62" s="28" t="s">
        <v>6</v>
      </c>
      <c r="E62" s="29">
        <v>46085</v>
      </c>
      <c r="F62" s="29">
        <v>46084</v>
      </c>
      <c r="G62" s="36" t="s">
        <v>621</v>
      </c>
      <c r="H62" s="8">
        <v>141650850</v>
      </c>
      <c r="I62" s="31">
        <v>150308850</v>
      </c>
      <c r="J62" s="8">
        <v>19680000</v>
      </c>
      <c r="K62" s="8">
        <v>11022000</v>
      </c>
      <c r="L62" s="52"/>
      <c r="M62" s="6">
        <f t="shared" si="2"/>
        <v>0</v>
      </c>
      <c r="N62" s="21" t="str">
        <f t="shared" si="3"/>
        <v>Cuadrado</v>
      </c>
      <c r="O62" s="66" t="s">
        <v>590</v>
      </c>
      <c r="P62" s="54">
        <v>1067931735</v>
      </c>
    </row>
    <row r="63" spans="1:16" x14ac:dyDescent="0.35">
      <c r="A63" s="70">
        <v>166</v>
      </c>
      <c r="B63" s="28">
        <v>7940</v>
      </c>
      <c r="C63" s="18" t="str">
        <f>VLOOKUP(B63,'Lista MF'!B:C,2,0)</f>
        <v>BELLTECH</v>
      </c>
      <c r="D63" s="28" t="s">
        <v>99</v>
      </c>
      <c r="E63" s="29">
        <v>46085</v>
      </c>
      <c r="F63" s="29">
        <v>46084</v>
      </c>
      <c r="G63" s="45" t="s">
        <v>610</v>
      </c>
      <c r="H63" s="8">
        <v>337097000</v>
      </c>
      <c r="I63" s="31">
        <v>204376600</v>
      </c>
      <c r="J63" s="8">
        <v>40230000</v>
      </c>
      <c r="K63" s="8">
        <v>169096500</v>
      </c>
      <c r="L63" s="52"/>
      <c r="M63" s="6">
        <f t="shared" si="2"/>
        <v>-3853900</v>
      </c>
      <c r="N63" s="21" t="str">
        <f t="shared" si="3"/>
        <v>Sobrante</v>
      </c>
      <c r="O63" s="9" t="s">
        <v>627</v>
      </c>
      <c r="P63" s="54">
        <v>50938822</v>
      </c>
    </row>
    <row r="64" spans="1:16" x14ac:dyDescent="0.35">
      <c r="A64" s="70">
        <v>185</v>
      </c>
      <c r="B64" s="28">
        <v>2208</v>
      </c>
      <c r="C64" s="18" t="str">
        <f>VLOOKUP(B64,'Lista MF'!B:C,2,0)</f>
        <v>DIEBOLD</v>
      </c>
      <c r="D64" s="28" t="s">
        <v>6</v>
      </c>
      <c r="E64" s="29">
        <v>46085</v>
      </c>
      <c r="F64" s="29">
        <v>46084</v>
      </c>
      <c r="G64" s="45" t="s">
        <v>597</v>
      </c>
      <c r="H64" s="8">
        <v>45108500</v>
      </c>
      <c r="I64" s="31">
        <v>44373200</v>
      </c>
      <c r="J64" s="8">
        <v>2850000</v>
      </c>
      <c r="K64" s="8">
        <v>5110000</v>
      </c>
      <c r="L64" s="52"/>
      <c r="M64" s="6">
        <f t="shared" si="2"/>
        <v>1524700</v>
      </c>
      <c r="N64" s="21" t="str">
        <f t="shared" si="3"/>
        <v>Faltante</v>
      </c>
      <c r="O64" s="13" t="s">
        <v>628</v>
      </c>
      <c r="P64" s="54">
        <v>66784636</v>
      </c>
    </row>
    <row r="65" spans="1:16" x14ac:dyDescent="0.35">
      <c r="A65" s="70">
        <v>233</v>
      </c>
      <c r="B65" s="28">
        <v>7212</v>
      </c>
      <c r="C65" s="18" t="str">
        <f>VLOOKUP(B65,'Lista MF'!B:C,2,0)</f>
        <v>BELLTECH</v>
      </c>
      <c r="D65" s="28" t="s">
        <v>99</v>
      </c>
      <c r="E65" s="29">
        <v>46085</v>
      </c>
      <c r="F65" s="29">
        <v>46084</v>
      </c>
      <c r="G65" s="45" t="s">
        <v>609</v>
      </c>
      <c r="H65" s="8">
        <v>233874400</v>
      </c>
      <c r="I65" s="31">
        <v>238254400</v>
      </c>
      <c r="J65" s="8">
        <v>2100000</v>
      </c>
      <c r="K65" s="8">
        <v>220000</v>
      </c>
      <c r="L65" s="52"/>
      <c r="M65" s="6">
        <f t="shared" si="2"/>
        <v>2500000</v>
      </c>
      <c r="N65" s="21" t="str">
        <f t="shared" si="3"/>
        <v>Faltante</v>
      </c>
      <c r="O65" s="55" t="s">
        <v>622</v>
      </c>
      <c r="P65" s="54">
        <v>80271480</v>
      </c>
    </row>
    <row r="66" spans="1:16" x14ac:dyDescent="0.35">
      <c r="A66" s="70">
        <v>291</v>
      </c>
      <c r="B66" s="28">
        <v>8139</v>
      </c>
      <c r="C66" s="18" t="str">
        <f>VLOOKUP(B66,'Lista MF'!B:C,2,0)</f>
        <v>DIEBOLD</v>
      </c>
      <c r="D66" s="28" t="s">
        <v>6</v>
      </c>
      <c r="E66" s="29">
        <v>46085</v>
      </c>
      <c r="F66" s="29">
        <v>46084</v>
      </c>
      <c r="G66" s="45" t="s">
        <v>613</v>
      </c>
      <c r="H66" s="8">
        <v>98387300</v>
      </c>
      <c r="I66" s="31">
        <v>111026600</v>
      </c>
      <c r="J66" s="8">
        <v>16070000</v>
      </c>
      <c r="K66" s="8">
        <v>3450000</v>
      </c>
      <c r="L66" s="52">
        <v>19300</v>
      </c>
      <c r="M66" s="6">
        <f t="shared" ref="M66:M97" si="4">I66-(H66+J66-K66)-L66</f>
        <v>0</v>
      </c>
      <c r="N66" s="21" t="str">
        <f t="shared" ref="N66:N97" si="5">IF(M66="","",IF(M66=0,"Cuadrado",IF(M66&gt;0,"Faltante","Sobrante")))</f>
        <v>Cuadrado</v>
      </c>
      <c r="O66" s="67" t="s">
        <v>623</v>
      </c>
      <c r="P66" s="54">
        <v>1095930956</v>
      </c>
    </row>
    <row r="67" spans="1:16" x14ac:dyDescent="0.35">
      <c r="A67" s="70">
        <v>331</v>
      </c>
      <c r="B67" s="28">
        <v>574</v>
      </c>
      <c r="C67" s="18" t="str">
        <f>VLOOKUP(B67,'Lista MF'!B:C,2,0)</f>
        <v>BELLTECH</v>
      </c>
      <c r="D67" s="36" t="s">
        <v>6</v>
      </c>
      <c r="E67" s="29">
        <v>46085</v>
      </c>
      <c r="F67" s="29">
        <v>46084</v>
      </c>
      <c r="G67" s="45" t="s">
        <v>594</v>
      </c>
      <c r="H67" s="8">
        <v>110266600</v>
      </c>
      <c r="I67" s="31">
        <v>419768750</v>
      </c>
      <c r="J67" s="8">
        <v>27370000</v>
      </c>
      <c r="K67" s="8">
        <v>175978850</v>
      </c>
      <c r="L67" s="52">
        <f>-11180000+277816000</f>
        <v>266636000</v>
      </c>
      <c r="M67" s="6">
        <f t="shared" si="4"/>
        <v>191475000</v>
      </c>
      <c r="N67" s="21" t="str">
        <f t="shared" si="5"/>
        <v>Faltante</v>
      </c>
      <c r="O67" s="55" t="s">
        <v>622</v>
      </c>
      <c r="P67" s="54">
        <v>32244978</v>
      </c>
    </row>
    <row r="68" spans="1:16" x14ac:dyDescent="0.35">
      <c r="A68" s="70">
        <v>392</v>
      </c>
      <c r="B68" s="28">
        <v>5064</v>
      </c>
      <c r="C68" s="18" t="str">
        <f>VLOOKUP(B68,'Lista MF'!B:C,2,0)</f>
        <v>BELLTECH</v>
      </c>
      <c r="D68" s="28" t="s">
        <v>6</v>
      </c>
      <c r="E68" s="29">
        <v>46085</v>
      </c>
      <c r="F68" s="29">
        <v>46084</v>
      </c>
      <c r="G68" s="45" t="s">
        <v>600</v>
      </c>
      <c r="H68" s="8">
        <v>156577650</v>
      </c>
      <c r="I68" s="31">
        <v>158719650</v>
      </c>
      <c r="J68" s="8">
        <v>45650000</v>
      </c>
      <c r="K68" s="8">
        <v>44635000</v>
      </c>
      <c r="L68" s="52">
        <v>1127000</v>
      </c>
      <c r="M68" s="6">
        <f t="shared" si="4"/>
        <v>0</v>
      </c>
      <c r="N68" s="21" t="str">
        <f t="shared" si="5"/>
        <v>Cuadrado</v>
      </c>
      <c r="O68" s="67" t="s">
        <v>625</v>
      </c>
      <c r="P68" s="54">
        <v>1054547012</v>
      </c>
    </row>
    <row r="69" spans="1:16" x14ac:dyDescent="0.35">
      <c r="A69" s="70">
        <v>430</v>
      </c>
      <c r="B69" s="28">
        <v>5104</v>
      </c>
      <c r="C69" s="18" t="str">
        <f>VLOOKUP(B69,'Lista MF'!B:C,2,0)</f>
        <v>BELLTECH</v>
      </c>
      <c r="D69" s="28" t="s">
        <v>6</v>
      </c>
      <c r="E69" s="29">
        <v>46085</v>
      </c>
      <c r="F69" s="29">
        <v>46084</v>
      </c>
      <c r="G69" s="45" t="s">
        <v>601</v>
      </c>
      <c r="H69" s="8">
        <v>336412000</v>
      </c>
      <c r="I69" s="31">
        <v>303428650</v>
      </c>
      <c r="J69" s="8">
        <v>15920000</v>
      </c>
      <c r="K69" s="8">
        <v>49488000</v>
      </c>
      <c r="L69" s="52"/>
      <c r="M69" s="6">
        <f t="shared" si="4"/>
        <v>584650</v>
      </c>
      <c r="N69" s="21" t="str">
        <f t="shared" si="5"/>
        <v>Faltante</v>
      </c>
      <c r="O69" s="55" t="s">
        <v>622</v>
      </c>
      <c r="P69" s="54">
        <v>1035234232</v>
      </c>
    </row>
    <row r="70" spans="1:16" x14ac:dyDescent="0.35">
      <c r="A70" s="70">
        <v>453</v>
      </c>
      <c r="B70" s="28">
        <v>8018</v>
      </c>
      <c r="C70" s="18" t="str">
        <f>VLOOKUP(B70,'Lista MF'!B:C,2,0)</f>
        <v>BELLTECH</v>
      </c>
      <c r="D70" s="28" t="s">
        <v>6</v>
      </c>
      <c r="E70" s="29">
        <v>46085</v>
      </c>
      <c r="F70" s="29">
        <v>46084</v>
      </c>
      <c r="G70" s="45" t="s">
        <v>611</v>
      </c>
      <c r="H70" s="8">
        <v>317539300</v>
      </c>
      <c r="I70" s="31">
        <v>276186300</v>
      </c>
      <c r="J70" s="8">
        <v>4780000</v>
      </c>
      <c r="K70" s="8">
        <v>18220000</v>
      </c>
      <c r="L70" s="52"/>
      <c r="M70" s="6">
        <f t="shared" si="4"/>
        <v>-27913000</v>
      </c>
      <c r="N70" s="21" t="str">
        <f t="shared" si="5"/>
        <v>Sobrante</v>
      </c>
      <c r="O70" s="9" t="s">
        <v>627</v>
      </c>
      <c r="P70" s="54">
        <v>1083897578</v>
      </c>
    </row>
    <row r="71" spans="1:16" x14ac:dyDescent="0.35">
      <c r="A71" s="70">
        <v>453</v>
      </c>
      <c r="B71" s="28">
        <v>8019</v>
      </c>
      <c r="C71" s="18" t="str">
        <f>VLOOKUP(B71,'Lista MF'!B:C,2,0)</f>
        <v>BELLTECH</v>
      </c>
      <c r="D71" s="28" t="s">
        <v>6</v>
      </c>
      <c r="E71" s="29">
        <v>46085</v>
      </c>
      <c r="F71" s="29">
        <v>46084</v>
      </c>
      <c r="G71" s="45" t="s">
        <v>612</v>
      </c>
      <c r="H71" s="8">
        <v>290564100</v>
      </c>
      <c r="I71" s="31">
        <v>260374100</v>
      </c>
      <c r="J71" s="8">
        <v>7170000</v>
      </c>
      <c r="K71" s="8">
        <v>34750000</v>
      </c>
      <c r="L71" s="52"/>
      <c r="M71" s="6">
        <f t="shared" si="4"/>
        <v>-2610000</v>
      </c>
      <c r="N71" s="21" t="str">
        <f t="shared" si="5"/>
        <v>Sobrante</v>
      </c>
      <c r="O71" s="9" t="s">
        <v>627</v>
      </c>
      <c r="P71" s="54">
        <v>1083897578</v>
      </c>
    </row>
    <row r="72" spans="1:16" x14ac:dyDescent="0.35">
      <c r="A72" s="70">
        <v>509</v>
      </c>
      <c r="B72" s="28">
        <v>8835</v>
      </c>
      <c r="C72" s="18" t="str">
        <f>VLOOKUP(B72,'Lista MF'!B:C,2,0)</f>
        <v>BELLTECH</v>
      </c>
      <c r="D72" s="28" t="s">
        <v>6</v>
      </c>
      <c r="E72" s="29">
        <v>46085</v>
      </c>
      <c r="F72" s="29">
        <v>46084</v>
      </c>
      <c r="G72" s="45" t="s">
        <v>617</v>
      </c>
      <c r="H72" s="8">
        <v>289365350</v>
      </c>
      <c r="I72" s="31">
        <v>230723250</v>
      </c>
      <c r="J72" s="8">
        <v>4280000</v>
      </c>
      <c r="K72" s="8">
        <v>64171700</v>
      </c>
      <c r="L72" s="52"/>
      <c r="M72" s="6">
        <f t="shared" si="4"/>
        <v>1249600</v>
      </c>
      <c r="N72" s="21" t="str">
        <f t="shared" si="5"/>
        <v>Faltante</v>
      </c>
      <c r="O72" s="13" t="s">
        <v>628</v>
      </c>
      <c r="P72" s="54">
        <v>1143370364</v>
      </c>
    </row>
    <row r="73" spans="1:16" x14ac:dyDescent="0.35">
      <c r="A73" s="70">
        <v>524</v>
      </c>
      <c r="B73" s="28">
        <v>6336</v>
      </c>
      <c r="C73" s="18" t="str">
        <f>VLOOKUP(B73,'Lista MF'!B:C,2,0)</f>
        <v>BELLTECH</v>
      </c>
      <c r="D73" s="28" t="s">
        <v>6</v>
      </c>
      <c r="E73" s="29">
        <v>46085</v>
      </c>
      <c r="F73" s="29">
        <v>46084</v>
      </c>
      <c r="G73" s="45" t="s">
        <v>607</v>
      </c>
      <c r="H73" s="8">
        <v>260115300</v>
      </c>
      <c r="I73" s="31">
        <v>260773100</v>
      </c>
      <c r="J73" s="8">
        <v>660000</v>
      </c>
      <c r="K73" s="8">
        <v>0</v>
      </c>
      <c r="L73" s="52"/>
      <c r="M73" s="6">
        <f t="shared" si="4"/>
        <v>-2200</v>
      </c>
      <c r="N73" s="21" t="str">
        <f t="shared" si="5"/>
        <v>Sobrante</v>
      </c>
      <c r="O73" s="9" t="s">
        <v>627</v>
      </c>
      <c r="P73" s="54">
        <v>1004211532</v>
      </c>
    </row>
    <row r="74" spans="1:16" x14ac:dyDescent="0.35">
      <c r="A74" s="70">
        <v>551</v>
      </c>
      <c r="B74" s="28">
        <v>9644</v>
      </c>
      <c r="C74" s="18" t="str">
        <f>VLOOKUP(B74,'Lista MF'!B:C,2,0)</f>
        <v>BELLTECH</v>
      </c>
      <c r="D74" s="28" t="s">
        <v>6</v>
      </c>
      <c r="E74" s="29">
        <v>46085</v>
      </c>
      <c r="F74" s="29">
        <v>46084</v>
      </c>
      <c r="G74" s="45" t="s">
        <v>618</v>
      </c>
      <c r="H74" s="8">
        <v>389260600</v>
      </c>
      <c r="I74" s="31">
        <v>295698550</v>
      </c>
      <c r="J74" s="8">
        <v>54650000</v>
      </c>
      <c r="K74" s="8">
        <v>133333050</v>
      </c>
      <c r="L74" s="52"/>
      <c r="M74" s="6">
        <f t="shared" si="4"/>
        <v>-14879000</v>
      </c>
      <c r="N74" s="21" t="str">
        <f t="shared" si="5"/>
        <v>Sobrante</v>
      </c>
      <c r="O74" s="4" t="s">
        <v>622</v>
      </c>
      <c r="P74" s="54">
        <v>1152213498</v>
      </c>
    </row>
    <row r="75" spans="1:16" x14ac:dyDescent="0.35">
      <c r="A75" s="72">
        <v>571</v>
      </c>
      <c r="B75" s="28">
        <v>6150</v>
      </c>
      <c r="C75" s="18" t="str">
        <f>VLOOKUP(B75,'Lista MF'!B:C,2,0)</f>
        <v>BELLTECH</v>
      </c>
      <c r="D75" s="36" t="s">
        <v>6</v>
      </c>
      <c r="E75" s="29">
        <v>46085</v>
      </c>
      <c r="F75" s="29">
        <v>46084</v>
      </c>
      <c r="G75" s="45" t="s">
        <v>596</v>
      </c>
      <c r="H75" s="8">
        <v>81955300</v>
      </c>
      <c r="I75" s="31">
        <v>67953850</v>
      </c>
      <c r="J75" s="8">
        <v>61680000</v>
      </c>
      <c r="K75" s="8">
        <v>75648900</v>
      </c>
      <c r="L75" s="52"/>
      <c r="M75" s="6">
        <f t="shared" si="4"/>
        <v>-32550</v>
      </c>
      <c r="N75" s="21" t="str">
        <f t="shared" si="5"/>
        <v>Sobrante</v>
      </c>
      <c r="O75" s="9" t="s">
        <v>627</v>
      </c>
      <c r="P75" s="56">
        <v>1019116828</v>
      </c>
    </row>
    <row r="76" spans="1:16" x14ac:dyDescent="0.35">
      <c r="A76" s="70">
        <v>623</v>
      </c>
      <c r="B76" s="28">
        <v>5047</v>
      </c>
      <c r="C76" s="18" t="str">
        <f>VLOOKUP(B76,'Lista MF'!B:C,2,0)</f>
        <v>BELLTECH</v>
      </c>
      <c r="D76" s="28" t="s">
        <v>6</v>
      </c>
      <c r="E76" s="29">
        <v>46085</v>
      </c>
      <c r="F76" s="29">
        <v>46084</v>
      </c>
      <c r="G76" s="45" t="s">
        <v>598</v>
      </c>
      <c r="H76" s="8">
        <v>212035800</v>
      </c>
      <c r="I76" s="31">
        <v>221845800</v>
      </c>
      <c r="J76" s="8">
        <v>10260000</v>
      </c>
      <c r="K76" s="8">
        <v>0</v>
      </c>
      <c r="L76" s="52"/>
      <c r="M76" s="6">
        <f t="shared" si="4"/>
        <v>-450000</v>
      </c>
      <c r="N76" s="21" t="str">
        <f t="shared" si="5"/>
        <v>Sobrante</v>
      </c>
      <c r="O76" s="9" t="s">
        <v>627</v>
      </c>
      <c r="P76" s="54">
        <v>1060651791</v>
      </c>
    </row>
    <row r="77" spans="1:16" x14ac:dyDescent="0.35">
      <c r="A77" s="72">
        <v>674</v>
      </c>
      <c r="B77" s="28">
        <v>5200</v>
      </c>
      <c r="C77" s="18" t="str">
        <f>VLOOKUP(B77,'Lista MF'!B:C,2,0)</f>
        <v>BELLTECH</v>
      </c>
      <c r="D77" s="36" t="s">
        <v>6</v>
      </c>
      <c r="E77" s="29">
        <v>46085</v>
      </c>
      <c r="F77" s="29">
        <v>46084</v>
      </c>
      <c r="G77" s="45" t="s">
        <v>604</v>
      </c>
      <c r="H77" s="8">
        <v>71893250</v>
      </c>
      <c r="I77" s="31">
        <v>28043300</v>
      </c>
      <c r="J77" s="8">
        <v>19150000</v>
      </c>
      <c r="K77" s="8">
        <v>0</v>
      </c>
      <c r="L77" s="52">
        <f>-63000000+50</f>
        <v>-62999950</v>
      </c>
      <c r="M77" s="6">
        <f t="shared" si="4"/>
        <v>0</v>
      </c>
      <c r="N77" s="21" t="str">
        <f t="shared" si="5"/>
        <v>Cuadrado</v>
      </c>
      <c r="O77" s="67" t="s">
        <v>626</v>
      </c>
      <c r="P77" s="56">
        <v>79813088</v>
      </c>
    </row>
    <row r="78" spans="1:16" x14ac:dyDescent="0.35">
      <c r="A78" s="72">
        <v>678</v>
      </c>
      <c r="B78" s="28">
        <v>5227</v>
      </c>
      <c r="C78" s="18" t="str">
        <f>VLOOKUP(B78,'Lista MF'!B:C,2,0)</f>
        <v>BELLTECH</v>
      </c>
      <c r="D78" s="36" t="s">
        <v>6</v>
      </c>
      <c r="E78" s="29">
        <v>46085</v>
      </c>
      <c r="F78" s="29">
        <v>46084</v>
      </c>
      <c r="G78" s="45" t="s">
        <v>606</v>
      </c>
      <c r="H78" s="8">
        <v>79082350</v>
      </c>
      <c r="I78" s="31">
        <v>86475000</v>
      </c>
      <c r="J78" s="8">
        <v>34900000</v>
      </c>
      <c r="K78" s="8">
        <v>22427350</v>
      </c>
      <c r="L78" s="52"/>
      <c r="M78" s="6">
        <f t="shared" si="4"/>
        <v>-5080000</v>
      </c>
      <c r="N78" s="21" t="str">
        <f t="shared" si="5"/>
        <v>Sobrante</v>
      </c>
      <c r="O78" s="9" t="s">
        <v>627</v>
      </c>
      <c r="P78" s="56">
        <v>1102586250</v>
      </c>
    </row>
    <row r="79" spans="1:16" x14ac:dyDescent="0.35">
      <c r="A79" s="70">
        <v>692</v>
      </c>
      <c r="B79" s="28">
        <v>1515</v>
      </c>
      <c r="C79" s="18" t="str">
        <f>VLOOKUP(B79,'Lista MF'!B:C,2,0)</f>
        <v>BELLTECH</v>
      </c>
      <c r="D79" s="28" t="s">
        <v>6</v>
      </c>
      <c r="E79" s="29">
        <v>46085</v>
      </c>
      <c r="F79" s="29">
        <v>46084</v>
      </c>
      <c r="G79" s="45" t="s">
        <v>596</v>
      </c>
      <c r="H79" s="8">
        <v>327365550</v>
      </c>
      <c r="I79" s="31">
        <v>200057550</v>
      </c>
      <c r="J79" s="8">
        <v>33500000</v>
      </c>
      <c r="K79" s="8">
        <v>158964850</v>
      </c>
      <c r="L79" s="52"/>
      <c r="M79" s="6">
        <f t="shared" si="4"/>
        <v>-1843150</v>
      </c>
      <c r="N79" s="21" t="str">
        <f t="shared" si="5"/>
        <v>Sobrante</v>
      </c>
      <c r="O79" s="9" t="s">
        <v>627</v>
      </c>
      <c r="P79" s="54">
        <v>30840635</v>
      </c>
    </row>
    <row r="80" spans="1:16" x14ac:dyDescent="0.35">
      <c r="A80" s="70">
        <v>728</v>
      </c>
      <c r="B80" s="28">
        <v>8586</v>
      </c>
      <c r="C80" s="18" t="str">
        <f>VLOOKUP(B80,'Lista MF'!B:C,2,0)</f>
        <v>BELLTECH</v>
      </c>
      <c r="D80" s="28" t="s">
        <v>6</v>
      </c>
      <c r="E80" s="29">
        <v>46085</v>
      </c>
      <c r="F80" s="29">
        <v>46084</v>
      </c>
      <c r="G80" s="45" t="s">
        <v>614</v>
      </c>
      <c r="H80" s="8">
        <v>124069800</v>
      </c>
      <c r="I80" s="31">
        <v>43355300</v>
      </c>
      <c r="J80" s="8">
        <v>24450000</v>
      </c>
      <c r="K80" s="8">
        <v>103924000</v>
      </c>
      <c r="L80" s="52">
        <f>-3351500+2111000</f>
        <v>-1240500</v>
      </c>
      <c r="M80" s="6">
        <f t="shared" si="4"/>
        <v>0</v>
      </c>
      <c r="N80" s="21" t="str">
        <f t="shared" si="5"/>
        <v>Cuadrado</v>
      </c>
      <c r="O80" s="4" t="s">
        <v>590</v>
      </c>
      <c r="P80" s="54">
        <v>1112783690</v>
      </c>
    </row>
    <row r="81" spans="1:16" x14ac:dyDescent="0.35">
      <c r="A81" s="70">
        <v>728</v>
      </c>
      <c r="B81" s="28">
        <v>8587</v>
      </c>
      <c r="C81" s="18" t="str">
        <f>VLOOKUP(B81,'Lista MF'!B:C,2,0)</f>
        <v>BELLTECH</v>
      </c>
      <c r="D81" s="28" t="s">
        <v>6</v>
      </c>
      <c r="E81" s="29">
        <v>46085</v>
      </c>
      <c r="F81" s="29">
        <v>46084</v>
      </c>
      <c r="G81" s="45" t="s">
        <v>615</v>
      </c>
      <c r="H81" s="8">
        <v>117107850</v>
      </c>
      <c r="I81" s="31">
        <v>87763850</v>
      </c>
      <c r="J81" s="8">
        <v>4320000</v>
      </c>
      <c r="K81" s="8">
        <v>33684000</v>
      </c>
      <c r="L81" s="52">
        <v>20000</v>
      </c>
      <c r="M81" s="6">
        <f t="shared" si="4"/>
        <v>0</v>
      </c>
      <c r="N81" s="21" t="str">
        <f t="shared" si="5"/>
        <v>Cuadrado</v>
      </c>
      <c r="O81" s="4" t="s">
        <v>590</v>
      </c>
      <c r="P81" s="54">
        <v>1112783690</v>
      </c>
    </row>
    <row r="82" spans="1:16" x14ac:dyDescent="0.35">
      <c r="A82" s="70">
        <v>741</v>
      </c>
      <c r="B82" s="28">
        <v>6843</v>
      </c>
      <c r="C82" s="18" t="str">
        <f>VLOOKUP(B82,'Lista MF'!B:C,2,0)</f>
        <v>DIEBOLD</v>
      </c>
      <c r="D82" s="28" t="s">
        <v>6</v>
      </c>
      <c r="E82" s="29">
        <v>46085</v>
      </c>
      <c r="F82" s="29">
        <v>46084</v>
      </c>
      <c r="G82" s="45" t="s">
        <v>608</v>
      </c>
      <c r="H82" s="8">
        <v>159080350</v>
      </c>
      <c r="I82" s="31">
        <v>187116200</v>
      </c>
      <c r="J82" s="8">
        <v>47230000</v>
      </c>
      <c r="K82" s="8">
        <v>58009000</v>
      </c>
      <c r="L82" s="52"/>
      <c r="M82" s="6">
        <f t="shared" si="4"/>
        <v>38814850</v>
      </c>
      <c r="N82" s="21" t="str">
        <f t="shared" si="5"/>
        <v>Faltante</v>
      </c>
      <c r="O82" s="4" t="s">
        <v>622</v>
      </c>
      <c r="P82" s="54">
        <v>1130637714</v>
      </c>
    </row>
    <row r="83" spans="1:16" x14ac:dyDescent="0.35">
      <c r="A83" s="70">
        <v>779</v>
      </c>
      <c r="B83" s="28">
        <v>5013</v>
      </c>
      <c r="C83" s="18" t="str">
        <f>VLOOKUP(B83,'Lista MF'!B:C,2,0)</f>
        <v>BELLTECH</v>
      </c>
      <c r="D83" s="28" t="s">
        <v>6</v>
      </c>
      <c r="E83" s="29">
        <v>46085</v>
      </c>
      <c r="F83" s="29">
        <v>46084</v>
      </c>
      <c r="G83" s="45" t="s">
        <v>598</v>
      </c>
      <c r="H83" s="8">
        <v>44427800</v>
      </c>
      <c r="I83" s="31">
        <v>208299800</v>
      </c>
      <c r="J83" s="8">
        <v>9000000</v>
      </c>
      <c r="K83" s="8">
        <v>51762000</v>
      </c>
      <c r="L83" s="52">
        <v>216761000</v>
      </c>
      <c r="M83" s="6">
        <f t="shared" si="4"/>
        <v>-10127000</v>
      </c>
      <c r="N83" s="21" t="str">
        <f t="shared" si="5"/>
        <v>Sobrante</v>
      </c>
      <c r="O83" s="4" t="s">
        <v>627</v>
      </c>
      <c r="P83" s="54">
        <v>1082858126</v>
      </c>
    </row>
    <row r="84" spans="1:16" x14ac:dyDescent="0.35">
      <c r="A84" s="72">
        <v>779</v>
      </c>
      <c r="B84" s="28">
        <v>8685</v>
      </c>
      <c r="C84" s="18" t="str">
        <f>VLOOKUP(B84,'Lista MF'!B:C,2,0)</f>
        <v>BELLTECH</v>
      </c>
      <c r="D84" s="36" t="s">
        <v>6</v>
      </c>
      <c r="E84" s="29">
        <v>46085</v>
      </c>
      <c r="F84" s="29">
        <v>46084</v>
      </c>
      <c r="G84" s="45" t="s">
        <v>616</v>
      </c>
      <c r="H84" s="8">
        <v>72923450</v>
      </c>
      <c r="I84" s="31">
        <v>62434550</v>
      </c>
      <c r="J84" s="8">
        <v>6450000</v>
      </c>
      <c r="K84" s="8">
        <v>12427000</v>
      </c>
      <c r="L84" s="52"/>
      <c r="M84" s="6">
        <f t="shared" si="4"/>
        <v>-4511900</v>
      </c>
      <c r="N84" s="21" t="str">
        <f t="shared" si="5"/>
        <v>Sobrante</v>
      </c>
      <c r="O84" s="4" t="s">
        <v>627</v>
      </c>
      <c r="P84" s="56">
        <v>1082858126</v>
      </c>
    </row>
    <row r="85" spans="1:16" x14ac:dyDescent="0.35">
      <c r="A85" s="70">
        <v>795</v>
      </c>
      <c r="B85" s="28">
        <v>1027</v>
      </c>
      <c r="C85" s="18" t="str">
        <f>VLOOKUP(B85,'Lista MF'!B:C,2,0)</f>
        <v>BELLTECH</v>
      </c>
      <c r="D85" s="28" t="s">
        <v>6</v>
      </c>
      <c r="E85" s="29">
        <v>46085</v>
      </c>
      <c r="F85" s="29">
        <v>46084</v>
      </c>
      <c r="G85" s="45" t="s">
        <v>595</v>
      </c>
      <c r="H85" s="8">
        <v>213479350</v>
      </c>
      <c r="I85" s="31">
        <v>211855750</v>
      </c>
      <c r="J85" s="8">
        <v>5580000</v>
      </c>
      <c r="K85" s="8">
        <v>6230000</v>
      </c>
      <c r="L85" s="52"/>
      <c r="M85" s="6">
        <f t="shared" si="4"/>
        <v>-973600</v>
      </c>
      <c r="N85" s="21" t="str">
        <f t="shared" si="5"/>
        <v>Sobrante</v>
      </c>
      <c r="O85" s="4" t="s">
        <v>627</v>
      </c>
      <c r="P85" s="54">
        <v>91274094</v>
      </c>
    </row>
    <row r="86" spans="1:16" x14ac:dyDescent="0.35">
      <c r="A86" s="70">
        <v>849</v>
      </c>
      <c r="B86" s="28">
        <v>9725</v>
      </c>
      <c r="C86" s="18" t="str">
        <f>VLOOKUP(B86,'Lista MF'!B:C,2,0)</f>
        <v>BELLTECH</v>
      </c>
      <c r="D86" s="28" t="s">
        <v>6</v>
      </c>
      <c r="E86" s="29">
        <v>46085</v>
      </c>
      <c r="F86" s="29">
        <v>46084</v>
      </c>
      <c r="G86" s="45" t="s">
        <v>619</v>
      </c>
      <c r="H86" s="8">
        <v>236004250</v>
      </c>
      <c r="I86" s="31">
        <v>371192950</v>
      </c>
      <c r="J86" s="8">
        <v>52030000</v>
      </c>
      <c r="K86" s="8">
        <v>258989300</v>
      </c>
      <c r="L86" s="52">
        <f>308276000+33998000</f>
        <v>342274000</v>
      </c>
      <c r="M86" s="6">
        <f t="shared" si="4"/>
        <v>-126000</v>
      </c>
      <c r="N86" s="21" t="str">
        <f t="shared" si="5"/>
        <v>Sobrante</v>
      </c>
      <c r="O86" s="9" t="s">
        <v>627</v>
      </c>
      <c r="P86" s="54">
        <v>86063461</v>
      </c>
    </row>
    <row r="87" spans="1:16" x14ac:dyDescent="0.35">
      <c r="A87" s="70">
        <v>882</v>
      </c>
      <c r="B87" s="28">
        <v>5020</v>
      </c>
      <c r="C87" s="18" t="str">
        <f>VLOOKUP(B87,'Lista MF'!B:C,2,0)</f>
        <v>BELLTECH</v>
      </c>
      <c r="D87" s="28" t="s">
        <v>99</v>
      </c>
      <c r="E87" s="29">
        <v>46085</v>
      </c>
      <c r="F87" s="29">
        <v>46084</v>
      </c>
      <c r="G87" s="45" t="s">
        <v>599</v>
      </c>
      <c r="H87" s="8">
        <v>188154500</v>
      </c>
      <c r="I87" s="31">
        <v>138132800</v>
      </c>
      <c r="J87" s="8">
        <v>23370000</v>
      </c>
      <c r="K87" s="8">
        <v>75053700</v>
      </c>
      <c r="L87" s="52"/>
      <c r="M87" s="6">
        <f t="shared" si="4"/>
        <v>1662000</v>
      </c>
      <c r="N87" s="21" t="str">
        <f t="shared" si="5"/>
        <v>Faltante</v>
      </c>
      <c r="O87" s="13" t="s">
        <v>628</v>
      </c>
      <c r="P87" s="54">
        <v>33369487</v>
      </c>
    </row>
    <row r="88" spans="1:16" x14ac:dyDescent="0.35">
      <c r="A88" s="70">
        <v>927</v>
      </c>
      <c r="B88" s="28">
        <v>5143</v>
      </c>
      <c r="C88" s="18" t="str">
        <f>VLOOKUP(B88,'Lista MF'!B:C,2,0)</f>
        <v>BELLTECH</v>
      </c>
      <c r="D88" s="28" t="s">
        <v>6</v>
      </c>
      <c r="E88" s="29">
        <v>46085</v>
      </c>
      <c r="F88" s="29">
        <v>46084</v>
      </c>
      <c r="G88" s="45" t="s">
        <v>603</v>
      </c>
      <c r="H88" s="8">
        <v>235905950</v>
      </c>
      <c r="I88" s="31">
        <v>118917350</v>
      </c>
      <c r="J88" s="8">
        <v>53080000</v>
      </c>
      <c r="K88" s="8">
        <v>160828000</v>
      </c>
      <c r="L88" s="52"/>
      <c r="M88" s="6">
        <f t="shared" si="4"/>
        <v>-9240600</v>
      </c>
      <c r="N88" s="21" t="str">
        <f t="shared" si="5"/>
        <v>Sobrante</v>
      </c>
      <c r="O88" s="9" t="s">
        <v>627</v>
      </c>
      <c r="P88" s="54">
        <v>1124849676</v>
      </c>
    </row>
    <row r="89" spans="1:16" x14ac:dyDescent="0.35">
      <c r="A89" s="70">
        <v>937</v>
      </c>
      <c r="B89" s="28">
        <v>5115</v>
      </c>
      <c r="C89" s="18" t="str">
        <f>VLOOKUP(B89,'Lista MF'!B:C,2,0)</f>
        <v>BELLTECH</v>
      </c>
      <c r="D89" s="28" t="s">
        <v>99</v>
      </c>
      <c r="E89" s="29">
        <v>46085</v>
      </c>
      <c r="F89" s="29">
        <v>46084</v>
      </c>
      <c r="G89" s="45" t="s">
        <v>602</v>
      </c>
      <c r="H89" s="8">
        <v>108987600</v>
      </c>
      <c r="I89" s="31">
        <v>109516500</v>
      </c>
      <c r="J89" s="8">
        <v>2310000</v>
      </c>
      <c r="K89" s="8">
        <v>1750000</v>
      </c>
      <c r="L89" s="52"/>
      <c r="M89" s="6">
        <f t="shared" si="4"/>
        <v>-31100</v>
      </c>
      <c r="N89" s="21" t="str">
        <f t="shared" si="5"/>
        <v>Sobrante</v>
      </c>
      <c r="O89" s="9" t="s">
        <v>627</v>
      </c>
      <c r="P89" s="54">
        <v>1061702364</v>
      </c>
    </row>
    <row r="90" spans="1:16" x14ac:dyDescent="0.35">
      <c r="A90" s="70">
        <v>941</v>
      </c>
      <c r="B90" s="28">
        <v>5220</v>
      </c>
      <c r="C90" s="18" t="str">
        <f>VLOOKUP(B90,'Lista MF'!B:C,2,0)</f>
        <v>BELLTECH</v>
      </c>
      <c r="D90" s="28" t="s">
        <v>6</v>
      </c>
      <c r="E90" s="29">
        <v>46085</v>
      </c>
      <c r="F90" s="29">
        <v>46084</v>
      </c>
      <c r="G90" s="68" t="s">
        <v>605</v>
      </c>
      <c r="H90" s="8">
        <v>175224750</v>
      </c>
      <c r="I90" s="31">
        <v>202854800</v>
      </c>
      <c r="J90" s="8">
        <v>15720000</v>
      </c>
      <c r="K90" s="8">
        <v>283115900</v>
      </c>
      <c r="L90" s="52">
        <f>199415000+95494000</f>
        <v>294909000</v>
      </c>
      <c r="M90" s="6">
        <f t="shared" si="4"/>
        <v>116950</v>
      </c>
      <c r="N90" s="21" t="str">
        <f t="shared" si="5"/>
        <v>Faltante</v>
      </c>
      <c r="O90" s="9" t="s">
        <v>622</v>
      </c>
      <c r="P90" s="54">
        <v>1075228904</v>
      </c>
    </row>
    <row r="91" spans="1:16" x14ac:dyDescent="0.35">
      <c r="A91" s="70">
        <v>946</v>
      </c>
      <c r="B91" s="28">
        <v>5225</v>
      </c>
      <c r="C91" s="18" t="str">
        <f>VLOOKUP(B91,'Lista MF'!B:C,2,0)</f>
        <v>BELLTECH</v>
      </c>
      <c r="D91" s="28" t="s">
        <v>6</v>
      </c>
      <c r="E91" s="29">
        <v>46085</v>
      </c>
      <c r="F91" s="29">
        <v>46084</v>
      </c>
      <c r="G91" t="s">
        <v>620</v>
      </c>
      <c r="H91" s="8">
        <v>279513950</v>
      </c>
      <c r="I91" s="31">
        <v>285863950</v>
      </c>
      <c r="J91" s="8">
        <v>10920000</v>
      </c>
      <c r="K91" s="8">
        <v>4570000</v>
      </c>
      <c r="L91" s="52"/>
      <c r="M91" s="6">
        <f t="shared" si="4"/>
        <v>0</v>
      </c>
      <c r="N91" s="21" t="str">
        <f t="shared" si="5"/>
        <v>Cuadrado</v>
      </c>
      <c r="O91" s="9" t="s">
        <v>590</v>
      </c>
      <c r="P91" s="54">
        <v>20500181</v>
      </c>
    </row>
    <row r="92" spans="1:16" x14ac:dyDescent="0.35">
      <c r="A92" s="72">
        <v>33</v>
      </c>
      <c r="B92" s="28">
        <v>8861</v>
      </c>
      <c r="C92" s="18" t="str">
        <f>VLOOKUP(B92,'Lista MF'!B:C,2,0)</f>
        <v>BELLTECH</v>
      </c>
      <c r="D92" s="36" t="s">
        <v>6</v>
      </c>
      <c r="E92" s="29">
        <v>46086</v>
      </c>
      <c r="F92" s="29">
        <v>46085</v>
      </c>
      <c r="G92" s="45" t="s">
        <v>563</v>
      </c>
      <c r="H92" s="8">
        <v>150096000</v>
      </c>
      <c r="I92" s="31">
        <v>165586000</v>
      </c>
      <c r="J92" s="8">
        <v>15490000</v>
      </c>
      <c r="K92" s="8">
        <v>0</v>
      </c>
      <c r="L92" s="52"/>
      <c r="M92" s="6">
        <f t="shared" si="4"/>
        <v>0</v>
      </c>
      <c r="N92" s="21" t="str">
        <f t="shared" si="5"/>
        <v>Cuadrado</v>
      </c>
      <c r="O92" s="55" t="s">
        <v>590</v>
      </c>
      <c r="P92" s="36">
        <v>79659379</v>
      </c>
    </row>
    <row r="93" spans="1:16" x14ac:dyDescent="0.35">
      <c r="A93" s="70">
        <v>61</v>
      </c>
      <c r="B93" s="28">
        <v>788</v>
      </c>
      <c r="C93" s="18" t="str">
        <f>VLOOKUP(B93,'Lista MF'!B:C,2,0)</f>
        <v>BELLTECH</v>
      </c>
      <c r="D93" s="28" t="s">
        <v>6</v>
      </c>
      <c r="E93" s="29">
        <v>46086</v>
      </c>
      <c r="F93" s="29">
        <v>46085</v>
      </c>
      <c r="G93" s="45" t="s">
        <v>585</v>
      </c>
      <c r="H93" s="8">
        <v>386695450</v>
      </c>
      <c r="I93" s="31">
        <v>390715450</v>
      </c>
      <c r="J93" s="8">
        <v>6560000</v>
      </c>
      <c r="K93" s="8">
        <v>700000</v>
      </c>
      <c r="L93" s="52"/>
      <c r="M93" s="6">
        <f t="shared" si="4"/>
        <v>-1840000</v>
      </c>
      <c r="N93" s="21" t="str">
        <f t="shared" si="5"/>
        <v>Sobrante</v>
      </c>
      <c r="O93" s="9" t="s">
        <v>661</v>
      </c>
      <c r="P93" s="28">
        <v>1144070638</v>
      </c>
    </row>
    <row r="94" spans="1:16" x14ac:dyDescent="0.35">
      <c r="A94" s="72">
        <v>70</v>
      </c>
      <c r="B94" s="28">
        <v>5164</v>
      </c>
      <c r="C94" s="18" t="str">
        <f>VLOOKUP(B94,'Lista MF'!B:C,2,0)</f>
        <v>BELLTECH</v>
      </c>
      <c r="D94" s="36" t="s">
        <v>6</v>
      </c>
      <c r="E94" s="29">
        <v>46086</v>
      </c>
      <c r="F94" s="29">
        <v>46085</v>
      </c>
      <c r="G94" s="45" t="s">
        <v>642</v>
      </c>
      <c r="H94" s="8">
        <v>254910900</v>
      </c>
      <c r="I94" s="31">
        <v>236263200</v>
      </c>
      <c r="J94" s="8">
        <v>7010000</v>
      </c>
      <c r="K94" s="8">
        <v>17266000</v>
      </c>
      <c r="L94" s="52"/>
      <c r="M94" s="6">
        <f t="shared" si="4"/>
        <v>-8391700</v>
      </c>
      <c r="N94" s="21" t="str">
        <f t="shared" si="5"/>
        <v>Sobrante</v>
      </c>
      <c r="O94" s="9" t="s">
        <v>661</v>
      </c>
      <c r="P94" s="36">
        <v>30231139</v>
      </c>
    </row>
    <row r="95" spans="1:16" x14ac:dyDescent="0.35">
      <c r="A95" s="72">
        <v>73</v>
      </c>
      <c r="B95" s="28">
        <v>5108</v>
      </c>
      <c r="C95" s="18" t="str">
        <f>VLOOKUP(B95,'Lista MF'!B:C,2,0)</f>
        <v>BELLTECH</v>
      </c>
      <c r="D95" s="36" t="s">
        <v>6</v>
      </c>
      <c r="E95" s="29">
        <v>46086</v>
      </c>
      <c r="F95" s="29">
        <v>46085</v>
      </c>
      <c r="G95" s="45" t="s">
        <v>637</v>
      </c>
      <c r="H95" s="8">
        <v>161090900</v>
      </c>
      <c r="I95" s="31">
        <v>161415900</v>
      </c>
      <c r="J95" s="8">
        <v>1680000</v>
      </c>
      <c r="K95" s="8">
        <v>1324950</v>
      </c>
      <c r="L95" s="52">
        <v>-30000</v>
      </c>
      <c r="M95" s="6">
        <f t="shared" si="4"/>
        <v>-50</v>
      </c>
      <c r="N95" s="21" t="str">
        <f t="shared" si="5"/>
        <v>Sobrante</v>
      </c>
      <c r="O95" s="9" t="s">
        <v>661</v>
      </c>
      <c r="P95" s="36">
        <v>42157515</v>
      </c>
    </row>
    <row r="96" spans="1:16" x14ac:dyDescent="0.35">
      <c r="A96" s="72">
        <v>74</v>
      </c>
      <c r="B96" s="28">
        <v>6215</v>
      </c>
      <c r="C96" s="18" t="str">
        <f>VLOOKUP(B96,'Lista MF'!B:C,2,0)</f>
        <v>DIEBOLD</v>
      </c>
      <c r="D96" s="36" t="s">
        <v>6</v>
      </c>
      <c r="E96" s="29">
        <v>46086</v>
      </c>
      <c r="F96" s="29">
        <v>46085</v>
      </c>
      <c r="G96" s="45" t="s">
        <v>645</v>
      </c>
      <c r="H96" s="8">
        <v>268116700</v>
      </c>
      <c r="I96" s="31">
        <v>128726700</v>
      </c>
      <c r="J96" s="8">
        <v>11480000</v>
      </c>
      <c r="K96" s="8">
        <v>145198000</v>
      </c>
      <c r="L96" s="52">
        <v>-1938000</v>
      </c>
      <c r="M96" s="6">
        <f t="shared" si="4"/>
        <v>-3734000</v>
      </c>
      <c r="N96" s="21" t="str">
        <f t="shared" si="5"/>
        <v>Sobrante</v>
      </c>
      <c r="O96" s="9" t="s">
        <v>661</v>
      </c>
      <c r="P96" s="36">
        <v>59314706</v>
      </c>
    </row>
    <row r="97" spans="1:16" x14ac:dyDescent="0.35">
      <c r="A97" s="72">
        <v>85</v>
      </c>
      <c r="B97" s="28">
        <v>8974</v>
      </c>
      <c r="C97" s="18" t="str">
        <f>VLOOKUP(B97,'Lista MF'!B:C,2,0)</f>
        <v>BELLTECH</v>
      </c>
      <c r="D97" s="36" t="s">
        <v>6</v>
      </c>
      <c r="E97" s="29">
        <v>46086</v>
      </c>
      <c r="F97" s="29">
        <v>46085</v>
      </c>
      <c r="G97" s="45" t="s">
        <v>651</v>
      </c>
      <c r="H97" s="8">
        <v>197096700</v>
      </c>
      <c r="I97" s="31">
        <v>81733000</v>
      </c>
      <c r="J97" s="8">
        <v>14640000</v>
      </c>
      <c r="K97" s="8">
        <v>130025800</v>
      </c>
      <c r="L97" s="52"/>
      <c r="M97" s="6">
        <f t="shared" si="4"/>
        <v>22100</v>
      </c>
      <c r="N97" s="21" t="str">
        <f t="shared" si="5"/>
        <v>Faltante</v>
      </c>
      <c r="O97" s="4" t="s">
        <v>622</v>
      </c>
      <c r="P97" s="36">
        <v>1047413788</v>
      </c>
    </row>
    <row r="98" spans="1:16" x14ac:dyDescent="0.35">
      <c r="A98" s="72">
        <v>91</v>
      </c>
      <c r="B98" s="28">
        <v>5148</v>
      </c>
      <c r="C98" s="18" t="str">
        <f>VLOOKUP(B98,'Lista MF'!B:C,2,0)</f>
        <v>BELLTECH</v>
      </c>
      <c r="D98" s="36" t="s">
        <v>6</v>
      </c>
      <c r="E98" s="29">
        <v>46086</v>
      </c>
      <c r="F98" s="29">
        <v>46085</v>
      </c>
      <c r="G98" s="45" t="s">
        <v>640</v>
      </c>
      <c r="H98" s="8">
        <v>254880550</v>
      </c>
      <c r="I98" s="31">
        <v>221930400</v>
      </c>
      <c r="J98" s="8">
        <v>4180000</v>
      </c>
      <c r="K98" s="8">
        <v>26257000</v>
      </c>
      <c r="L98" s="52"/>
      <c r="M98" s="6">
        <f t="shared" ref="M98:M129" si="6">I98-(H98+J98-K98)-L98</f>
        <v>-10873150</v>
      </c>
      <c r="N98" s="21" t="str">
        <f t="shared" ref="N98:N129" si="7">IF(M98="","",IF(M98=0,"Cuadrado",IF(M98&gt;0,"Faltante","Sobrante")))</f>
        <v>Sobrante</v>
      </c>
      <c r="O98" s="4" t="s">
        <v>622</v>
      </c>
      <c r="P98" s="36">
        <v>1067844638</v>
      </c>
    </row>
    <row r="99" spans="1:16" x14ac:dyDescent="0.35">
      <c r="A99" s="70">
        <v>108</v>
      </c>
      <c r="B99" s="28">
        <v>2254</v>
      </c>
      <c r="C99" s="18" t="str">
        <f>VLOOKUP(B99,'Lista MF'!B:C,2,0)</f>
        <v>DIEBOLD</v>
      </c>
      <c r="D99" s="28" t="s">
        <v>6</v>
      </c>
      <c r="E99" s="29">
        <v>46086</v>
      </c>
      <c r="F99" s="29">
        <v>46085</v>
      </c>
      <c r="G99" s="45" t="s">
        <v>631</v>
      </c>
      <c r="H99" s="8">
        <v>179018600</v>
      </c>
      <c r="I99" s="31">
        <v>176742800</v>
      </c>
      <c r="J99" s="8">
        <v>1530000</v>
      </c>
      <c r="K99" s="8">
        <v>2120000</v>
      </c>
      <c r="L99" s="52"/>
      <c r="M99" s="6">
        <f t="shared" si="6"/>
        <v>-1685800</v>
      </c>
      <c r="N99" s="21" t="str">
        <f t="shared" si="7"/>
        <v>Sobrante</v>
      </c>
      <c r="O99" s="9" t="s">
        <v>661</v>
      </c>
      <c r="P99" s="28">
        <v>80206469</v>
      </c>
    </row>
    <row r="100" spans="1:16" x14ac:dyDescent="0.35">
      <c r="A100" s="70">
        <v>167</v>
      </c>
      <c r="B100" s="28">
        <v>5030</v>
      </c>
      <c r="C100" s="18" t="str">
        <f>VLOOKUP(B100,'Lista MF'!B:C,2,0)</f>
        <v>BELLTECH</v>
      </c>
      <c r="D100" s="28" t="s">
        <v>6</v>
      </c>
      <c r="E100" s="29">
        <v>46086</v>
      </c>
      <c r="F100" s="29">
        <v>46085</v>
      </c>
      <c r="G100" s="45" t="s">
        <v>632</v>
      </c>
      <c r="H100" s="8">
        <v>355239350</v>
      </c>
      <c r="I100" s="31">
        <v>354189150</v>
      </c>
      <c r="J100" s="8">
        <v>110000</v>
      </c>
      <c r="K100" s="8">
        <v>525000</v>
      </c>
      <c r="L100" s="52"/>
      <c r="M100" s="6">
        <f t="shared" si="6"/>
        <v>-635200</v>
      </c>
      <c r="N100" s="21" t="str">
        <f t="shared" si="7"/>
        <v>Sobrante</v>
      </c>
      <c r="O100" s="9" t="s">
        <v>661</v>
      </c>
      <c r="P100" s="28">
        <v>80076538</v>
      </c>
    </row>
    <row r="101" spans="1:16" x14ac:dyDescent="0.35">
      <c r="A101" s="72">
        <v>197</v>
      </c>
      <c r="B101" s="28">
        <v>5084</v>
      </c>
      <c r="C101" s="18" t="str">
        <f>VLOOKUP(B101,'Lista MF'!B:C,2,0)</f>
        <v>BELLTECH</v>
      </c>
      <c r="D101" s="36" t="s">
        <v>6</v>
      </c>
      <c r="E101" s="29">
        <v>46086</v>
      </c>
      <c r="F101" s="29">
        <v>46084</v>
      </c>
      <c r="G101" s="45" t="s">
        <v>636</v>
      </c>
      <c r="H101" s="8">
        <v>547184600</v>
      </c>
      <c r="I101" s="31">
        <v>547479600</v>
      </c>
      <c r="J101" s="8">
        <v>0</v>
      </c>
      <c r="K101" s="8">
        <v>0</v>
      </c>
      <c r="L101" s="52"/>
      <c r="M101" s="6">
        <f t="shared" si="6"/>
        <v>295000</v>
      </c>
      <c r="N101" s="21" t="str">
        <f t="shared" si="7"/>
        <v>Faltante</v>
      </c>
      <c r="O101" s="9" t="s">
        <v>622</v>
      </c>
      <c r="P101" s="36">
        <v>1065607404</v>
      </c>
    </row>
    <row r="102" spans="1:16" x14ac:dyDescent="0.35">
      <c r="A102" s="70">
        <v>261</v>
      </c>
      <c r="B102" s="28">
        <v>5048</v>
      </c>
      <c r="C102" s="18" t="str">
        <f>VLOOKUP(B102,'Lista MF'!B:C,2,0)</f>
        <v>BELLTECH</v>
      </c>
      <c r="D102" s="28" t="s">
        <v>6</v>
      </c>
      <c r="E102" s="29">
        <v>46086</v>
      </c>
      <c r="F102" s="29">
        <v>46085</v>
      </c>
      <c r="G102" s="45" t="s">
        <v>633</v>
      </c>
      <c r="H102" s="8">
        <v>424951150</v>
      </c>
      <c r="I102" s="31">
        <v>193329350</v>
      </c>
      <c r="J102" s="8">
        <v>15540000</v>
      </c>
      <c r="K102" s="8">
        <v>233166250</v>
      </c>
      <c r="L102" s="52"/>
      <c r="M102" s="6">
        <f t="shared" si="6"/>
        <v>-13995550</v>
      </c>
      <c r="N102" s="21" t="str">
        <f t="shared" si="7"/>
        <v>Sobrante</v>
      </c>
      <c r="O102" s="9" t="s">
        <v>661</v>
      </c>
      <c r="P102" s="28">
        <v>34327627</v>
      </c>
    </row>
    <row r="103" spans="1:16" x14ac:dyDescent="0.35">
      <c r="A103" s="72">
        <v>279</v>
      </c>
      <c r="B103" s="28">
        <v>5147</v>
      </c>
      <c r="C103" s="18" t="str">
        <f>VLOOKUP(B103,'Lista MF'!B:C,2,0)</f>
        <v>BELLTECH</v>
      </c>
      <c r="D103" s="36" t="s">
        <v>6</v>
      </c>
      <c r="E103" s="29">
        <v>46086</v>
      </c>
      <c r="F103" s="29">
        <v>46084</v>
      </c>
      <c r="G103" s="45" t="s">
        <v>639</v>
      </c>
      <c r="H103" s="8">
        <v>144642850</v>
      </c>
      <c r="I103" s="31">
        <v>108730700</v>
      </c>
      <c r="J103" s="8">
        <v>32610000</v>
      </c>
      <c r="K103" s="8">
        <v>68305150</v>
      </c>
      <c r="L103" s="52"/>
      <c r="M103" s="6">
        <f t="shared" si="6"/>
        <v>-217000</v>
      </c>
      <c r="N103" s="21" t="str">
        <f t="shared" si="7"/>
        <v>Sobrante</v>
      </c>
      <c r="O103" s="9" t="s">
        <v>661</v>
      </c>
      <c r="P103" s="36">
        <v>42826913</v>
      </c>
    </row>
    <row r="104" spans="1:16" x14ac:dyDescent="0.35">
      <c r="A104" s="72">
        <v>291</v>
      </c>
      <c r="B104" s="28">
        <v>5114</v>
      </c>
      <c r="C104" s="18" t="str">
        <f>VLOOKUP(B104,'Lista MF'!B:C,2,0)</f>
        <v>BELLTECH</v>
      </c>
      <c r="D104" s="36" t="s">
        <v>6</v>
      </c>
      <c r="E104" s="29">
        <v>46086</v>
      </c>
      <c r="F104" s="29">
        <v>46085</v>
      </c>
      <c r="G104" s="45" t="s">
        <v>638</v>
      </c>
      <c r="H104" s="8">
        <v>269360100</v>
      </c>
      <c r="I104" s="31">
        <v>267510800</v>
      </c>
      <c r="J104" s="8">
        <v>3700000</v>
      </c>
      <c r="K104" s="8">
        <v>3989300</v>
      </c>
      <c r="L104" s="52"/>
      <c r="M104" s="6">
        <f t="shared" si="6"/>
        <v>-1560000</v>
      </c>
      <c r="N104" s="21" t="str">
        <f t="shared" si="7"/>
        <v>Sobrante</v>
      </c>
      <c r="O104" s="9" t="s">
        <v>661</v>
      </c>
      <c r="P104" s="36">
        <v>1095930956</v>
      </c>
    </row>
    <row r="105" spans="1:16" x14ac:dyDescent="0.35">
      <c r="A105" s="70">
        <v>322</v>
      </c>
      <c r="B105" s="28">
        <v>2444</v>
      </c>
      <c r="C105" s="18" t="str">
        <f>VLOOKUP(B105,'Lista MF'!B:C,2,0)</f>
        <v>BELLTECH</v>
      </c>
      <c r="D105" s="28" t="s">
        <v>6</v>
      </c>
      <c r="E105" s="29">
        <v>46086</v>
      </c>
      <c r="F105" s="29">
        <v>46085</v>
      </c>
      <c r="G105" s="45" t="s">
        <v>561</v>
      </c>
      <c r="H105" s="8">
        <v>83943900</v>
      </c>
      <c r="I105" s="31">
        <v>96291900</v>
      </c>
      <c r="J105" s="8">
        <v>10900000</v>
      </c>
      <c r="K105" s="8">
        <v>15552000</v>
      </c>
      <c r="L105" s="52"/>
      <c r="M105" s="6">
        <f t="shared" si="6"/>
        <v>17000000</v>
      </c>
      <c r="N105" s="21" t="str">
        <f t="shared" si="7"/>
        <v>Faltante</v>
      </c>
      <c r="O105" s="13" t="s">
        <v>662</v>
      </c>
      <c r="P105" s="28">
        <v>1101320155</v>
      </c>
    </row>
    <row r="106" spans="1:16" x14ac:dyDescent="0.35">
      <c r="A106" s="72">
        <v>332</v>
      </c>
      <c r="B106" s="28">
        <v>7569</v>
      </c>
      <c r="C106" s="18" t="str">
        <f>VLOOKUP(B106,'Lista MF'!B:C,2,0)</f>
        <v>BELLTECH</v>
      </c>
      <c r="D106" s="36" t="s">
        <v>99</v>
      </c>
      <c r="E106" s="29">
        <v>46086</v>
      </c>
      <c r="F106" s="29">
        <v>46085</v>
      </c>
      <c r="G106" s="45" t="s">
        <v>648</v>
      </c>
      <c r="H106" s="8">
        <v>132013300</v>
      </c>
      <c r="I106" s="31">
        <v>189455350</v>
      </c>
      <c r="J106" s="8">
        <v>26080000</v>
      </c>
      <c r="K106" s="8">
        <v>66447950</v>
      </c>
      <c r="L106" s="52"/>
      <c r="M106" s="6">
        <f t="shared" si="6"/>
        <v>97810000</v>
      </c>
      <c r="N106" s="21" t="str">
        <f t="shared" si="7"/>
        <v>Faltante</v>
      </c>
      <c r="O106" s="13" t="s">
        <v>662</v>
      </c>
      <c r="P106" s="36">
        <v>80541675</v>
      </c>
    </row>
    <row r="107" spans="1:16" x14ac:dyDescent="0.35">
      <c r="A107" s="70">
        <v>395</v>
      </c>
      <c r="B107" s="28">
        <v>1528</v>
      </c>
      <c r="C107" s="18" t="str">
        <f>VLOOKUP(B107,'Lista MF'!B:C,2,0)</f>
        <v>BELLTECH</v>
      </c>
      <c r="D107" s="28" t="s">
        <v>6</v>
      </c>
      <c r="E107" s="29">
        <v>46086</v>
      </c>
      <c r="F107" s="29">
        <v>46085</v>
      </c>
      <c r="G107" s="45" t="s">
        <v>583</v>
      </c>
      <c r="H107" s="8">
        <v>337842050</v>
      </c>
      <c r="I107" s="31">
        <v>292232750</v>
      </c>
      <c r="J107" s="8">
        <v>2390000</v>
      </c>
      <c r="K107" s="8">
        <v>20940000</v>
      </c>
      <c r="L107" s="52"/>
      <c r="M107" s="6">
        <f t="shared" si="6"/>
        <v>-27059300</v>
      </c>
      <c r="N107" s="21" t="str">
        <f t="shared" si="7"/>
        <v>Sobrante</v>
      </c>
      <c r="O107" s="4" t="s">
        <v>622</v>
      </c>
      <c r="P107" s="28">
        <v>1121857901</v>
      </c>
    </row>
    <row r="108" spans="1:16" x14ac:dyDescent="0.35">
      <c r="A108" s="70">
        <v>395</v>
      </c>
      <c r="B108" s="28">
        <v>1529</v>
      </c>
      <c r="C108" s="18" t="str">
        <f>VLOOKUP(B108,'Lista MF'!B:C,2,0)</f>
        <v>BELLTECH</v>
      </c>
      <c r="D108" s="28" t="s">
        <v>6</v>
      </c>
      <c r="E108" s="29">
        <v>46086</v>
      </c>
      <c r="F108" s="29">
        <v>46085</v>
      </c>
      <c r="G108" s="45" t="s">
        <v>630</v>
      </c>
      <c r="H108" s="8">
        <v>238215450</v>
      </c>
      <c r="I108" s="31">
        <v>231770450</v>
      </c>
      <c r="J108" s="8">
        <v>11880000</v>
      </c>
      <c r="K108" s="8">
        <v>21925000</v>
      </c>
      <c r="L108" s="52">
        <v>3600000</v>
      </c>
      <c r="M108" s="6">
        <f t="shared" si="6"/>
        <v>0</v>
      </c>
      <c r="N108" s="21" t="str">
        <f t="shared" si="7"/>
        <v>Cuadrado</v>
      </c>
      <c r="O108" s="9" t="s">
        <v>658</v>
      </c>
      <c r="P108" s="28">
        <v>1121857901</v>
      </c>
    </row>
    <row r="109" spans="1:16" x14ac:dyDescent="0.35">
      <c r="A109" s="72">
        <v>451</v>
      </c>
      <c r="B109" s="28">
        <v>9434</v>
      </c>
      <c r="C109" s="18" t="str">
        <f>VLOOKUP(B109,'Lista MF'!B:C,2,0)</f>
        <v>BELLTECH</v>
      </c>
      <c r="D109" s="36" t="s">
        <v>6</v>
      </c>
      <c r="E109" s="29">
        <v>46086</v>
      </c>
      <c r="F109" s="29">
        <v>46084</v>
      </c>
      <c r="G109" s="45" t="s">
        <v>653</v>
      </c>
      <c r="H109" s="8">
        <v>140519800</v>
      </c>
      <c r="I109" s="31">
        <v>-274620200</v>
      </c>
      <c r="J109" s="8">
        <v>67360000</v>
      </c>
      <c r="K109" s="8">
        <v>27500000</v>
      </c>
      <c r="L109" s="52">
        <f>-150000000+7243000</f>
        <v>-142757000</v>
      </c>
      <c r="M109" s="6">
        <f t="shared" si="6"/>
        <v>-312243000</v>
      </c>
      <c r="N109" s="21" t="str">
        <f t="shared" si="7"/>
        <v>Sobrante</v>
      </c>
      <c r="O109" s="20" t="s">
        <v>622</v>
      </c>
      <c r="P109" s="36">
        <v>1123206969</v>
      </c>
    </row>
    <row r="110" spans="1:16" x14ac:dyDescent="0.35">
      <c r="A110" s="72">
        <v>453</v>
      </c>
      <c r="B110" s="28">
        <v>8019</v>
      </c>
      <c r="C110" s="18" t="str">
        <f>VLOOKUP(B110,'Lista MF'!B:C,2,0)</f>
        <v>BELLTECH</v>
      </c>
      <c r="D110" s="36" t="s">
        <v>6</v>
      </c>
      <c r="E110" s="29">
        <v>46086</v>
      </c>
      <c r="F110" s="29">
        <v>46085</v>
      </c>
      <c r="G110" s="45" t="s">
        <v>649</v>
      </c>
      <c r="H110" s="8">
        <v>335517100</v>
      </c>
      <c r="I110" s="31">
        <v>327457100</v>
      </c>
      <c r="J110" s="8">
        <v>0</v>
      </c>
      <c r="K110" s="8">
        <v>0</v>
      </c>
      <c r="L110" s="52">
        <v>-2610000</v>
      </c>
      <c r="M110" s="6">
        <f t="shared" si="6"/>
        <v>-5450000</v>
      </c>
      <c r="N110" s="21" t="str">
        <f t="shared" si="7"/>
        <v>Sobrante</v>
      </c>
      <c r="O110" s="9" t="s">
        <v>661</v>
      </c>
      <c r="P110" s="36">
        <v>1083897578</v>
      </c>
    </row>
    <row r="111" spans="1:16" x14ac:dyDescent="0.35">
      <c r="A111" s="72">
        <v>499</v>
      </c>
      <c r="B111" s="28">
        <v>9811</v>
      </c>
      <c r="C111" s="18" t="str">
        <f>VLOOKUP(B111,'Lista MF'!B:C,2,0)</f>
        <v>BELLTECH</v>
      </c>
      <c r="D111" s="36" t="s">
        <v>6</v>
      </c>
      <c r="E111" s="29">
        <v>46086</v>
      </c>
      <c r="F111" s="29">
        <v>46084</v>
      </c>
      <c r="G111" s="45" t="s">
        <v>655</v>
      </c>
      <c r="H111" s="8">
        <v>145895100</v>
      </c>
      <c r="I111" s="31">
        <v>552062600</v>
      </c>
      <c r="J111" s="8">
        <v>24230000</v>
      </c>
      <c r="K111" s="8">
        <v>146733500</v>
      </c>
      <c r="L111" s="52">
        <v>221143000</v>
      </c>
      <c r="M111" s="6">
        <f t="shared" si="6"/>
        <v>307528000</v>
      </c>
      <c r="N111" s="21" t="str">
        <f t="shared" si="7"/>
        <v>Faltante</v>
      </c>
      <c r="O111" s="9" t="s">
        <v>660</v>
      </c>
      <c r="P111" s="36">
        <v>71337474</v>
      </c>
    </row>
    <row r="112" spans="1:16" x14ac:dyDescent="0.35">
      <c r="A112" s="72">
        <v>516</v>
      </c>
      <c r="B112" s="28">
        <v>9729</v>
      </c>
      <c r="C112" s="18" t="str">
        <f>VLOOKUP(B112,'Lista MF'!B:C,2,0)</f>
        <v>BELLTECH</v>
      </c>
      <c r="D112" s="36" t="s">
        <v>6</v>
      </c>
      <c r="E112" s="29">
        <v>46086</v>
      </c>
      <c r="F112" s="29">
        <v>46085</v>
      </c>
      <c r="G112" s="45" t="s">
        <v>654</v>
      </c>
      <c r="H112" s="8">
        <v>178070650</v>
      </c>
      <c r="I112" s="31">
        <v>168006650</v>
      </c>
      <c r="J112" s="8">
        <v>7300000</v>
      </c>
      <c r="K112" s="8">
        <v>12364000</v>
      </c>
      <c r="L112" s="52"/>
      <c r="M112" s="6">
        <f t="shared" si="6"/>
        <v>-5000000</v>
      </c>
      <c r="N112" s="21" t="str">
        <f t="shared" si="7"/>
        <v>Sobrante</v>
      </c>
      <c r="O112" s="9" t="s">
        <v>661</v>
      </c>
      <c r="P112" s="36">
        <v>57292451</v>
      </c>
    </row>
    <row r="113" spans="1:16" x14ac:dyDescent="0.35">
      <c r="A113" s="72">
        <v>523</v>
      </c>
      <c r="B113" s="28">
        <v>5082</v>
      </c>
      <c r="C113" s="18" t="str">
        <f>VLOOKUP(B113,'Lista MF'!B:C,2,0)</f>
        <v>BELLTECH</v>
      </c>
      <c r="D113" s="36" t="s">
        <v>6</v>
      </c>
      <c r="E113" s="29">
        <v>46086</v>
      </c>
      <c r="F113" s="29">
        <v>46085</v>
      </c>
      <c r="G113" s="45" t="s">
        <v>635</v>
      </c>
      <c r="H113" s="8">
        <v>45435650</v>
      </c>
      <c r="I113" s="31">
        <v>426664400</v>
      </c>
      <c r="J113" s="8">
        <v>0</v>
      </c>
      <c r="K113" s="8">
        <v>0</v>
      </c>
      <c r="L113" s="52"/>
      <c r="M113" s="6">
        <f t="shared" si="6"/>
        <v>381228750</v>
      </c>
      <c r="N113" s="21" t="str">
        <f t="shared" si="7"/>
        <v>Faltante</v>
      </c>
      <c r="O113" s="4" t="s">
        <v>622</v>
      </c>
      <c r="P113" s="36">
        <v>39491642</v>
      </c>
    </row>
    <row r="114" spans="1:16" x14ac:dyDescent="0.35">
      <c r="A114" s="72">
        <v>536</v>
      </c>
      <c r="B114" s="28">
        <v>8988</v>
      </c>
      <c r="C114" s="18" t="str">
        <f>VLOOKUP(B114,'Lista MF'!B:C,2,0)</f>
        <v>DIEBOLD</v>
      </c>
      <c r="D114" s="36" t="s">
        <v>6</v>
      </c>
      <c r="E114" s="29">
        <v>46086</v>
      </c>
      <c r="F114" s="29">
        <v>46085</v>
      </c>
      <c r="G114" s="45" t="s">
        <v>652</v>
      </c>
      <c r="H114" s="8">
        <v>101561150</v>
      </c>
      <c r="I114" s="31">
        <v>308446400</v>
      </c>
      <c r="J114" s="8">
        <v>65600000</v>
      </c>
      <c r="K114" s="8">
        <v>144462150</v>
      </c>
      <c r="L114" s="52">
        <v>295000000</v>
      </c>
      <c r="M114" s="6">
        <f t="shared" si="6"/>
        <v>-9252600</v>
      </c>
      <c r="N114" s="21" t="str">
        <f t="shared" si="7"/>
        <v>Sobrante</v>
      </c>
      <c r="O114" s="9" t="s">
        <v>661</v>
      </c>
      <c r="P114" s="36">
        <v>35891536</v>
      </c>
    </row>
    <row r="115" spans="1:16" x14ac:dyDescent="0.35">
      <c r="A115" s="72">
        <v>609</v>
      </c>
      <c r="B115" s="28">
        <v>7875</v>
      </c>
      <c r="C115" s="18" t="str">
        <f>VLOOKUP(B115,'Lista MF'!B:C,2,0)</f>
        <v>BELLTECH</v>
      </c>
      <c r="D115" s="36" t="s">
        <v>6</v>
      </c>
      <c r="E115" s="29">
        <v>46086</v>
      </c>
      <c r="F115" s="29">
        <v>46085</v>
      </c>
      <c r="G115" s="45" t="s">
        <v>552</v>
      </c>
      <c r="H115" s="8">
        <v>191573750</v>
      </c>
      <c r="I115" s="31">
        <v>79680750</v>
      </c>
      <c r="J115" s="8">
        <v>23450000</v>
      </c>
      <c r="K115" s="8">
        <v>14450000</v>
      </c>
      <c r="L115" s="52"/>
      <c r="M115" s="6">
        <f t="shared" si="6"/>
        <v>-120893000</v>
      </c>
      <c r="N115" s="21" t="str">
        <f t="shared" si="7"/>
        <v>Sobrante</v>
      </c>
      <c r="O115" s="9" t="s">
        <v>661</v>
      </c>
      <c r="P115" s="36">
        <v>98695047</v>
      </c>
    </row>
    <row r="116" spans="1:16" x14ac:dyDescent="0.35">
      <c r="A116" s="72">
        <v>609</v>
      </c>
      <c r="B116" s="28">
        <v>7888</v>
      </c>
      <c r="C116" s="18" t="str">
        <f>VLOOKUP(B116,'Lista MF'!B:C,2,0)</f>
        <v>BELLTECH</v>
      </c>
      <c r="D116" s="36" t="s">
        <v>6</v>
      </c>
      <c r="E116" s="29">
        <v>46086</v>
      </c>
      <c r="F116" s="29">
        <v>46085</v>
      </c>
      <c r="G116" s="45" t="s">
        <v>644</v>
      </c>
      <c r="H116" s="8">
        <v>139026500</v>
      </c>
      <c r="I116" s="31">
        <v>157952150</v>
      </c>
      <c r="J116" s="8">
        <v>49090000</v>
      </c>
      <c r="K116" s="8">
        <v>14070000</v>
      </c>
      <c r="L116" s="52"/>
      <c r="M116" s="6">
        <f t="shared" si="6"/>
        <v>-16094350</v>
      </c>
      <c r="N116" s="21" t="str">
        <f t="shared" si="7"/>
        <v>Sobrante</v>
      </c>
      <c r="O116" s="4" t="s">
        <v>622</v>
      </c>
      <c r="P116" s="36">
        <v>98695047</v>
      </c>
    </row>
    <row r="117" spans="1:16" x14ac:dyDescent="0.35">
      <c r="A117" s="72">
        <v>623</v>
      </c>
      <c r="B117" s="28">
        <v>7375</v>
      </c>
      <c r="C117" s="18" t="str">
        <f>VLOOKUP(B117,'Lista MF'!B:C,2,0)</f>
        <v>BELLTECH</v>
      </c>
      <c r="D117" s="36" t="s">
        <v>6</v>
      </c>
      <c r="E117" s="29">
        <v>46086</v>
      </c>
      <c r="F117" s="29">
        <v>46085</v>
      </c>
      <c r="G117" s="45" t="s">
        <v>647</v>
      </c>
      <c r="H117" s="8">
        <v>266162450</v>
      </c>
      <c r="I117" s="31">
        <v>219601050</v>
      </c>
      <c r="J117" s="8">
        <v>22340000</v>
      </c>
      <c r="K117" s="8">
        <v>68885800</v>
      </c>
      <c r="L117" s="52">
        <f>-4685600+4685600</f>
        <v>0</v>
      </c>
      <c r="M117" s="6">
        <f t="shared" si="6"/>
        <v>-15600</v>
      </c>
      <c r="N117" s="21" t="str">
        <f t="shared" si="7"/>
        <v>Sobrante</v>
      </c>
      <c r="O117" s="9" t="s">
        <v>661</v>
      </c>
      <c r="P117" s="36">
        <v>1060651791</v>
      </c>
    </row>
    <row r="118" spans="1:16" x14ac:dyDescent="0.35">
      <c r="A118" s="72">
        <v>667</v>
      </c>
      <c r="B118" s="28">
        <v>5167</v>
      </c>
      <c r="C118" s="18" t="str">
        <f>VLOOKUP(B118,'Lista MF'!B:C,2,0)</f>
        <v>BELLTECH</v>
      </c>
      <c r="D118" s="36" t="s">
        <v>6</v>
      </c>
      <c r="E118" s="29">
        <v>46086</v>
      </c>
      <c r="F118" s="29">
        <v>46085</v>
      </c>
      <c r="G118" s="45" t="s">
        <v>638</v>
      </c>
      <c r="H118" s="8">
        <v>314483250</v>
      </c>
      <c r="I118" s="31">
        <v>325793150</v>
      </c>
      <c r="J118" s="8">
        <v>11220000</v>
      </c>
      <c r="K118" s="8">
        <v>0</v>
      </c>
      <c r="L118" s="52">
        <f>-2310000+2310000+89900</f>
        <v>89900</v>
      </c>
      <c r="M118" s="6">
        <f t="shared" si="6"/>
        <v>0</v>
      </c>
      <c r="N118" s="21" t="str">
        <f t="shared" si="7"/>
        <v>Cuadrado</v>
      </c>
      <c r="O118" s="9" t="s">
        <v>659</v>
      </c>
      <c r="P118" s="36">
        <v>79953058</v>
      </c>
    </row>
    <row r="119" spans="1:16" x14ac:dyDescent="0.35">
      <c r="A119" s="72">
        <v>698</v>
      </c>
      <c r="B119" s="28">
        <v>5187</v>
      </c>
      <c r="C119" s="18" t="str">
        <f>VLOOKUP(B119,'Lista MF'!B:C,2,0)</f>
        <v>BELLTECH</v>
      </c>
      <c r="D119" s="36" t="s">
        <v>6</v>
      </c>
      <c r="E119" s="29">
        <v>46086</v>
      </c>
      <c r="F119" s="29">
        <v>46085</v>
      </c>
      <c r="G119" s="45" t="s">
        <v>549</v>
      </c>
      <c r="H119" s="8">
        <v>236650300</v>
      </c>
      <c r="I119" s="31">
        <v>236650300</v>
      </c>
      <c r="J119" s="8">
        <v>0</v>
      </c>
      <c r="K119" s="8">
        <v>0</v>
      </c>
      <c r="L119" s="52"/>
      <c r="M119" s="6">
        <f t="shared" si="6"/>
        <v>0</v>
      </c>
      <c r="N119" s="21" t="str">
        <f t="shared" si="7"/>
        <v>Cuadrado</v>
      </c>
      <c r="O119" s="9" t="s">
        <v>590</v>
      </c>
      <c r="P119" s="36">
        <v>80177355</v>
      </c>
    </row>
    <row r="120" spans="1:16" x14ac:dyDescent="0.35">
      <c r="A120" s="72">
        <v>750</v>
      </c>
      <c r="B120" s="28">
        <v>5157</v>
      </c>
      <c r="C120" s="18" t="str">
        <f>VLOOKUP(B120,'Lista MF'!B:C,2,0)</f>
        <v>BELLTECH</v>
      </c>
      <c r="D120" s="36" t="s">
        <v>6</v>
      </c>
      <c r="E120" s="29">
        <v>46086</v>
      </c>
      <c r="F120" s="29">
        <v>46085</v>
      </c>
      <c r="G120" s="45" t="s">
        <v>641</v>
      </c>
      <c r="H120" s="8">
        <v>302661050</v>
      </c>
      <c r="I120" s="31">
        <v>294514350</v>
      </c>
      <c r="J120" s="8">
        <v>5670000</v>
      </c>
      <c r="K120" s="8">
        <v>18017700</v>
      </c>
      <c r="L120" s="52">
        <v>1041000</v>
      </c>
      <c r="M120" s="6">
        <f t="shared" si="6"/>
        <v>3160000</v>
      </c>
      <c r="N120" s="21" t="str">
        <f t="shared" si="7"/>
        <v>Faltante</v>
      </c>
      <c r="O120" s="4" t="s">
        <v>622</v>
      </c>
      <c r="P120" s="36">
        <v>31529631</v>
      </c>
    </row>
    <row r="121" spans="1:16" x14ac:dyDescent="0.35">
      <c r="A121" s="72">
        <v>762</v>
      </c>
      <c r="B121" s="28">
        <v>5181</v>
      </c>
      <c r="C121" s="18" t="str">
        <f>VLOOKUP(B121,'Lista MF'!B:C,2,0)</f>
        <v>BELLTECH</v>
      </c>
      <c r="D121" s="36" t="s">
        <v>6</v>
      </c>
      <c r="E121" s="29">
        <v>46086</v>
      </c>
      <c r="F121" s="29">
        <v>46085</v>
      </c>
      <c r="G121" s="45" t="s">
        <v>643</v>
      </c>
      <c r="H121" s="8">
        <v>164054250</v>
      </c>
      <c r="I121" s="31">
        <v>161524250</v>
      </c>
      <c r="J121" s="8">
        <v>0</v>
      </c>
      <c r="K121" s="8">
        <v>0</v>
      </c>
      <c r="L121" s="52"/>
      <c r="M121" s="6">
        <f t="shared" si="6"/>
        <v>-2530000</v>
      </c>
      <c r="N121" s="21" t="str">
        <f t="shared" si="7"/>
        <v>Sobrante</v>
      </c>
      <c r="O121" s="9" t="s">
        <v>661</v>
      </c>
      <c r="P121" s="36">
        <v>94364510</v>
      </c>
    </row>
    <row r="122" spans="1:16" x14ac:dyDescent="0.35">
      <c r="A122" s="72">
        <v>781</v>
      </c>
      <c r="B122" s="28">
        <v>5057</v>
      </c>
      <c r="C122" s="18" t="str">
        <f>VLOOKUP(B122,'Lista MF'!B:C,2,0)</f>
        <v>BELLTECH</v>
      </c>
      <c r="D122" s="36" t="s">
        <v>6</v>
      </c>
      <c r="E122" s="29">
        <v>46086</v>
      </c>
      <c r="F122" s="29">
        <v>46085</v>
      </c>
      <c r="G122" s="45" t="s">
        <v>634</v>
      </c>
      <c r="H122" s="8">
        <v>394854350</v>
      </c>
      <c r="I122" s="31">
        <v>361021550</v>
      </c>
      <c r="J122" s="8">
        <v>14990000</v>
      </c>
      <c r="K122" s="8">
        <v>29653000</v>
      </c>
      <c r="L122" s="52"/>
      <c r="M122" s="6">
        <f t="shared" si="6"/>
        <v>-19169800</v>
      </c>
      <c r="N122" s="21" t="str">
        <f t="shared" si="7"/>
        <v>Sobrante</v>
      </c>
      <c r="O122" s="9" t="s">
        <v>661</v>
      </c>
      <c r="P122" s="36">
        <v>1082848167</v>
      </c>
    </row>
    <row r="123" spans="1:16" x14ac:dyDescent="0.35">
      <c r="A123" s="70">
        <v>795</v>
      </c>
      <c r="B123" s="28">
        <v>1029</v>
      </c>
      <c r="C123" s="18" t="str">
        <f>VLOOKUP(B123,'Lista MF'!B:C,2,0)</f>
        <v>BELLTECH</v>
      </c>
      <c r="D123" s="28" t="s">
        <v>6</v>
      </c>
      <c r="E123" s="29">
        <v>46086</v>
      </c>
      <c r="F123" s="29">
        <v>46085</v>
      </c>
      <c r="G123" s="45" t="s">
        <v>629</v>
      </c>
      <c r="H123" s="8">
        <v>223953000</v>
      </c>
      <c r="I123" s="31">
        <v>170468000</v>
      </c>
      <c r="J123" s="8">
        <v>17780000</v>
      </c>
      <c r="K123" s="8">
        <v>64095000</v>
      </c>
      <c r="L123" s="52"/>
      <c r="M123" s="6">
        <f t="shared" si="6"/>
        <v>-7170000</v>
      </c>
      <c r="N123" s="21" t="str">
        <f t="shared" si="7"/>
        <v>Sobrante</v>
      </c>
      <c r="O123" s="9" t="s">
        <v>661</v>
      </c>
      <c r="P123" s="28">
        <v>91274094</v>
      </c>
    </row>
    <row r="124" spans="1:16" x14ac:dyDescent="0.35">
      <c r="A124" s="72">
        <v>796</v>
      </c>
      <c r="B124" s="28">
        <v>6911</v>
      </c>
      <c r="C124" s="18" t="str">
        <f>VLOOKUP(B124,'Lista MF'!B:C,2,0)</f>
        <v>BELLTECH</v>
      </c>
      <c r="D124" s="36" t="s">
        <v>6</v>
      </c>
      <c r="E124" s="29">
        <v>46086</v>
      </c>
      <c r="F124" s="29">
        <v>46085</v>
      </c>
      <c r="G124" s="45" t="s">
        <v>646</v>
      </c>
      <c r="H124" s="8">
        <v>177799250</v>
      </c>
      <c r="I124" s="31">
        <v>133528050</v>
      </c>
      <c r="J124" s="8">
        <v>22080000</v>
      </c>
      <c r="K124" s="8">
        <v>50397000</v>
      </c>
      <c r="L124" s="52"/>
      <c r="M124" s="6">
        <f t="shared" si="6"/>
        <v>-15954200</v>
      </c>
      <c r="N124" s="21" t="str">
        <f t="shared" si="7"/>
        <v>Sobrante</v>
      </c>
      <c r="O124" s="9" t="s">
        <v>661</v>
      </c>
      <c r="P124" s="36">
        <v>1095802301</v>
      </c>
    </row>
    <row r="125" spans="1:16" x14ac:dyDescent="0.35">
      <c r="A125" s="72">
        <v>844</v>
      </c>
      <c r="B125" s="28">
        <v>6169</v>
      </c>
      <c r="C125" s="18" t="str">
        <f>VLOOKUP(B125,'Lista MF'!B:C,2,0)</f>
        <v>BELLTECH</v>
      </c>
      <c r="D125" s="36" t="s">
        <v>6</v>
      </c>
      <c r="E125" s="29">
        <v>46086</v>
      </c>
      <c r="F125" s="29">
        <v>46085</v>
      </c>
      <c r="G125" s="45" t="s">
        <v>644</v>
      </c>
      <c r="H125" s="8">
        <v>254272600</v>
      </c>
      <c r="I125" s="31">
        <v>468338000</v>
      </c>
      <c r="J125" s="8">
        <v>1120000</v>
      </c>
      <c r="K125" s="8">
        <v>0</v>
      </c>
      <c r="L125" s="52"/>
      <c r="M125" s="6">
        <f t="shared" si="6"/>
        <v>212945400</v>
      </c>
      <c r="N125" s="21" t="str">
        <f t="shared" si="7"/>
        <v>Faltante</v>
      </c>
      <c r="O125" s="4" t="s">
        <v>622</v>
      </c>
      <c r="P125" s="36">
        <v>86058432</v>
      </c>
    </row>
    <row r="126" spans="1:16" x14ac:dyDescent="0.35">
      <c r="A126" s="72">
        <v>849</v>
      </c>
      <c r="B126" s="28">
        <v>9724</v>
      </c>
      <c r="C126" s="18" t="str">
        <f>VLOOKUP(B126,'Lista MF'!B:C,2,0)</f>
        <v>BELLTECH</v>
      </c>
      <c r="D126" s="36" t="s">
        <v>6</v>
      </c>
      <c r="E126" s="29">
        <v>46086</v>
      </c>
      <c r="F126" s="29">
        <v>46085</v>
      </c>
      <c r="G126" s="45" t="s">
        <v>619</v>
      </c>
      <c r="H126" s="8">
        <v>224399300</v>
      </c>
      <c r="I126" s="31">
        <v>271496200</v>
      </c>
      <c r="J126" s="8">
        <v>53220000</v>
      </c>
      <c r="K126" s="8">
        <v>239372100</v>
      </c>
      <c r="L126" s="52">
        <v>245249000</v>
      </c>
      <c r="M126" s="6">
        <f t="shared" si="6"/>
        <v>-12000000</v>
      </c>
      <c r="N126" s="21" t="str">
        <f t="shared" si="7"/>
        <v>Sobrante</v>
      </c>
      <c r="O126" s="9" t="s">
        <v>661</v>
      </c>
      <c r="P126" s="36">
        <v>86063461</v>
      </c>
    </row>
    <row r="127" spans="1:16" x14ac:dyDescent="0.35">
      <c r="A127" s="72">
        <v>849</v>
      </c>
      <c r="B127" s="28">
        <v>9725</v>
      </c>
      <c r="C127" s="18" t="str">
        <f>VLOOKUP(B127,'Lista MF'!B:C,2,0)</f>
        <v>BELLTECH</v>
      </c>
      <c r="D127" s="36" t="s">
        <v>99</v>
      </c>
      <c r="E127" s="29">
        <v>46086</v>
      </c>
      <c r="F127" s="29">
        <v>46084</v>
      </c>
      <c r="G127" s="45" t="s">
        <v>619</v>
      </c>
      <c r="H127" s="8">
        <v>236004250</v>
      </c>
      <c r="I127" s="31">
        <v>371192950</v>
      </c>
      <c r="J127" s="8">
        <v>52030000</v>
      </c>
      <c r="K127" s="8">
        <v>258989300</v>
      </c>
      <c r="L127" s="52">
        <f>308276000+33998000</f>
        <v>342274000</v>
      </c>
      <c r="M127" s="6">
        <f t="shared" si="6"/>
        <v>-126000</v>
      </c>
      <c r="N127" s="21" t="str">
        <f t="shared" si="7"/>
        <v>Sobrante</v>
      </c>
      <c r="O127" s="9" t="s">
        <v>661</v>
      </c>
      <c r="P127" s="36">
        <v>86063461</v>
      </c>
    </row>
    <row r="128" spans="1:16" x14ac:dyDescent="0.35">
      <c r="A128" s="72">
        <v>866</v>
      </c>
      <c r="B128" s="28">
        <v>8662</v>
      </c>
      <c r="C128" s="18" t="str">
        <f>VLOOKUP(B128,'Lista MF'!B:C,2,0)</f>
        <v>BELLTECH</v>
      </c>
      <c r="D128" s="36" t="s">
        <v>6</v>
      </c>
      <c r="E128" s="29">
        <v>46086</v>
      </c>
      <c r="F128" s="29">
        <v>46085</v>
      </c>
      <c r="G128" s="45" t="s">
        <v>656</v>
      </c>
      <c r="H128" s="8">
        <v>66818450</v>
      </c>
      <c r="I128" s="31">
        <v>93518450</v>
      </c>
      <c r="J128" s="8">
        <v>36890000</v>
      </c>
      <c r="K128" s="8">
        <v>10190000</v>
      </c>
      <c r="L128" s="52"/>
      <c r="M128" s="6">
        <f t="shared" si="6"/>
        <v>0</v>
      </c>
      <c r="N128" s="21" t="str">
        <f t="shared" si="7"/>
        <v>Cuadrado</v>
      </c>
      <c r="O128" s="4" t="s">
        <v>590</v>
      </c>
      <c r="P128" s="36">
        <v>1113674245</v>
      </c>
    </row>
    <row r="129" spans="1:16" x14ac:dyDescent="0.35">
      <c r="A129" s="72">
        <v>890</v>
      </c>
      <c r="B129" s="28">
        <v>9584</v>
      </c>
      <c r="C129" s="18" t="str">
        <f>VLOOKUP(B129,'Lista MF'!B:C,2,0)</f>
        <v>BELLTECH</v>
      </c>
      <c r="D129" s="36" t="s">
        <v>6</v>
      </c>
      <c r="E129" s="29">
        <v>46086</v>
      </c>
      <c r="F129" s="29">
        <v>46085</v>
      </c>
      <c r="G129" s="45" t="s">
        <v>657</v>
      </c>
      <c r="H129" s="8">
        <v>238430950</v>
      </c>
      <c r="I129" s="31">
        <v>249230950</v>
      </c>
      <c r="J129" s="8">
        <v>14200000</v>
      </c>
      <c r="K129" s="8">
        <v>3400000</v>
      </c>
      <c r="L129" s="52"/>
      <c r="M129" s="6">
        <f t="shared" si="6"/>
        <v>0</v>
      </c>
      <c r="N129" s="21" t="str">
        <f t="shared" si="7"/>
        <v>Cuadrado</v>
      </c>
      <c r="O129" s="4" t="s">
        <v>590</v>
      </c>
      <c r="P129" s="36">
        <v>1053835867</v>
      </c>
    </row>
    <row r="130" spans="1:16" x14ac:dyDescent="0.35">
      <c r="A130" s="72">
        <v>915</v>
      </c>
      <c r="B130" s="28">
        <v>8313</v>
      </c>
      <c r="C130" s="18" t="str">
        <f>VLOOKUP(B130,'Lista MF'!B:C,2,0)</f>
        <v>BELLTECH</v>
      </c>
      <c r="D130" s="36" t="s">
        <v>99</v>
      </c>
      <c r="E130" s="29">
        <v>46086</v>
      </c>
      <c r="F130" s="29">
        <v>46085</v>
      </c>
      <c r="G130" s="45" t="s">
        <v>629</v>
      </c>
      <c r="H130" s="8">
        <v>382047100</v>
      </c>
      <c r="I130" s="31">
        <v>365612100</v>
      </c>
      <c r="J130" s="8">
        <v>3270000</v>
      </c>
      <c r="K130" s="8">
        <v>6705000</v>
      </c>
      <c r="L130" s="52"/>
      <c r="M130" s="6">
        <f t="shared" ref="M130:M161" si="8">I130-(H130+J130-K130)-L130</f>
        <v>-13000000</v>
      </c>
      <c r="N130" s="21" t="str">
        <f t="shared" ref="N130:N161" si="9">IF(M130="","",IF(M130=0,"Cuadrado",IF(M130&gt;0,"Faltante","Sobrante")))</f>
        <v>Sobrante</v>
      </c>
      <c r="O130" s="55" t="s">
        <v>622</v>
      </c>
      <c r="P130" s="36">
        <v>52279779</v>
      </c>
    </row>
    <row r="131" spans="1:16" x14ac:dyDescent="0.35">
      <c r="A131" s="72">
        <v>915</v>
      </c>
      <c r="B131" s="28">
        <v>8314</v>
      </c>
      <c r="C131" s="18" t="str">
        <f>VLOOKUP(B131,'Lista MF'!B:C,2,0)</f>
        <v>BELLTECH</v>
      </c>
      <c r="D131" s="36" t="s">
        <v>6</v>
      </c>
      <c r="E131" s="29">
        <v>46086</v>
      </c>
      <c r="F131" s="29">
        <v>46085</v>
      </c>
      <c r="G131" s="45" t="s">
        <v>650</v>
      </c>
      <c r="H131" s="8">
        <v>349886600</v>
      </c>
      <c r="I131" s="31">
        <v>358370200</v>
      </c>
      <c r="J131" s="8">
        <v>8430000</v>
      </c>
      <c r="K131" s="8">
        <v>0</v>
      </c>
      <c r="L131" s="52"/>
      <c r="M131" s="6">
        <f t="shared" si="8"/>
        <v>53600</v>
      </c>
      <c r="N131" s="21" t="str">
        <f t="shared" si="9"/>
        <v>Faltante</v>
      </c>
      <c r="O131" s="55" t="s">
        <v>622</v>
      </c>
      <c r="P131" s="36">
        <v>52279779</v>
      </c>
    </row>
    <row r="132" spans="1:16" x14ac:dyDescent="0.35">
      <c r="A132" s="70">
        <v>916</v>
      </c>
      <c r="B132" s="28">
        <v>5052</v>
      </c>
      <c r="C132" s="18" t="str">
        <f>VLOOKUP(B132,'Lista MF'!B:C,2,0)</f>
        <v>BELLTECH</v>
      </c>
      <c r="D132" s="28" t="s">
        <v>6</v>
      </c>
      <c r="E132" s="29">
        <v>46086</v>
      </c>
      <c r="F132" s="29">
        <v>46085</v>
      </c>
      <c r="G132" s="45" t="s">
        <v>547</v>
      </c>
      <c r="H132" s="8">
        <v>423926800</v>
      </c>
      <c r="I132" s="31">
        <v>422835800</v>
      </c>
      <c r="J132" s="8">
        <v>1220000</v>
      </c>
      <c r="K132" s="8">
        <v>2310000</v>
      </c>
      <c r="L132" s="52"/>
      <c r="M132" s="6">
        <f t="shared" si="8"/>
        <v>-1000</v>
      </c>
      <c r="N132" s="21" t="str">
        <f t="shared" si="9"/>
        <v>Sobrante</v>
      </c>
      <c r="O132" s="9" t="s">
        <v>661</v>
      </c>
      <c r="P132" s="28">
        <v>1004306590</v>
      </c>
    </row>
    <row r="133" spans="1:16" x14ac:dyDescent="0.35">
      <c r="A133" s="72">
        <v>331</v>
      </c>
      <c r="B133" s="28">
        <v>574</v>
      </c>
      <c r="C133" s="18" t="str">
        <f>VLOOKUP(B133,'Lista MF'!B:C,2,0)</f>
        <v>BELLTECH</v>
      </c>
      <c r="D133" s="36" t="s">
        <v>6</v>
      </c>
      <c r="E133" s="29">
        <v>46087</v>
      </c>
      <c r="F133" s="29">
        <v>46086</v>
      </c>
      <c r="G133" s="45" t="s">
        <v>582</v>
      </c>
      <c r="H133" s="8">
        <v>232051800</v>
      </c>
      <c r="I133" s="31">
        <v>401417850</v>
      </c>
      <c r="J133" s="8">
        <v>1690000</v>
      </c>
      <c r="K133" s="8">
        <v>23799000</v>
      </c>
      <c r="L133" s="52"/>
      <c r="M133" s="6">
        <f t="shared" si="8"/>
        <v>191475050</v>
      </c>
      <c r="N133" s="21" t="str">
        <f t="shared" si="9"/>
        <v>Faltante</v>
      </c>
      <c r="O133" s="55" t="s">
        <v>622</v>
      </c>
      <c r="P133" s="36">
        <v>32244978</v>
      </c>
    </row>
    <row r="134" spans="1:16" x14ac:dyDescent="0.35">
      <c r="A134" s="72">
        <v>331</v>
      </c>
      <c r="B134" s="28">
        <v>575</v>
      </c>
      <c r="C134" s="18" t="str">
        <f>VLOOKUP(B134,'Lista MF'!B:C,2,0)</f>
        <v>BELLTECH</v>
      </c>
      <c r="D134" s="36" t="s">
        <v>6</v>
      </c>
      <c r="E134" s="29">
        <v>46087</v>
      </c>
      <c r="F134" s="29">
        <v>46086</v>
      </c>
      <c r="G134" s="45" t="s">
        <v>563</v>
      </c>
      <c r="H134" s="8">
        <v>171730250</v>
      </c>
      <c r="I134" s="31">
        <v>339250600</v>
      </c>
      <c r="J134" s="8">
        <v>3800000</v>
      </c>
      <c r="K134" s="8">
        <v>36430000</v>
      </c>
      <c r="L134" s="52"/>
      <c r="M134" s="6">
        <f t="shared" si="8"/>
        <v>200150350</v>
      </c>
      <c r="N134" s="21" t="str">
        <f t="shared" si="9"/>
        <v>Faltante</v>
      </c>
      <c r="O134" s="65" t="s">
        <v>529</v>
      </c>
      <c r="P134" s="36">
        <v>32244978</v>
      </c>
    </row>
    <row r="135" spans="1:16" x14ac:dyDescent="0.35">
      <c r="A135" s="72">
        <v>395</v>
      </c>
      <c r="B135" s="28">
        <v>1528</v>
      </c>
      <c r="C135" s="18" t="str">
        <f>VLOOKUP(B135,'Lista MF'!B:C,2,0)</f>
        <v>BELLTECH</v>
      </c>
      <c r="D135" s="36" t="s">
        <v>6</v>
      </c>
      <c r="E135" s="29">
        <v>46087</v>
      </c>
      <c r="F135" s="29">
        <v>46086</v>
      </c>
      <c r="G135" s="45" t="s">
        <v>680</v>
      </c>
      <c r="H135" s="8">
        <v>239312050</v>
      </c>
      <c r="I135" s="31">
        <v>193052750</v>
      </c>
      <c r="J135" s="8">
        <v>0</v>
      </c>
      <c r="K135" s="8">
        <v>19199900</v>
      </c>
      <c r="L135" s="52"/>
      <c r="M135" s="6">
        <f t="shared" si="8"/>
        <v>-27059400</v>
      </c>
      <c r="N135" s="21" t="str">
        <f t="shared" si="9"/>
        <v>Sobrante</v>
      </c>
      <c r="O135" s="9" t="s">
        <v>729</v>
      </c>
      <c r="P135" s="36">
        <v>1121857901</v>
      </c>
    </row>
    <row r="136" spans="1:16" x14ac:dyDescent="0.35">
      <c r="A136" s="72">
        <v>185</v>
      </c>
      <c r="B136" s="28">
        <v>2208</v>
      </c>
      <c r="C136" s="18" t="str">
        <f>VLOOKUP(B136,'Lista MF'!B:C,2,0)</f>
        <v>DIEBOLD</v>
      </c>
      <c r="D136" s="36" t="s">
        <v>6</v>
      </c>
      <c r="E136" s="29">
        <v>46087</v>
      </c>
      <c r="F136" s="29">
        <v>46086</v>
      </c>
      <c r="G136" s="45" t="s">
        <v>681</v>
      </c>
      <c r="H136" s="8">
        <v>112564500</v>
      </c>
      <c r="I136" s="31">
        <v>70537500</v>
      </c>
      <c r="J136" s="8">
        <v>13130000</v>
      </c>
      <c r="K136" s="8">
        <v>5234000</v>
      </c>
      <c r="L136" s="52">
        <f>-80000000+30077000</f>
        <v>-49923000</v>
      </c>
      <c r="M136" s="6">
        <f t="shared" si="8"/>
        <v>0</v>
      </c>
      <c r="N136" s="21" t="str">
        <f t="shared" si="9"/>
        <v>Cuadrado</v>
      </c>
      <c r="O136" s="55" t="s">
        <v>590</v>
      </c>
      <c r="P136" s="36">
        <v>66784636</v>
      </c>
    </row>
    <row r="137" spans="1:16" x14ac:dyDescent="0.35">
      <c r="A137" s="72">
        <v>1</v>
      </c>
      <c r="B137" s="28">
        <v>5000</v>
      </c>
      <c r="C137" s="18" t="str">
        <f>VLOOKUP(B137,'Lista MF'!B:C,2,0)</f>
        <v>BELLTECH</v>
      </c>
      <c r="D137" s="36" t="s">
        <v>99</v>
      </c>
      <c r="E137" s="29">
        <v>46087</v>
      </c>
      <c r="F137" s="29">
        <v>46086</v>
      </c>
      <c r="G137" s="45" t="s">
        <v>682</v>
      </c>
      <c r="H137" s="8">
        <v>197938800</v>
      </c>
      <c r="I137" s="31">
        <v>199422400</v>
      </c>
      <c r="J137" s="8">
        <v>8900000</v>
      </c>
      <c r="K137" s="8">
        <v>7416000</v>
      </c>
      <c r="L137" s="52"/>
      <c r="M137" s="6">
        <f t="shared" si="8"/>
        <v>-400</v>
      </c>
      <c r="N137" s="21" t="str">
        <f t="shared" si="9"/>
        <v>Sobrante</v>
      </c>
      <c r="O137" s="9" t="s">
        <v>729</v>
      </c>
      <c r="P137" s="36">
        <v>1017128064</v>
      </c>
    </row>
    <row r="138" spans="1:16" x14ac:dyDescent="0.35">
      <c r="A138" s="72">
        <v>59</v>
      </c>
      <c r="B138" s="28">
        <v>5002</v>
      </c>
      <c r="C138" s="18" t="str">
        <f>VLOOKUP(B138,'Lista MF'!B:C,2,0)</f>
        <v>BELLTECH</v>
      </c>
      <c r="D138" s="36" t="s">
        <v>6</v>
      </c>
      <c r="E138" s="29">
        <v>46087</v>
      </c>
      <c r="F138" s="29">
        <v>46086</v>
      </c>
      <c r="G138" s="45" t="s">
        <v>683</v>
      </c>
      <c r="H138" s="8">
        <v>184290750</v>
      </c>
      <c r="I138" s="31">
        <v>175425750</v>
      </c>
      <c r="J138" s="8">
        <v>3590000</v>
      </c>
      <c r="K138" s="8">
        <v>12154900</v>
      </c>
      <c r="L138" s="52"/>
      <c r="M138" s="6">
        <f t="shared" si="8"/>
        <v>-300100</v>
      </c>
      <c r="N138" s="21" t="str">
        <f t="shared" si="9"/>
        <v>Sobrante</v>
      </c>
      <c r="O138" s="9" t="s">
        <v>729</v>
      </c>
      <c r="P138" s="36">
        <v>1060652821</v>
      </c>
    </row>
    <row r="139" spans="1:16" x14ac:dyDescent="0.35">
      <c r="A139" s="72">
        <v>825</v>
      </c>
      <c r="B139" s="28">
        <v>5023</v>
      </c>
      <c r="C139" s="18" t="str">
        <f>VLOOKUP(B139,'Lista MF'!B:C,2,0)</f>
        <v>BELLTECH</v>
      </c>
      <c r="D139" s="36" t="s">
        <v>99</v>
      </c>
      <c r="E139" s="29">
        <v>46087</v>
      </c>
      <c r="F139" s="29">
        <v>46086</v>
      </c>
      <c r="G139" s="45" t="s">
        <v>684</v>
      </c>
      <c r="H139" s="8">
        <v>94249950</v>
      </c>
      <c r="I139" s="31">
        <v>120218300</v>
      </c>
      <c r="J139" s="8">
        <v>45300000</v>
      </c>
      <c r="K139" s="8">
        <v>18511650</v>
      </c>
      <c r="L139" s="52"/>
      <c r="M139" s="6">
        <f t="shared" si="8"/>
        <v>-820000</v>
      </c>
      <c r="N139" s="21" t="str">
        <f t="shared" si="9"/>
        <v>Sobrante</v>
      </c>
      <c r="O139" s="9" t="s">
        <v>729</v>
      </c>
      <c r="P139" s="36">
        <v>1144124243</v>
      </c>
    </row>
    <row r="140" spans="1:16" x14ac:dyDescent="0.35">
      <c r="A140" s="72">
        <v>32</v>
      </c>
      <c r="B140" s="28">
        <v>5027</v>
      </c>
      <c r="C140" s="18" t="str">
        <f>VLOOKUP(B140,'Lista MF'!B:C,2,0)</f>
        <v>BELLTECH</v>
      </c>
      <c r="D140" s="36" t="s">
        <v>6</v>
      </c>
      <c r="E140" s="29">
        <v>46087</v>
      </c>
      <c r="F140" s="29">
        <v>46086</v>
      </c>
      <c r="G140" s="45" t="s">
        <v>638</v>
      </c>
      <c r="H140" s="8">
        <v>479485900</v>
      </c>
      <c r="I140" s="31">
        <v>480778700</v>
      </c>
      <c r="J140" s="8">
        <v>1300000</v>
      </c>
      <c r="K140" s="8">
        <v>0</v>
      </c>
      <c r="L140" s="52"/>
      <c r="M140" s="6">
        <f t="shared" si="8"/>
        <v>-7200</v>
      </c>
      <c r="N140" s="21" t="str">
        <f t="shared" si="9"/>
        <v>Sobrante</v>
      </c>
      <c r="O140" s="9" t="s">
        <v>729</v>
      </c>
      <c r="P140" s="36">
        <v>79750158</v>
      </c>
    </row>
    <row r="141" spans="1:16" x14ac:dyDescent="0.35">
      <c r="A141" s="72">
        <v>275</v>
      </c>
      <c r="B141" s="28">
        <v>5034</v>
      </c>
      <c r="C141" s="18" t="str">
        <f>VLOOKUP(B141,'Lista MF'!B:C,2,0)</f>
        <v>BELLTECH</v>
      </c>
      <c r="D141" s="36" t="s">
        <v>6</v>
      </c>
      <c r="E141" s="29">
        <v>46087</v>
      </c>
      <c r="F141" s="29">
        <v>46086</v>
      </c>
      <c r="G141" s="45" t="s">
        <v>685</v>
      </c>
      <c r="H141" s="8">
        <v>86506950</v>
      </c>
      <c r="I141" s="31">
        <v>374996950</v>
      </c>
      <c r="J141" s="8">
        <v>14550000</v>
      </c>
      <c r="K141" s="8">
        <v>50721000</v>
      </c>
      <c r="L141" s="52">
        <v>325611000</v>
      </c>
      <c r="M141" s="6">
        <f t="shared" si="8"/>
        <v>-950000</v>
      </c>
      <c r="N141" s="21" t="str">
        <f t="shared" si="9"/>
        <v>Sobrante</v>
      </c>
      <c r="O141" s="9" t="s">
        <v>729</v>
      </c>
      <c r="P141" s="36">
        <v>16055613</v>
      </c>
    </row>
    <row r="142" spans="1:16" x14ac:dyDescent="0.35">
      <c r="A142" s="72">
        <v>682</v>
      </c>
      <c r="B142" s="28">
        <v>5049</v>
      </c>
      <c r="C142" s="18" t="str">
        <f>VLOOKUP(B142,'Lista MF'!B:C,2,0)</f>
        <v>BELLTECH</v>
      </c>
      <c r="D142" s="36" t="s">
        <v>6</v>
      </c>
      <c r="E142" s="29">
        <v>46087</v>
      </c>
      <c r="F142" s="29">
        <v>46086</v>
      </c>
      <c r="G142" s="45" t="s">
        <v>686</v>
      </c>
      <c r="H142" s="8">
        <v>197591900</v>
      </c>
      <c r="I142" s="31">
        <v>189947800</v>
      </c>
      <c r="J142" s="8">
        <v>21200000</v>
      </c>
      <c r="K142" s="8">
        <v>28849000</v>
      </c>
      <c r="L142" s="52">
        <v>4900</v>
      </c>
      <c r="M142" s="6">
        <f t="shared" si="8"/>
        <v>0</v>
      </c>
      <c r="N142" s="21" t="str">
        <f t="shared" si="9"/>
        <v>Cuadrado</v>
      </c>
      <c r="O142" s="4" t="s">
        <v>933</v>
      </c>
      <c r="P142" s="36">
        <v>1018447800</v>
      </c>
    </row>
    <row r="143" spans="1:16" x14ac:dyDescent="0.35">
      <c r="A143" s="72">
        <v>419</v>
      </c>
      <c r="B143" s="28">
        <v>5077</v>
      </c>
      <c r="C143" s="18" t="str">
        <f>VLOOKUP(B143,'Lista MF'!B:C,2,0)</f>
        <v>BELLTECH</v>
      </c>
      <c r="D143" s="36" t="s">
        <v>6</v>
      </c>
      <c r="E143" s="29">
        <v>46087</v>
      </c>
      <c r="F143" s="29">
        <v>46086</v>
      </c>
      <c r="G143" s="45" t="s">
        <v>687</v>
      </c>
      <c r="H143" s="8">
        <v>121360500</v>
      </c>
      <c r="I143" s="31">
        <v>127255500</v>
      </c>
      <c r="J143" s="8">
        <v>0</v>
      </c>
      <c r="K143" s="8">
        <v>0</v>
      </c>
      <c r="L143" s="52">
        <v>5895000</v>
      </c>
      <c r="M143" s="6">
        <f t="shared" si="8"/>
        <v>0</v>
      </c>
      <c r="N143" s="21" t="str">
        <f t="shared" si="9"/>
        <v>Cuadrado</v>
      </c>
      <c r="O143" s="4" t="s">
        <v>934</v>
      </c>
      <c r="P143" s="36">
        <v>79248430</v>
      </c>
    </row>
    <row r="144" spans="1:16" x14ac:dyDescent="0.35">
      <c r="A144" s="72">
        <v>8</v>
      </c>
      <c r="B144" s="28">
        <v>5079</v>
      </c>
      <c r="C144" s="18" t="str">
        <f>VLOOKUP(B144,'Lista MF'!B:C,2,0)</f>
        <v>BELLTECH</v>
      </c>
      <c r="D144" s="36" t="s">
        <v>6</v>
      </c>
      <c r="E144" s="29">
        <v>46087</v>
      </c>
      <c r="F144" s="29">
        <v>46086</v>
      </c>
      <c r="G144" s="45" t="s">
        <v>688</v>
      </c>
      <c r="H144" s="8">
        <v>291679550</v>
      </c>
      <c r="I144" s="31">
        <v>245691600</v>
      </c>
      <c r="J144" s="8">
        <v>9790000</v>
      </c>
      <c r="K144" s="8">
        <v>33515100</v>
      </c>
      <c r="L144" s="52"/>
      <c r="M144" s="6">
        <f t="shared" si="8"/>
        <v>-22262850</v>
      </c>
      <c r="N144" s="21" t="str">
        <f t="shared" si="9"/>
        <v>Sobrante</v>
      </c>
      <c r="O144" s="9" t="s">
        <v>729</v>
      </c>
      <c r="P144" s="36">
        <v>71738191</v>
      </c>
    </row>
    <row r="145" spans="1:16" x14ac:dyDescent="0.35">
      <c r="A145" s="72">
        <v>523</v>
      </c>
      <c r="B145" s="28">
        <v>5082</v>
      </c>
      <c r="C145" s="18" t="str">
        <f>VLOOKUP(B145,'Lista MF'!B:C,2,0)</f>
        <v>BELLTECH</v>
      </c>
      <c r="D145" s="36" t="s">
        <v>99</v>
      </c>
      <c r="E145" s="29">
        <v>46087</v>
      </c>
      <c r="F145" s="29">
        <v>46086</v>
      </c>
      <c r="G145" s="45" t="s">
        <v>574</v>
      </c>
      <c r="H145" s="8">
        <v>178570950</v>
      </c>
      <c r="I145" s="31">
        <v>100552900</v>
      </c>
      <c r="J145" s="8">
        <v>0</v>
      </c>
      <c r="K145" s="8">
        <v>0</v>
      </c>
      <c r="L145" s="52"/>
      <c r="M145" s="6">
        <f t="shared" si="8"/>
        <v>-78018050</v>
      </c>
      <c r="N145" s="21" t="str">
        <f t="shared" si="9"/>
        <v>Sobrante</v>
      </c>
      <c r="O145" s="55" t="s">
        <v>622</v>
      </c>
      <c r="P145" s="36">
        <v>39491642</v>
      </c>
    </row>
    <row r="146" spans="1:16" x14ac:dyDescent="0.35">
      <c r="A146" s="72">
        <v>265</v>
      </c>
      <c r="B146" s="28">
        <v>5083</v>
      </c>
      <c r="C146" s="18" t="str">
        <f>VLOOKUP(B146,'Lista MF'!B:C,2,0)</f>
        <v>BELLTECH</v>
      </c>
      <c r="D146" s="36" t="s">
        <v>6</v>
      </c>
      <c r="E146" s="29">
        <v>46087</v>
      </c>
      <c r="F146" s="29">
        <v>46086</v>
      </c>
      <c r="G146" s="45" t="s">
        <v>689</v>
      </c>
      <c r="H146" s="8">
        <v>144767750</v>
      </c>
      <c r="I146" s="31">
        <v>130715750</v>
      </c>
      <c r="J146" s="8">
        <v>0</v>
      </c>
      <c r="K146" s="8">
        <v>0</v>
      </c>
      <c r="L146" s="52"/>
      <c r="M146" s="6">
        <f t="shared" si="8"/>
        <v>-14052000</v>
      </c>
      <c r="N146" s="21" t="str">
        <f t="shared" si="9"/>
        <v>Sobrante</v>
      </c>
      <c r="O146" s="9" t="s">
        <v>729</v>
      </c>
      <c r="P146" s="36">
        <v>1107081130</v>
      </c>
    </row>
    <row r="147" spans="1:16" x14ac:dyDescent="0.35">
      <c r="A147" s="72">
        <v>634</v>
      </c>
      <c r="B147" s="28">
        <v>5087</v>
      </c>
      <c r="C147" s="18" t="str">
        <f>VLOOKUP(B147,'Lista MF'!B:C,2,0)</f>
        <v>BELLTECH</v>
      </c>
      <c r="D147" s="36" t="s">
        <v>6</v>
      </c>
      <c r="E147" s="29">
        <v>46087</v>
      </c>
      <c r="F147" s="29">
        <v>46086</v>
      </c>
      <c r="G147" s="45" t="s">
        <v>690</v>
      </c>
      <c r="H147" s="8">
        <v>106089700</v>
      </c>
      <c r="I147" s="31">
        <v>105511700</v>
      </c>
      <c r="J147" s="8">
        <v>75740000</v>
      </c>
      <c r="K147" s="8">
        <v>76311000</v>
      </c>
      <c r="L147" s="52"/>
      <c r="M147" s="6">
        <f t="shared" si="8"/>
        <v>-7000</v>
      </c>
      <c r="N147" s="21" t="str">
        <f t="shared" si="9"/>
        <v>Sobrante</v>
      </c>
      <c r="O147" s="9" t="s">
        <v>729</v>
      </c>
      <c r="P147" s="36">
        <v>1032424944</v>
      </c>
    </row>
    <row r="148" spans="1:16" x14ac:dyDescent="0.35">
      <c r="A148" s="72">
        <v>430</v>
      </c>
      <c r="B148" s="28">
        <v>5104</v>
      </c>
      <c r="C148" s="18" t="str">
        <f>VLOOKUP(B148,'Lista MF'!B:C,2,0)</f>
        <v>BELLTECH</v>
      </c>
      <c r="D148" s="36" t="s">
        <v>6</v>
      </c>
      <c r="E148" s="29">
        <v>46087</v>
      </c>
      <c r="F148" s="29">
        <v>46086</v>
      </c>
      <c r="G148" s="45" t="s">
        <v>691</v>
      </c>
      <c r="H148" s="8">
        <v>369806800</v>
      </c>
      <c r="I148" s="31">
        <v>362667750</v>
      </c>
      <c r="J148" s="8">
        <v>41480000</v>
      </c>
      <c r="K148" s="8">
        <v>48593700</v>
      </c>
      <c r="L148" s="52"/>
      <c r="M148" s="6">
        <f t="shared" si="8"/>
        <v>-25350</v>
      </c>
      <c r="N148" s="21" t="str">
        <f t="shared" si="9"/>
        <v>Sobrante</v>
      </c>
      <c r="O148" s="9" t="s">
        <v>729</v>
      </c>
      <c r="P148" s="36">
        <v>1035234232</v>
      </c>
    </row>
    <row r="149" spans="1:16" x14ac:dyDescent="0.35">
      <c r="A149" s="72">
        <v>743</v>
      </c>
      <c r="B149" s="28">
        <v>5106</v>
      </c>
      <c r="C149" s="18" t="str">
        <f>VLOOKUP(B149,'Lista MF'!B:C,2,0)</f>
        <v>BELLTECH</v>
      </c>
      <c r="D149" s="36" t="s">
        <v>6</v>
      </c>
      <c r="E149" s="29">
        <v>46087</v>
      </c>
      <c r="F149" s="29">
        <v>46086</v>
      </c>
      <c r="G149" s="45" t="s">
        <v>620</v>
      </c>
      <c r="H149" s="8">
        <v>58298000</v>
      </c>
      <c r="I149" s="31">
        <v>52889000</v>
      </c>
      <c r="J149" s="8">
        <v>27880000</v>
      </c>
      <c r="K149" s="8">
        <v>15092000</v>
      </c>
      <c r="L149" s="52"/>
      <c r="M149" s="6">
        <f t="shared" si="8"/>
        <v>-18197000</v>
      </c>
      <c r="N149" s="21" t="str">
        <f t="shared" si="9"/>
        <v>Sobrante</v>
      </c>
      <c r="O149" s="9" t="s">
        <v>729</v>
      </c>
      <c r="P149" s="36">
        <v>79887183</v>
      </c>
    </row>
    <row r="150" spans="1:16" x14ac:dyDescent="0.35">
      <c r="A150" s="72">
        <v>191</v>
      </c>
      <c r="B150" s="28">
        <v>5112</v>
      </c>
      <c r="C150" s="18" t="str">
        <f>VLOOKUP(B150,'Lista MF'!B:C,2,0)</f>
        <v>BELLTECH</v>
      </c>
      <c r="D150" s="36" t="s">
        <v>6</v>
      </c>
      <c r="E150" s="29">
        <v>46087</v>
      </c>
      <c r="F150" s="29">
        <v>46086</v>
      </c>
      <c r="G150" s="45" t="s">
        <v>563</v>
      </c>
      <c r="H150" s="8">
        <v>246928850</v>
      </c>
      <c r="I150" s="31">
        <v>244729050</v>
      </c>
      <c r="J150" s="8">
        <v>800000</v>
      </c>
      <c r="K150" s="8">
        <v>0</v>
      </c>
      <c r="L150" s="52"/>
      <c r="M150" s="6">
        <f t="shared" si="8"/>
        <v>-2999800</v>
      </c>
      <c r="N150" s="21" t="str">
        <f t="shared" si="9"/>
        <v>Sobrante</v>
      </c>
      <c r="O150" s="9" t="s">
        <v>729</v>
      </c>
      <c r="P150" s="36">
        <v>80812756</v>
      </c>
    </row>
    <row r="151" spans="1:16" x14ac:dyDescent="0.35">
      <c r="A151" s="72">
        <v>937</v>
      </c>
      <c r="B151" s="28">
        <v>5115</v>
      </c>
      <c r="C151" s="18" t="str">
        <f>VLOOKUP(B151,'Lista MF'!B:C,2,0)</f>
        <v>BELLTECH</v>
      </c>
      <c r="D151" s="36" t="s">
        <v>6</v>
      </c>
      <c r="E151" s="29">
        <v>46087</v>
      </c>
      <c r="F151" s="29">
        <v>46086</v>
      </c>
      <c r="G151" s="45" t="s">
        <v>692</v>
      </c>
      <c r="H151" s="8">
        <v>171168750</v>
      </c>
      <c r="I151" s="31">
        <v>170696850</v>
      </c>
      <c r="J151" s="8">
        <v>0</v>
      </c>
      <c r="K151" s="8">
        <v>473000</v>
      </c>
      <c r="L151" s="52">
        <v>1100</v>
      </c>
      <c r="M151" s="6">
        <f t="shared" si="8"/>
        <v>0</v>
      </c>
      <c r="N151" s="21" t="str">
        <f t="shared" si="9"/>
        <v>Cuadrado</v>
      </c>
      <c r="O151" s="4" t="s">
        <v>935</v>
      </c>
      <c r="P151" s="36">
        <v>1061702364</v>
      </c>
    </row>
    <row r="152" spans="1:16" x14ac:dyDescent="0.35">
      <c r="A152" s="72">
        <v>292</v>
      </c>
      <c r="B152" s="28">
        <v>5116</v>
      </c>
      <c r="C152" s="18" t="str">
        <f>VLOOKUP(B152,'Lista MF'!B:C,2,0)</f>
        <v>BELLTECH</v>
      </c>
      <c r="D152" s="36" t="s">
        <v>6</v>
      </c>
      <c r="E152" s="29">
        <v>46087</v>
      </c>
      <c r="F152" s="29">
        <v>46086</v>
      </c>
      <c r="G152" s="45" t="s">
        <v>693</v>
      </c>
      <c r="H152" s="8">
        <v>198569250</v>
      </c>
      <c r="I152" s="31">
        <v>207441850</v>
      </c>
      <c r="J152" s="8">
        <v>15890000</v>
      </c>
      <c r="K152" s="8">
        <v>12444000</v>
      </c>
      <c r="L152" s="52">
        <v>5426600</v>
      </c>
      <c r="M152" s="6">
        <f t="shared" si="8"/>
        <v>0</v>
      </c>
      <c r="N152" s="21" t="str">
        <f t="shared" si="9"/>
        <v>Cuadrado</v>
      </c>
      <c r="O152" s="4" t="s">
        <v>936</v>
      </c>
      <c r="P152" s="36">
        <v>44006127</v>
      </c>
    </row>
    <row r="153" spans="1:16" x14ac:dyDescent="0.35">
      <c r="A153" s="72">
        <v>511</v>
      </c>
      <c r="B153" s="28">
        <v>5122</v>
      </c>
      <c r="C153" s="18" t="str">
        <f>VLOOKUP(B153,'Lista MF'!B:C,2,0)</f>
        <v>BELLTECH</v>
      </c>
      <c r="D153" s="36" t="s">
        <v>6</v>
      </c>
      <c r="E153" s="29">
        <v>46087</v>
      </c>
      <c r="F153" s="29">
        <v>46086</v>
      </c>
      <c r="G153" s="45" t="s">
        <v>694</v>
      </c>
      <c r="H153" s="8">
        <v>161839300</v>
      </c>
      <c r="I153" s="31">
        <v>202510250</v>
      </c>
      <c r="J153" s="8">
        <v>19110000</v>
      </c>
      <c r="K153" s="8">
        <v>18439000</v>
      </c>
      <c r="L153" s="52"/>
      <c r="M153" s="6">
        <f t="shared" si="8"/>
        <v>39999950</v>
      </c>
      <c r="N153" s="21" t="str">
        <f t="shared" si="9"/>
        <v>Faltante</v>
      </c>
      <c r="O153" s="55" t="s">
        <v>622</v>
      </c>
      <c r="P153" s="36">
        <v>1037597003</v>
      </c>
    </row>
    <row r="154" spans="1:16" x14ac:dyDescent="0.35">
      <c r="A154" s="72">
        <v>366</v>
      </c>
      <c r="B154" s="28">
        <v>5132</v>
      </c>
      <c r="C154" s="18" t="str">
        <f>VLOOKUP(B154,'Lista MF'!B:C,2,0)</f>
        <v>BELLTECH</v>
      </c>
      <c r="D154" s="36" t="s">
        <v>6</v>
      </c>
      <c r="E154" s="29">
        <v>46087</v>
      </c>
      <c r="F154" s="29">
        <v>46086</v>
      </c>
      <c r="G154" s="45" t="s">
        <v>695</v>
      </c>
      <c r="H154" s="8">
        <v>281513100</v>
      </c>
      <c r="I154" s="31">
        <v>264048100</v>
      </c>
      <c r="J154" s="8">
        <v>32420000</v>
      </c>
      <c r="K154" s="8">
        <v>46374000</v>
      </c>
      <c r="L154" s="52"/>
      <c r="M154" s="6">
        <f t="shared" si="8"/>
        <v>-3511000</v>
      </c>
      <c r="N154" s="21" t="str">
        <f t="shared" si="9"/>
        <v>Sobrante</v>
      </c>
      <c r="O154" s="9" t="s">
        <v>729</v>
      </c>
      <c r="P154" s="36">
        <v>1035426009</v>
      </c>
    </row>
    <row r="155" spans="1:16" x14ac:dyDescent="0.35">
      <c r="A155" s="72">
        <v>358</v>
      </c>
      <c r="B155" s="28">
        <v>5149</v>
      </c>
      <c r="C155" s="18" t="str">
        <f>VLOOKUP(B155,'Lista MF'!B:C,2,0)</f>
        <v>BELLTECH</v>
      </c>
      <c r="D155" s="36" t="s">
        <v>6</v>
      </c>
      <c r="E155" s="29">
        <v>46087</v>
      </c>
      <c r="F155" s="29">
        <v>46086</v>
      </c>
      <c r="G155" s="45" t="s">
        <v>696</v>
      </c>
      <c r="H155" s="8">
        <v>22620350</v>
      </c>
      <c r="I155" s="31">
        <v>22570850</v>
      </c>
      <c r="J155" s="8">
        <v>0</v>
      </c>
      <c r="K155" s="8">
        <v>0</v>
      </c>
      <c r="L155" s="52"/>
      <c r="M155" s="6">
        <f t="shared" si="8"/>
        <v>-49500</v>
      </c>
      <c r="N155" s="21" t="str">
        <f t="shared" si="9"/>
        <v>Sobrante</v>
      </c>
      <c r="O155" s="9" t="s">
        <v>729</v>
      </c>
      <c r="P155" s="36">
        <v>46456877</v>
      </c>
    </row>
    <row r="156" spans="1:16" x14ac:dyDescent="0.35">
      <c r="A156" s="72">
        <v>388</v>
      </c>
      <c r="B156" s="28">
        <v>5169</v>
      </c>
      <c r="C156" s="18" t="str">
        <f>VLOOKUP(B156,'Lista MF'!B:C,2,0)</f>
        <v>BELLTECH</v>
      </c>
      <c r="D156" s="36" t="s">
        <v>6</v>
      </c>
      <c r="E156" s="29">
        <v>46087</v>
      </c>
      <c r="F156" s="29">
        <v>46086</v>
      </c>
      <c r="G156" s="45" t="s">
        <v>697</v>
      </c>
      <c r="H156" s="8">
        <v>22055900</v>
      </c>
      <c r="I156" s="31">
        <v>329397900</v>
      </c>
      <c r="J156" s="8">
        <v>630000</v>
      </c>
      <c r="K156" s="8">
        <v>0</v>
      </c>
      <c r="L156" s="52">
        <f>306205000+507000</f>
        <v>306712000</v>
      </c>
      <c r="M156" s="6">
        <f t="shared" si="8"/>
        <v>0</v>
      </c>
      <c r="N156" s="21" t="str">
        <f t="shared" si="9"/>
        <v>Cuadrado</v>
      </c>
      <c r="O156" s="4" t="s">
        <v>937</v>
      </c>
      <c r="P156" s="36">
        <v>1023890720</v>
      </c>
    </row>
    <row r="157" spans="1:16" x14ac:dyDescent="0.35">
      <c r="A157" s="72">
        <v>253</v>
      </c>
      <c r="B157" s="28">
        <v>5176</v>
      </c>
      <c r="C157" s="18" t="str">
        <f>VLOOKUP(B157,'Lista MF'!B:C,2,0)</f>
        <v>BELLTECH</v>
      </c>
      <c r="D157" s="36" t="s">
        <v>6</v>
      </c>
      <c r="E157" s="29">
        <v>46087</v>
      </c>
      <c r="F157" s="29">
        <v>46086</v>
      </c>
      <c r="G157" s="45" t="s">
        <v>688</v>
      </c>
      <c r="H157" s="8">
        <v>216719950</v>
      </c>
      <c r="I157" s="31">
        <v>485872950</v>
      </c>
      <c r="J157" s="8">
        <v>9570000</v>
      </c>
      <c r="K157" s="8">
        <v>41515000</v>
      </c>
      <c r="L157" s="52">
        <v>300900000</v>
      </c>
      <c r="M157" s="6">
        <f t="shared" si="8"/>
        <v>198000</v>
      </c>
      <c r="N157" s="21" t="str">
        <f t="shared" si="9"/>
        <v>Faltante</v>
      </c>
      <c r="O157" s="4" t="s">
        <v>622</v>
      </c>
      <c r="P157" s="36">
        <v>1017241432</v>
      </c>
    </row>
    <row r="158" spans="1:16" x14ac:dyDescent="0.35">
      <c r="A158" s="72">
        <v>432</v>
      </c>
      <c r="B158" s="28">
        <v>5195</v>
      </c>
      <c r="C158" s="18" t="str">
        <f>VLOOKUP(B158,'Lista MF'!B:C,2,0)</f>
        <v>BELLTECH</v>
      </c>
      <c r="D158" s="36" t="s">
        <v>6</v>
      </c>
      <c r="E158" s="29">
        <v>46087</v>
      </c>
      <c r="F158" s="29">
        <v>46086</v>
      </c>
      <c r="G158" s="45" t="s">
        <v>651</v>
      </c>
      <c r="H158" s="8">
        <v>251120200</v>
      </c>
      <c r="I158" s="31">
        <v>209185200</v>
      </c>
      <c r="J158" s="8">
        <v>19960000</v>
      </c>
      <c r="K158" s="8">
        <v>67749000</v>
      </c>
      <c r="L158" s="52">
        <v>5854000</v>
      </c>
      <c r="M158" s="6">
        <f t="shared" si="8"/>
        <v>0</v>
      </c>
      <c r="N158" s="21" t="str">
        <f t="shared" si="9"/>
        <v>Cuadrado</v>
      </c>
      <c r="O158" s="4" t="s">
        <v>938</v>
      </c>
      <c r="P158" s="36">
        <v>71935844</v>
      </c>
    </row>
    <row r="159" spans="1:16" x14ac:dyDescent="0.35">
      <c r="A159" s="72">
        <v>606</v>
      </c>
      <c r="B159" s="28">
        <v>5201</v>
      </c>
      <c r="C159" s="18" t="str">
        <f>VLOOKUP(B159,'Lista MF'!B:C,2,0)</f>
        <v>BELLTECH</v>
      </c>
      <c r="D159" s="36" t="s">
        <v>6</v>
      </c>
      <c r="E159" s="29">
        <v>46087</v>
      </c>
      <c r="F159" s="29">
        <v>46086</v>
      </c>
      <c r="G159" s="45" t="s">
        <v>600</v>
      </c>
      <c r="H159" s="8">
        <v>278527850</v>
      </c>
      <c r="I159" s="31">
        <v>269966850</v>
      </c>
      <c r="J159" s="8">
        <v>19190000</v>
      </c>
      <c r="K159" s="8">
        <v>32881000</v>
      </c>
      <c r="L159" s="52">
        <v>5130000</v>
      </c>
      <c r="M159" s="6">
        <f t="shared" si="8"/>
        <v>0</v>
      </c>
      <c r="N159" s="21" t="str">
        <f t="shared" si="9"/>
        <v>Cuadrado</v>
      </c>
      <c r="O159" s="4" t="s">
        <v>939</v>
      </c>
      <c r="P159" s="36">
        <v>33368879</v>
      </c>
    </row>
    <row r="160" spans="1:16" x14ac:dyDescent="0.35">
      <c r="A160" s="72">
        <v>16</v>
      </c>
      <c r="B160" s="28">
        <v>5219</v>
      </c>
      <c r="C160" s="18" t="str">
        <f>VLOOKUP(B160,'Lista MF'!B:C,2,0)</f>
        <v>BELLTECH</v>
      </c>
      <c r="D160" s="36" t="s">
        <v>6</v>
      </c>
      <c r="E160" s="29">
        <v>46087</v>
      </c>
      <c r="F160" s="29">
        <v>46086</v>
      </c>
      <c r="G160" s="45" t="s">
        <v>698</v>
      </c>
      <c r="H160" s="8">
        <v>112217850</v>
      </c>
      <c r="I160" s="31">
        <v>99111700</v>
      </c>
      <c r="J160" s="8">
        <v>0</v>
      </c>
      <c r="K160" s="8">
        <v>0</v>
      </c>
      <c r="L160" s="52"/>
      <c r="M160" s="6">
        <f t="shared" si="8"/>
        <v>-13106150</v>
      </c>
      <c r="N160" s="21" t="str">
        <f t="shared" si="9"/>
        <v>Sobrante</v>
      </c>
      <c r="O160" s="9" t="s">
        <v>729</v>
      </c>
      <c r="P160" s="36">
        <v>1128391338</v>
      </c>
    </row>
    <row r="161" spans="1:16" x14ac:dyDescent="0.35">
      <c r="A161" s="72">
        <v>941</v>
      </c>
      <c r="B161" s="28">
        <v>5220</v>
      </c>
      <c r="C161" s="18" t="str">
        <f>VLOOKUP(B161,'Lista MF'!B:C,2,0)</f>
        <v>BELLTECH</v>
      </c>
      <c r="D161" s="36" t="s">
        <v>6</v>
      </c>
      <c r="E161" s="29">
        <v>46087</v>
      </c>
      <c r="F161" s="29">
        <v>46086</v>
      </c>
      <c r="G161" s="45" t="s">
        <v>699</v>
      </c>
      <c r="H161" s="8">
        <v>220258900</v>
      </c>
      <c r="I161" s="31">
        <v>220561700</v>
      </c>
      <c r="J161" s="8">
        <v>0</v>
      </c>
      <c r="K161" s="8">
        <v>0</v>
      </c>
      <c r="L161" s="52"/>
      <c r="M161" s="6">
        <f t="shared" si="8"/>
        <v>302800</v>
      </c>
      <c r="N161" s="21" t="str">
        <f t="shared" si="9"/>
        <v>Faltante</v>
      </c>
      <c r="O161" s="13" t="s">
        <v>728</v>
      </c>
      <c r="P161" s="36">
        <v>1075228904</v>
      </c>
    </row>
    <row r="162" spans="1:16" x14ac:dyDescent="0.35">
      <c r="A162" s="72">
        <v>54</v>
      </c>
      <c r="B162" s="28">
        <v>6204</v>
      </c>
      <c r="C162" s="18" t="str">
        <f>VLOOKUP(B162,'Lista MF'!B:C,2,0)</f>
        <v>BELLTECH</v>
      </c>
      <c r="D162" s="36" t="s">
        <v>6</v>
      </c>
      <c r="E162" s="29">
        <v>46087</v>
      </c>
      <c r="F162" s="29">
        <v>46086</v>
      </c>
      <c r="G162" s="45" t="s">
        <v>700</v>
      </c>
      <c r="H162" s="8">
        <v>141733400</v>
      </c>
      <c r="I162" s="31">
        <v>125946850</v>
      </c>
      <c r="J162" s="8">
        <v>1660000</v>
      </c>
      <c r="K162" s="8">
        <v>17535000</v>
      </c>
      <c r="L162" s="52">
        <f>-150+88600</f>
        <v>88450</v>
      </c>
      <c r="M162" s="6">
        <f t="shared" ref="M162:M191" si="10">I162-(H162+J162-K162)-L162</f>
        <v>0</v>
      </c>
      <c r="N162" s="21" t="str">
        <f t="shared" ref="N162:N191" si="11">IF(M162="","",IF(M162=0,"Cuadrado",IF(M162&gt;0,"Faltante","Sobrante")))</f>
        <v>Cuadrado</v>
      </c>
      <c r="O162" s="4" t="s">
        <v>940</v>
      </c>
      <c r="P162" s="36">
        <v>1019068822</v>
      </c>
    </row>
    <row r="163" spans="1:16" x14ac:dyDescent="0.35">
      <c r="A163" s="72">
        <v>178</v>
      </c>
      <c r="B163" s="28">
        <v>6218</v>
      </c>
      <c r="C163" s="18" t="str">
        <f>VLOOKUP(B163,'Lista MF'!B:C,2,0)</f>
        <v>BELLTECH</v>
      </c>
      <c r="D163" s="36" t="s">
        <v>6</v>
      </c>
      <c r="E163" s="29">
        <v>46087</v>
      </c>
      <c r="F163" s="29">
        <v>46086</v>
      </c>
      <c r="G163" s="45" t="s">
        <v>701</v>
      </c>
      <c r="H163" s="8">
        <v>301155400</v>
      </c>
      <c r="I163" s="31">
        <v>298945400</v>
      </c>
      <c r="J163" s="8">
        <v>2590000</v>
      </c>
      <c r="K163" s="8">
        <v>0</v>
      </c>
      <c r="L163" s="52"/>
      <c r="M163" s="6">
        <f t="shared" si="10"/>
        <v>-4800000</v>
      </c>
      <c r="N163" s="21" t="str">
        <f t="shared" si="11"/>
        <v>Sobrante</v>
      </c>
      <c r="O163" s="9" t="s">
        <v>729</v>
      </c>
      <c r="P163" s="36">
        <v>79516051</v>
      </c>
    </row>
    <row r="164" spans="1:16" x14ac:dyDescent="0.35">
      <c r="A164" s="72">
        <v>231</v>
      </c>
      <c r="B164" s="28">
        <v>6243</v>
      </c>
      <c r="C164" s="18" t="str">
        <f>VLOOKUP(B164,'Lista MF'!B:C,2,0)</f>
        <v>BELLTECH</v>
      </c>
      <c r="D164" s="36" t="s">
        <v>99</v>
      </c>
      <c r="E164" s="29">
        <v>46087</v>
      </c>
      <c r="F164" s="29">
        <v>46086</v>
      </c>
      <c r="G164" s="45" t="s">
        <v>702</v>
      </c>
      <c r="H164" s="8">
        <v>182345150</v>
      </c>
      <c r="I164" s="31">
        <v>186175150</v>
      </c>
      <c r="J164" s="8">
        <v>7780000</v>
      </c>
      <c r="K164" s="8">
        <v>4000000</v>
      </c>
      <c r="L164" s="52">
        <v>50000</v>
      </c>
      <c r="M164" s="6">
        <f t="shared" si="10"/>
        <v>0</v>
      </c>
      <c r="N164" s="21" t="str">
        <f t="shared" si="11"/>
        <v>Cuadrado</v>
      </c>
      <c r="O164" s="4" t="s">
        <v>941</v>
      </c>
      <c r="P164" s="36">
        <v>52979634</v>
      </c>
    </row>
    <row r="165" spans="1:16" x14ac:dyDescent="0.35">
      <c r="A165" s="72">
        <v>79</v>
      </c>
      <c r="B165" s="28">
        <v>6245</v>
      </c>
      <c r="C165" s="18" t="str">
        <f>VLOOKUP(B165,'Lista MF'!B:C,2,0)</f>
        <v>BELLTECH</v>
      </c>
      <c r="D165" s="36" t="s">
        <v>99</v>
      </c>
      <c r="E165" s="29">
        <v>46087</v>
      </c>
      <c r="F165" s="29">
        <v>46086</v>
      </c>
      <c r="G165" s="45" t="s">
        <v>703</v>
      </c>
      <c r="H165" s="8">
        <v>3193400</v>
      </c>
      <c r="I165" s="31">
        <v>201375900</v>
      </c>
      <c r="J165" s="8">
        <v>0</v>
      </c>
      <c r="K165" s="8">
        <v>17488950</v>
      </c>
      <c r="L165" s="52">
        <v>220433000</v>
      </c>
      <c r="M165" s="6">
        <f t="shared" si="10"/>
        <v>-4761550</v>
      </c>
      <c r="N165" s="21" t="str">
        <f t="shared" si="11"/>
        <v>Sobrante</v>
      </c>
      <c r="O165" s="9" t="s">
        <v>729</v>
      </c>
      <c r="P165" s="36">
        <v>79772242</v>
      </c>
    </row>
    <row r="166" spans="1:16" x14ac:dyDescent="0.35">
      <c r="A166" s="72">
        <v>78</v>
      </c>
      <c r="B166" s="28">
        <v>6246</v>
      </c>
      <c r="C166" s="18" t="str">
        <f>VLOOKUP(B166,'Lista MF'!B:C,2,0)</f>
        <v>BELLTECH</v>
      </c>
      <c r="D166" s="36" t="s">
        <v>6</v>
      </c>
      <c r="E166" s="29">
        <v>46087</v>
      </c>
      <c r="F166" s="29">
        <v>46086</v>
      </c>
      <c r="G166" s="45" t="s">
        <v>704</v>
      </c>
      <c r="H166" s="8">
        <v>179249150</v>
      </c>
      <c r="I166" s="31">
        <v>177039150</v>
      </c>
      <c r="J166" s="8">
        <v>560000</v>
      </c>
      <c r="K166" s="8">
        <v>8020000</v>
      </c>
      <c r="L166" s="52">
        <v>5250000</v>
      </c>
      <c r="M166" s="6">
        <f t="shared" si="10"/>
        <v>0</v>
      </c>
      <c r="N166" s="21" t="str">
        <f t="shared" si="11"/>
        <v>Cuadrado</v>
      </c>
      <c r="O166" s="4" t="s">
        <v>942</v>
      </c>
      <c r="P166" s="36">
        <v>1098657131</v>
      </c>
    </row>
    <row r="167" spans="1:16" x14ac:dyDescent="0.35">
      <c r="A167" s="72">
        <v>718</v>
      </c>
      <c r="B167" s="28">
        <v>6248</v>
      </c>
      <c r="C167" s="18" t="str">
        <f>VLOOKUP(B167,'Lista MF'!B:C,2,0)</f>
        <v>BELLTECH</v>
      </c>
      <c r="D167" s="36" t="s">
        <v>6</v>
      </c>
      <c r="E167" s="29">
        <v>46087</v>
      </c>
      <c r="F167" s="29">
        <v>46086</v>
      </c>
      <c r="G167" s="45" t="s">
        <v>703</v>
      </c>
      <c r="H167" s="8">
        <v>303747800</v>
      </c>
      <c r="I167" s="31">
        <v>304257800</v>
      </c>
      <c r="J167" s="8">
        <v>0</v>
      </c>
      <c r="K167" s="8">
        <v>2000000</v>
      </c>
      <c r="L167" s="52">
        <v>2510000</v>
      </c>
      <c r="M167" s="6">
        <f t="shared" si="10"/>
        <v>0</v>
      </c>
      <c r="N167" s="21" t="str">
        <f t="shared" si="11"/>
        <v>Cuadrado</v>
      </c>
      <c r="O167" s="4" t="s">
        <v>943</v>
      </c>
      <c r="P167" s="36">
        <v>1110458168</v>
      </c>
    </row>
    <row r="168" spans="1:16" x14ac:dyDescent="0.35">
      <c r="A168" s="72">
        <v>337</v>
      </c>
      <c r="B168" s="28">
        <v>6253</v>
      </c>
      <c r="C168" s="18" t="str">
        <f>VLOOKUP(B168,'Lista MF'!B:C,2,0)</f>
        <v>BELLTECH</v>
      </c>
      <c r="D168" s="36" t="s">
        <v>6</v>
      </c>
      <c r="E168" s="29">
        <v>46087</v>
      </c>
      <c r="F168" s="29">
        <v>46086</v>
      </c>
      <c r="G168" s="45" t="s">
        <v>705</v>
      </c>
      <c r="H168" s="8">
        <v>206397700</v>
      </c>
      <c r="I168" s="31">
        <v>209155700</v>
      </c>
      <c r="J168" s="8">
        <v>9590000</v>
      </c>
      <c r="K168" s="8">
        <v>6732000</v>
      </c>
      <c r="L168" s="52"/>
      <c r="M168" s="6">
        <f t="shared" si="10"/>
        <v>-100000</v>
      </c>
      <c r="N168" s="21" t="str">
        <f t="shared" si="11"/>
        <v>Sobrante</v>
      </c>
      <c r="O168" s="9" t="s">
        <v>729</v>
      </c>
      <c r="P168" s="36">
        <v>80386330</v>
      </c>
    </row>
    <row r="169" spans="1:16" x14ac:dyDescent="0.35">
      <c r="A169" s="72">
        <v>317</v>
      </c>
      <c r="B169" s="28">
        <v>6613</v>
      </c>
      <c r="C169" s="18" t="str">
        <f>VLOOKUP(B169,'Lista MF'!B:C,2,0)</f>
        <v>DIEBOLD</v>
      </c>
      <c r="D169" s="36" t="s">
        <v>6</v>
      </c>
      <c r="E169" s="29">
        <v>46087</v>
      </c>
      <c r="F169" s="29">
        <v>46086</v>
      </c>
      <c r="G169" s="45" t="s">
        <v>706</v>
      </c>
      <c r="H169" s="8">
        <v>55302000</v>
      </c>
      <c r="I169" s="31">
        <v>318993000</v>
      </c>
      <c r="J169" s="8">
        <v>1550000</v>
      </c>
      <c r="K169" s="8">
        <v>23900000</v>
      </c>
      <c r="L169" s="52">
        <f>290000000+12802000</f>
        <v>302802000</v>
      </c>
      <c r="M169" s="6">
        <f t="shared" si="10"/>
        <v>-16761000</v>
      </c>
      <c r="N169" s="21" t="str">
        <f t="shared" si="11"/>
        <v>Sobrante</v>
      </c>
      <c r="O169" s="9" t="s">
        <v>729</v>
      </c>
      <c r="P169" s="36">
        <v>1116796671</v>
      </c>
    </row>
    <row r="170" spans="1:16" x14ac:dyDescent="0.35">
      <c r="A170" s="72">
        <v>352</v>
      </c>
      <c r="B170" s="28">
        <v>6618</v>
      </c>
      <c r="C170" s="18" t="str">
        <f>VLOOKUP(B170,'Lista MF'!B:C,2,0)</f>
        <v>BELLTECH</v>
      </c>
      <c r="D170" s="36" t="s">
        <v>6</v>
      </c>
      <c r="E170" s="29">
        <v>46087</v>
      </c>
      <c r="F170" s="29">
        <v>46086</v>
      </c>
      <c r="G170" s="45" t="s">
        <v>551</v>
      </c>
      <c r="H170" s="8">
        <v>168638000</v>
      </c>
      <c r="I170" s="31">
        <v>190430000</v>
      </c>
      <c r="J170" s="8">
        <v>9630000</v>
      </c>
      <c r="K170" s="8">
        <v>650000</v>
      </c>
      <c r="L170" s="52"/>
      <c r="M170" s="6">
        <f t="shared" si="10"/>
        <v>12812000</v>
      </c>
      <c r="N170" s="21" t="str">
        <f t="shared" si="11"/>
        <v>Faltante</v>
      </c>
      <c r="O170" s="55" t="s">
        <v>622</v>
      </c>
      <c r="P170" s="36">
        <v>28559006</v>
      </c>
    </row>
    <row r="171" spans="1:16" x14ac:dyDescent="0.35">
      <c r="A171" s="72">
        <v>138</v>
      </c>
      <c r="B171" s="28">
        <v>6628</v>
      </c>
      <c r="C171" s="18" t="str">
        <f>VLOOKUP(B171,'Lista MF'!B:C,2,0)</f>
        <v>DIEBOLD</v>
      </c>
      <c r="D171" s="36" t="s">
        <v>99</v>
      </c>
      <c r="E171" s="29">
        <v>46087</v>
      </c>
      <c r="F171" s="29">
        <v>46086</v>
      </c>
      <c r="G171" s="45" t="s">
        <v>707</v>
      </c>
      <c r="H171" s="8">
        <v>121980550</v>
      </c>
      <c r="I171" s="31">
        <v>127215100</v>
      </c>
      <c r="J171" s="8">
        <v>7460000</v>
      </c>
      <c r="K171" s="8">
        <v>12185000</v>
      </c>
      <c r="L171" s="52">
        <f>-1000+9960550</f>
        <v>9959550</v>
      </c>
      <c r="M171" s="6">
        <f t="shared" si="10"/>
        <v>0</v>
      </c>
      <c r="N171" s="21" t="str">
        <f t="shared" si="11"/>
        <v>Cuadrado</v>
      </c>
      <c r="O171" s="4" t="s">
        <v>944</v>
      </c>
      <c r="P171" s="36">
        <v>1023884092</v>
      </c>
    </row>
    <row r="172" spans="1:16" x14ac:dyDescent="0.35">
      <c r="A172" s="72">
        <v>764</v>
      </c>
      <c r="B172" s="28">
        <v>6715</v>
      </c>
      <c r="C172" s="18" t="str">
        <f>VLOOKUP(B172,'Lista MF'!B:C,2,0)</f>
        <v>BELLTECH</v>
      </c>
      <c r="D172" s="36" t="s">
        <v>6</v>
      </c>
      <c r="E172" s="29">
        <v>46087</v>
      </c>
      <c r="F172" s="29">
        <v>46086</v>
      </c>
      <c r="G172" s="45" t="s">
        <v>563</v>
      </c>
      <c r="H172" s="8">
        <v>196916850</v>
      </c>
      <c r="I172" s="31">
        <v>204586850</v>
      </c>
      <c r="J172" s="8">
        <v>14400000</v>
      </c>
      <c r="K172" s="8">
        <v>6670000</v>
      </c>
      <c r="L172" s="52"/>
      <c r="M172" s="6">
        <f t="shared" si="10"/>
        <v>-60000</v>
      </c>
      <c r="N172" s="21" t="str">
        <f t="shared" si="11"/>
        <v>Sobrante</v>
      </c>
      <c r="O172" s="9" t="s">
        <v>729</v>
      </c>
      <c r="P172" s="36">
        <v>1112480917</v>
      </c>
    </row>
    <row r="173" spans="1:16" x14ac:dyDescent="0.35">
      <c r="A173" s="72">
        <v>371</v>
      </c>
      <c r="B173" s="28">
        <v>6718</v>
      </c>
      <c r="C173" s="18" t="str">
        <f>VLOOKUP(B173,'Lista MF'!B:C,2,0)</f>
        <v>BELLTECH</v>
      </c>
      <c r="D173" s="36" t="s">
        <v>6</v>
      </c>
      <c r="E173" s="29">
        <v>46087</v>
      </c>
      <c r="F173" s="29">
        <v>46086</v>
      </c>
      <c r="G173" s="45" t="s">
        <v>708</v>
      </c>
      <c r="H173" s="8">
        <v>222075650</v>
      </c>
      <c r="I173" s="31">
        <v>164874650</v>
      </c>
      <c r="J173" s="8">
        <v>6920000</v>
      </c>
      <c r="K173" s="8">
        <v>69476000</v>
      </c>
      <c r="L173" s="52">
        <v>5355000</v>
      </c>
      <c r="M173" s="6">
        <f t="shared" si="10"/>
        <v>0</v>
      </c>
      <c r="N173" s="21" t="str">
        <f t="shared" si="11"/>
        <v>Cuadrado</v>
      </c>
      <c r="O173" s="4" t="s">
        <v>945</v>
      </c>
      <c r="P173" s="36">
        <v>39279278</v>
      </c>
    </row>
    <row r="174" spans="1:16" x14ac:dyDescent="0.35">
      <c r="A174" s="72">
        <v>888</v>
      </c>
      <c r="B174" s="28">
        <v>6818</v>
      </c>
      <c r="C174" s="18" t="str">
        <f>VLOOKUP(B174,'Lista MF'!B:C,2,0)</f>
        <v>BELLTECH</v>
      </c>
      <c r="D174" s="36" t="s">
        <v>6</v>
      </c>
      <c r="E174" s="29">
        <v>46087</v>
      </c>
      <c r="F174" s="29">
        <v>46086</v>
      </c>
      <c r="G174" s="45" t="s">
        <v>709</v>
      </c>
      <c r="H174" s="8">
        <v>518685200</v>
      </c>
      <c r="I174" s="31">
        <v>483375200</v>
      </c>
      <c r="J174" s="8">
        <v>19760000</v>
      </c>
      <c r="K174" s="8">
        <v>54300000</v>
      </c>
      <c r="L174" s="52"/>
      <c r="M174" s="6">
        <f t="shared" si="10"/>
        <v>-770000</v>
      </c>
      <c r="N174" s="21" t="str">
        <f t="shared" si="11"/>
        <v>Sobrante</v>
      </c>
      <c r="O174" s="9" t="s">
        <v>729</v>
      </c>
      <c r="P174" s="36">
        <v>1085921765</v>
      </c>
    </row>
    <row r="175" spans="1:16" x14ac:dyDescent="0.35">
      <c r="A175" s="72">
        <v>741</v>
      </c>
      <c r="B175" s="28">
        <v>6843</v>
      </c>
      <c r="C175" s="18" t="str">
        <f>VLOOKUP(B175,'Lista MF'!B:C,2,0)</f>
        <v>DIEBOLD</v>
      </c>
      <c r="D175" s="36" t="s">
        <v>6</v>
      </c>
      <c r="E175" s="29">
        <v>46087</v>
      </c>
      <c r="F175" s="29">
        <v>46086</v>
      </c>
      <c r="G175" s="45" t="s">
        <v>710</v>
      </c>
      <c r="H175" s="8">
        <v>158973650</v>
      </c>
      <c r="I175" s="31">
        <v>202283500</v>
      </c>
      <c r="J175" s="8">
        <v>40000000</v>
      </c>
      <c r="K175" s="8">
        <v>35505000</v>
      </c>
      <c r="L175" s="52"/>
      <c r="M175" s="6">
        <f t="shared" si="10"/>
        <v>38814850</v>
      </c>
      <c r="N175" s="21" t="str">
        <f t="shared" si="11"/>
        <v>Faltante</v>
      </c>
      <c r="O175" s="4" t="s">
        <v>622</v>
      </c>
      <c r="P175" s="36">
        <v>1130637714</v>
      </c>
    </row>
    <row r="176" spans="1:16" x14ac:dyDescent="0.35">
      <c r="A176" s="72">
        <v>651</v>
      </c>
      <c r="B176" s="28">
        <v>7318</v>
      </c>
      <c r="C176" s="18" t="str">
        <f>VLOOKUP(B176,'Lista MF'!B:C,2,0)</f>
        <v>DIEBOLD</v>
      </c>
      <c r="D176" s="36" t="s">
        <v>6</v>
      </c>
      <c r="E176" s="29">
        <v>46087</v>
      </c>
      <c r="F176" s="29">
        <v>46086</v>
      </c>
      <c r="G176" s="45" t="s">
        <v>684</v>
      </c>
      <c r="H176" s="8">
        <v>118567600</v>
      </c>
      <c r="I176" s="31">
        <v>126485600</v>
      </c>
      <c r="J176" s="8">
        <v>37270000</v>
      </c>
      <c r="K176" s="8">
        <v>27832000</v>
      </c>
      <c r="L176" s="52"/>
      <c r="M176" s="6">
        <f t="shared" si="10"/>
        <v>-1520000</v>
      </c>
      <c r="N176" s="21" t="str">
        <f t="shared" si="11"/>
        <v>Sobrante</v>
      </c>
      <c r="O176" s="9" t="s">
        <v>729</v>
      </c>
      <c r="P176" s="36">
        <v>70136398</v>
      </c>
    </row>
    <row r="177" spans="1:35" x14ac:dyDescent="0.35">
      <c r="A177" s="72">
        <v>41</v>
      </c>
      <c r="B177" s="28">
        <v>7341</v>
      </c>
      <c r="C177" s="18" t="str">
        <f>VLOOKUP(B177,'Lista MF'!B:C,2,0)</f>
        <v>DIEBOLD</v>
      </c>
      <c r="D177" s="36" t="s">
        <v>6</v>
      </c>
      <c r="E177" s="29">
        <v>46087</v>
      </c>
      <c r="F177" s="29">
        <v>46086</v>
      </c>
      <c r="G177" s="45" t="s">
        <v>711</v>
      </c>
      <c r="H177" s="8">
        <v>106740400</v>
      </c>
      <c r="I177" s="31">
        <v>302280350</v>
      </c>
      <c r="J177" s="8">
        <v>0</v>
      </c>
      <c r="K177" s="8">
        <v>0</v>
      </c>
      <c r="L177" s="52">
        <v>195910000</v>
      </c>
      <c r="M177" s="6">
        <f t="shared" si="10"/>
        <v>-370050</v>
      </c>
      <c r="N177" s="21" t="str">
        <f t="shared" si="11"/>
        <v>Sobrante</v>
      </c>
      <c r="O177" s="9" t="s">
        <v>729</v>
      </c>
      <c r="P177" s="36">
        <v>94508187</v>
      </c>
    </row>
    <row r="178" spans="1:35" x14ac:dyDescent="0.35">
      <c r="A178" s="72">
        <v>623</v>
      </c>
      <c r="B178" s="28">
        <v>7375</v>
      </c>
      <c r="C178" s="18" t="str">
        <f>VLOOKUP(B178,'Lista MF'!B:C,2,0)</f>
        <v>BELLTECH</v>
      </c>
      <c r="D178" s="36" t="s">
        <v>6</v>
      </c>
      <c r="E178" s="29">
        <v>46087</v>
      </c>
      <c r="F178" s="29">
        <v>46086</v>
      </c>
      <c r="G178" s="45" t="s">
        <v>712</v>
      </c>
      <c r="H178" s="8">
        <v>181099450</v>
      </c>
      <c r="I178" s="31">
        <v>180959850</v>
      </c>
      <c r="J178" s="8">
        <v>1310000</v>
      </c>
      <c r="K178" s="8">
        <v>1434000</v>
      </c>
      <c r="L178" s="52">
        <v>-15600</v>
      </c>
      <c r="M178" s="6">
        <f t="shared" si="10"/>
        <v>0</v>
      </c>
      <c r="N178" s="21" t="str">
        <f t="shared" si="11"/>
        <v>Cuadrado</v>
      </c>
      <c r="O178" s="55" t="s">
        <v>590</v>
      </c>
      <c r="P178" s="36">
        <v>1012348871</v>
      </c>
    </row>
    <row r="179" spans="1:35" x14ac:dyDescent="0.35">
      <c r="A179" s="72">
        <v>944</v>
      </c>
      <c r="B179" s="28">
        <v>8354</v>
      </c>
      <c r="C179" s="18" t="str">
        <f>VLOOKUP(B179,'Lista MF'!B:C,2,0)</f>
        <v>BELLTECH</v>
      </c>
      <c r="D179" s="36" t="s">
        <v>6</v>
      </c>
      <c r="E179" s="29">
        <v>46087</v>
      </c>
      <c r="F179" s="29">
        <v>46086</v>
      </c>
      <c r="G179" s="45" t="s">
        <v>581</v>
      </c>
      <c r="H179" s="8">
        <v>17519050</v>
      </c>
      <c r="I179" s="31">
        <v>255044350</v>
      </c>
      <c r="J179" s="8">
        <v>20220000</v>
      </c>
      <c r="K179" s="8">
        <v>39022700</v>
      </c>
      <c r="L179" s="52">
        <f>253383000+2945000</f>
        <v>256328000</v>
      </c>
      <c r="M179" s="6">
        <f t="shared" si="10"/>
        <v>0</v>
      </c>
      <c r="N179" s="21" t="str">
        <f t="shared" si="11"/>
        <v>Cuadrado</v>
      </c>
      <c r="O179" s="4" t="s">
        <v>946</v>
      </c>
      <c r="P179" s="36">
        <v>79644034</v>
      </c>
    </row>
    <row r="180" spans="1:35" x14ac:dyDescent="0.35">
      <c r="A180" s="72">
        <v>495</v>
      </c>
      <c r="B180" s="28">
        <v>8482</v>
      </c>
      <c r="C180" s="18" t="str">
        <f>VLOOKUP(B180,'Lista MF'!B:C,2,0)</f>
        <v>BELLTECH</v>
      </c>
      <c r="D180" s="36" t="s">
        <v>99</v>
      </c>
      <c r="E180" s="29">
        <v>46087</v>
      </c>
      <c r="F180" s="29">
        <v>46086</v>
      </c>
      <c r="G180" s="45" t="s">
        <v>713</v>
      </c>
      <c r="H180" s="8">
        <v>153231600</v>
      </c>
      <c r="I180" s="31">
        <v>155683600</v>
      </c>
      <c r="J180" s="8">
        <v>0</v>
      </c>
      <c r="K180" s="8">
        <v>0</v>
      </c>
      <c r="L180" s="52"/>
      <c r="M180" s="6">
        <f t="shared" si="10"/>
        <v>2452000</v>
      </c>
      <c r="N180" s="21" t="str">
        <f t="shared" si="11"/>
        <v>Faltante</v>
      </c>
      <c r="O180" s="4" t="s">
        <v>622</v>
      </c>
      <c r="P180" s="36">
        <v>1052081923</v>
      </c>
    </row>
    <row r="181" spans="1:35" x14ac:dyDescent="0.35">
      <c r="A181" s="72">
        <v>728</v>
      </c>
      <c r="B181" s="28">
        <v>8586</v>
      </c>
      <c r="C181" s="18" t="str">
        <f>VLOOKUP(B181,'Lista MF'!B:C,2,0)</f>
        <v>BELLTECH</v>
      </c>
      <c r="D181" s="36" t="s">
        <v>6</v>
      </c>
      <c r="E181" s="29">
        <v>46087</v>
      </c>
      <c r="F181" s="29">
        <v>46086</v>
      </c>
      <c r="G181" s="45" t="s">
        <v>714</v>
      </c>
      <c r="H181" s="8">
        <v>197400800</v>
      </c>
      <c r="I181" s="31">
        <v>194709800</v>
      </c>
      <c r="J181" s="8">
        <v>6420000</v>
      </c>
      <c r="K181" s="8">
        <v>7000000</v>
      </c>
      <c r="L181" s="52"/>
      <c r="M181" s="6">
        <f t="shared" si="10"/>
        <v>-2111000</v>
      </c>
      <c r="N181" s="21" t="str">
        <f t="shared" si="11"/>
        <v>Sobrante</v>
      </c>
      <c r="O181" s="9" t="s">
        <v>729</v>
      </c>
      <c r="P181" s="36">
        <v>1112783690</v>
      </c>
    </row>
    <row r="182" spans="1:35" x14ac:dyDescent="0.35">
      <c r="A182" s="72">
        <v>728</v>
      </c>
      <c r="B182" s="28">
        <v>8587</v>
      </c>
      <c r="C182" s="18" t="str">
        <f>VLOOKUP(B182,'Lista MF'!B:C,2,0)</f>
        <v>BELLTECH</v>
      </c>
      <c r="D182" s="36" t="s">
        <v>6</v>
      </c>
      <c r="E182" s="29">
        <v>46087</v>
      </c>
      <c r="F182" s="29">
        <v>46086</v>
      </c>
      <c r="G182" s="45" t="s">
        <v>715</v>
      </c>
      <c r="H182" s="8">
        <v>152249850</v>
      </c>
      <c r="I182" s="31">
        <v>161403850</v>
      </c>
      <c r="J182" s="8">
        <v>9230000</v>
      </c>
      <c r="K182" s="8">
        <v>56000</v>
      </c>
      <c r="L182" s="52"/>
      <c r="M182" s="6">
        <f t="shared" si="10"/>
        <v>-20000</v>
      </c>
      <c r="N182" s="21" t="str">
        <f t="shared" si="11"/>
        <v>Sobrante</v>
      </c>
      <c r="O182" s="9" t="s">
        <v>729</v>
      </c>
      <c r="P182" s="36">
        <v>1112783690</v>
      </c>
    </row>
    <row r="183" spans="1:35" x14ac:dyDescent="0.35">
      <c r="A183" s="72">
        <v>78</v>
      </c>
      <c r="B183" s="28">
        <v>8594</v>
      </c>
      <c r="C183" s="18" t="str">
        <f>VLOOKUP(B183,'Lista MF'!B:C,2,0)</f>
        <v>BELLTECH</v>
      </c>
      <c r="D183" s="36" t="s">
        <v>6</v>
      </c>
      <c r="E183" s="29">
        <v>46087</v>
      </c>
      <c r="F183" s="29">
        <v>46086</v>
      </c>
      <c r="G183" s="45" t="s">
        <v>716</v>
      </c>
      <c r="H183" s="8">
        <v>135632050</v>
      </c>
      <c r="I183" s="31">
        <v>147082050</v>
      </c>
      <c r="J183" s="8">
        <v>6040000</v>
      </c>
      <c r="K183" s="8">
        <v>0</v>
      </c>
      <c r="L183" s="52">
        <v>5410000</v>
      </c>
      <c r="M183" s="6">
        <f t="shared" si="10"/>
        <v>0</v>
      </c>
      <c r="N183" s="21" t="str">
        <f t="shared" si="11"/>
        <v>Cuadrado</v>
      </c>
      <c r="O183" s="4" t="s">
        <v>947</v>
      </c>
      <c r="P183" s="36">
        <v>1098657131</v>
      </c>
    </row>
    <row r="184" spans="1:35" x14ac:dyDescent="0.35">
      <c r="A184" s="72">
        <v>60</v>
      </c>
      <c r="B184" s="28">
        <v>8727</v>
      </c>
      <c r="C184" s="18" t="str">
        <f>VLOOKUP(B184,'Lista MF'!B:C,2,0)</f>
        <v>BELLTECH</v>
      </c>
      <c r="D184" s="36" t="s">
        <v>6</v>
      </c>
      <c r="E184" s="29">
        <v>46087</v>
      </c>
      <c r="F184" s="29">
        <v>46086</v>
      </c>
      <c r="G184" s="45" t="s">
        <v>717</v>
      </c>
      <c r="H184" s="8">
        <v>195193800</v>
      </c>
      <c r="I184" s="31">
        <v>160851800</v>
      </c>
      <c r="J184" s="8">
        <v>5040000</v>
      </c>
      <c r="K184" s="8">
        <v>39240000</v>
      </c>
      <c r="L184" s="52"/>
      <c r="M184" s="6">
        <f t="shared" si="10"/>
        <v>-142000</v>
      </c>
      <c r="N184" s="21" t="str">
        <f t="shared" si="11"/>
        <v>Sobrante</v>
      </c>
      <c r="O184" s="9" t="s">
        <v>729</v>
      </c>
      <c r="P184" s="36">
        <v>14697128</v>
      </c>
    </row>
    <row r="185" spans="1:35" x14ac:dyDescent="0.35">
      <c r="A185" s="72">
        <v>60</v>
      </c>
      <c r="B185" s="28">
        <v>8728</v>
      </c>
      <c r="C185" s="18" t="str">
        <f>VLOOKUP(B185,'Lista MF'!B:C,2,0)</f>
        <v>DIEBOLD</v>
      </c>
      <c r="D185" s="36" t="s">
        <v>6</v>
      </c>
      <c r="E185" s="29">
        <v>46087</v>
      </c>
      <c r="F185" s="29">
        <v>46086</v>
      </c>
      <c r="G185" s="45" t="s">
        <v>538</v>
      </c>
      <c r="H185" s="8">
        <v>104602550</v>
      </c>
      <c r="I185" s="31">
        <v>108312550</v>
      </c>
      <c r="J185" s="8">
        <v>4550000</v>
      </c>
      <c r="K185" s="8">
        <v>1032000</v>
      </c>
      <c r="L185" s="52"/>
      <c r="M185" s="6">
        <f t="shared" si="10"/>
        <v>192000</v>
      </c>
      <c r="N185" s="21" t="str">
        <f t="shared" si="11"/>
        <v>Faltante</v>
      </c>
      <c r="O185" s="55" t="s">
        <v>622</v>
      </c>
      <c r="P185" s="36">
        <v>14697128</v>
      </c>
    </row>
    <row r="186" spans="1:35" x14ac:dyDescent="0.35">
      <c r="A186" s="72">
        <v>60</v>
      </c>
      <c r="B186" s="28">
        <v>8729</v>
      </c>
      <c r="C186" s="18" t="str">
        <f>VLOOKUP(B186,'Lista MF'!B:C,2,0)</f>
        <v>BELLTECH</v>
      </c>
      <c r="D186" s="36" t="s">
        <v>6</v>
      </c>
      <c r="E186" s="29">
        <v>46087</v>
      </c>
      <c r="F186" s="29">
        <v>46086</v>
      </c>
      <c r="G186" s="45" t="s">
        <v>569</v>
      </c>
      <c r="H186" s="8">
        <v>118601550</v>
      </c>
      <c r="I186" s="31">
        <v>118662450</v>
      </c>
      <c r="J186" s="8">
        <v>7310000</v>
      </c>
      <c r="K186" s="8">
        <v>7299100</v>
      </c>
      <c r="L186" s="52">
        <v>-10000</v>
      </c>
      <c r="M186" s="6">
        <f t="shared" si="10"/>
        <v>60000</v>
      </c>
      <c r="N186" s="21" t="str">
        <f t="shared" si="11"/>
        <v>Faltante</v>
      </c>
      <c r="O186" s="55" t="s">
        <v>622</v>
      </c>
      <c r="P186" s="36">
        <v>14697128</v>
      </c>
    </row>
    <row r="187" spans="1:35" x14ac:dyDescent="0.35">
      <c r="A187" s="72">
        <v>225</v>
      </c>
      <c r="B187" s="28">
        <v>8869</v>
      </c>
      <c r="C187" s="18" t="str">
        <f>VLOOKUP(B187,'Lista MF'!B:C,2,0)</f>
        <v>BELLTECH</v>
      </c>
      <c r="D187" s="36" t="s">
        <v>6</v>
      </c>
      <c r="E187" s="29">
        <v>46087</v>
      </c>
      <c r="F187" s="29">
        <v>46086</v>
      </c>
      <c r="G187" s="45" t="s">
        <v>718</v>
      </c>
      <c r="H187" s="8">
        <v>354412750</v>
      </c>
      <c r="I187" s="31">
        <v>368182750</v>
      </c>
      <c r="J187" s="8">
        <v>12460000</v>
      </c>
      <c r="K187" s="8">
        <v>0</v>
      </c>
      <c r="L187" s="52">
        <v>1310000</v>
      </c>
      <c r="M187" s="6">
        <f t="shared" si="10"/>
        <v>0</v>
      </c>
      <c r="N187" s="21" t="str">
        <f t="shared" si="11"/>
        <v>Cuadrado</v>
      </c>
      <c r="O187" s="4" t="s">
        <v>948</v>
      </c>
      <c r="P187" s="36">
        <v>80212698</v>
      </c>
    </row>
    <row r="188" spans="1:35" x14ac:dyDescent="0.35">
      <c r="A188" s="74">
        <v>442</v>
      </c>
      <c r="B188" s="58">
        <v>8888</v>
      </c>
      <c r="C188" s="59" t="str">
        <f>VLOOKUP(B188,'Lista MF'!B:C,2,0)</f>
        <v>BELLTECH</v>
      </c>
      <c r="D188" s="57" t="s">
        <v>6</v>
      </c>
      <c r="E188" s="29">
        <v>46087</v>
      </c>
      <c r="F188" s="60">
        <v>46086</v>
      </c>
      <c r="G188" s="61" t="s">
        <v>719</v>
      </c>
      <c r="H188" s="62">
        <v>244102150</v>
      </c>
      <c r="I188" s="63">
        <v>121207800</v>
      </c>
      <c r="J188" s="62">
        <v>12080000</v>
      </c>
      <c r="K188" s="62">
        <v>133143000</v>
      </c>
      <c r="L188" s="52"/>
      <c r="M188" s="64">
        <f t="shared" si="10"/>
        <v>-1831350</v>
      </c>
      <c r="N188" s="21" t="str">
        <f t="shared" si="11"/>
        <v>Sobrante</v>
      </c>
      <c r="O188" s="9" t="s">
        <v>729</v>
      </c>
      <c r="P188" s="57">
        <v>1140853558</v>
      </c>
    </row>
    <row r="189" spans="1:35" s="36" customFormat="1" x14ac:dyDescent="0.35">
      <c r="A189" s="72">
        <v>348</v>
      </c>
      <c r="B189" s="28">
        <v>9009</v>
      </c>
      <c r="C189" s="18" t="str">
        <f>VLOOKUP(B189,'Lista MF'!B:C,2,0)</f>
        <v>BELLTECH</v>
      </c>
      <c r="D189" s="36" t="s">
        <v>6</v>
      </c>
      <c r="E189" s="29">
        <v>46087</v>
      </c>
      <c r="F189" s="29">
        <v>46086</v>
      </c>
      <c r="G189" s="45" t="s">
        <v>583</v>
      </c>
      <c r="H189" s="62">
        <v>47362900</v>
      </c>
      <c r="I189" s="63">
        <v>311105900</v>
      </c>
      <c r="J189" s="62">
        <v>8700000</v>
      </c>
      <c r="K189" s="62">
        <v>54901000</v>
      </c>
      <c r="L189" s="52">
        <f>307570000+2374000</f>
        <v>309944000</v>
      </c>
      <c r="M189" s="6">
        <f t="shared" si="10"/>
        <v>0</v>
      </c>
      <c r="N189" s="21" t="str">
        <f t="shared" si="11"/>
        <v>Cuadrado</v>
      </c>
      <c r="O189" s="4" t="s">
        <v>949</v>
      </c>
      <c r="P189" s="36">
        <v>1123633014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s="36" customFormat="1" x14ac:dyDescent="0.35">
      <c r="A190" s="72">
        <v>367</v>
      </c>
      <c r="B190" s="28">
        <v>9580</v>
      </c>
      <c r="C190" s="18" t="str">
        <f>VLOOKUP(B190,'Lista MF'!B:C,2,0)</f>
        <v>BELLTECH</v>
      </c>
      <c r="D190" s="36" t="s">
        <v>6</v>
      </c>
      <c r="E190" s="29">
        <v>46087</v>
      </c>
      <c r="F190" s="29">
        <v>46086</v>
      </c>
      <c r="G190" s="45" t="s">
        <v>720</v>
      </c>
      <c r="H190" s="62">
        <v>61065800</v>
      </c>
      <c r="I190" s="63">
        <v>65582800</v>
      </c>
      <c r="J190" s="62">
        <v>22210000</v>
      </c>
      <c r="K190" s="62">
        <v>13800000</v>
      </c>
      <c r="L190" s="52"/>
      <c r="M190" s="6">
        <f t="shared" si="10"/>
        <v>-3893000</v>
      </c>
      <c r="N190" s="21" t="str">
        <f t="shared" si="11"/>
        <v>Sobrante</v>
      </c>
      <c r="O190" s="9" t="s">
        <v>729</v>
      </c>
      <c r="P190" s="36">
        <v>35264438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s="36" customFormat="1" x14ac:dyDescent="0.35">
      <c r="A191" s="72">
        <v>229</v>
      </c>
      <c r="B191" s="28">
        <v>9604</v>
      </c>
      <c r="C191" s="18" t="str">
        <f>VLOOKUP(B191,'Lista MF'!B:C,2,0)</f>
        <v>BELLTECH</v>
      </c>
      <c r="D191" s="36" t="s">
        <v>6</v>
      </c>
      <c r="E191" s="29">
        <v>46087</v>
      </c>
      <c r="F191" s="29">
        <v>46086</v>
      </c>
      <c r="G191" s="45" t="s">
        <v>721</v>
      </c>
      <c r="H191" s="62">
        <v>205966000</v>
      </c>
      <c r="I191" s="63">
        <v>195800100</v>
      </c>
      <c r="J191" s="62">
        <v>12880000</v>
      </c>
      <c r="K191" s="62">
        <v>22644950</v>
      </c>
      <c r="L191" s="52"/>
      <c r="M191" s="6">
        <f t="shared" si="10"/>
        <v>-400950</v>
      </c>
      <c r="N191" s="21" t="str">
        <f t="shared" si="11"/>
        <v>Sobrante</v>
      </c>
      <c r="O191" s="9" t="s">
        <v>729</v>
      </c>
      <c r="P191" s="36">
        <v>79653318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s="36" customFormat="1" x14ac:dyDescent="0.35">
      <c r="A192" s="72">
        <v>623</v>
      </c>
      <c r="B192" s="28">
        <v>5047</v>
      </c>
      <c r="C192" s="18" t="str">
        <f>VLOOKUP(B192,'Lista MF'!B:C,2,0)</f>
        <v>BELLTECH</v>
      </c>
      <c r="D192" s="36" t="s">
        <v>6</v>
      </c>
      <c r="E192" s="29">
        <v>46087</v>
      </c>
      <c r="F192" s="29">
        <v>46086</v>
      </c>
      <c r="G192" s="45" t="s">
        <v>536</v>
      </c>
      <c r="H192" s="62">
        <v>203519800</v>
      </c>
      <c r="I192" s="63">
        <v>191719800</v>
      </c>
      <c r="J192" s="62">
        <v>900000</v>
      </c>
      <c r="K192" s="62">
        <v>12700000</v>
      </c>
      <c r="L192" s="52"/>
      <c r="M192" s="6">
        <f t="shared" ref="M192:M201" si="12">I192-(H192+J192-K192)-L192</f>
        <v>0</v>
      </c>
      <c r="N192" s="21" t="str">
        <f t="shared" ref="N192:N201" si="13">IF(M192="","",IF(M192=0,"Cuadrado",IF(M192&gt;0,"Faltante","Sobrante")))</f>
        <v>Cuadrado</v>
      </c>
      <c r="O192" s="55" t="s">
        <v>590</v>
      </c>
      <c r="P192" s="36">
        <v>1012348871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s="36" customFormat="1" x14ac:dyDescent="0.35">
      <c r="A193" s="72">
        <v>392</v>
      </c>
      <c r="B193" s="28">
        <v>5064</v>
      </c>
      <c r="C193" s="18" t="str">
        <f>VLOOKUP(B193,'Lista MF'!B:C,2,0)</f>
        <v>BELLTECH</v>
      </c>
      <c r="D193" s="36" t="s">
        <v>6</v>
      </c>
      <c r="E193" s="29">
        <v>46087</v>
      </c>
      <c r="F193" s="29">
        <v>46086</v>
      </c>
      <c r="G193" s="45" t="s">
        <v>722</v>
      </c>
      <c r="H193" s="62">
        <v>289959150</v>
      </c>
      <c r="I193" s="63">
        <v>297569150</v>
      </c>
      <c r="J193" s="62">
        <v>7610000</v>
      </c>
      <c r="K193" s="62">
        <v>0</v>
      </c>
      <c r="L193" s="52"/>
      <c r="M193" s="6">
        <f t="shared" si="12"/>
        <v>0</v>
      </c>
      <c r="N193" s="21" t="str">
        <f t="shared" si="13"/>
        <v>Cuadrado</v>
      </c>
      <c r="O193" s="55" t="s">
        <v>590</v>
      </c>
      <c r="P193" s="36">
        <v>1054547012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s="36" customFormat="1" x14ac:dyDescent="0.35">
      <c r="A194" s="72">
        <v>115</v>
      </c>
      <c r="B194" s="28">
        <v>5080</v>
      </c>
      <c r="C194" s="18" t="str">
        <f>VLOOKUP(B194,'Lista MF'!B:C,2,0)</f>
        <v>BELLTECH</v>
      </c>
      <c r="D194" s="36" t="s">
        <v>6</v>
      </c>
      <c r="E194" s="29">
        <v>46087</v>
      </c>
      <c r="F194" s="29">
        <v>46086</v>
      </c>
      <c r="G194" s="45" t="s">
        <v>723</v>
      </c>
      <c r="H194" s="62">
        <v>114724600</v>
      </c>
      <c r="I194" s="63">
        <v>104641600</v>
      </c>
      <c r="J194" s="62">
        <v>5250000</v>
      </c>
      <c r="K194" s="62">
        <v>15333000</v>
      </c>
      <c r="L194" s="52"/>
      <c r="M194" s="6">
        <f t="shared" si="12"/>
        <v>0</v>
      </c>
      <c r="N194" s="21" t="str">
        <f t="shared" si="13"/>
        <v>Cuadrado</v>
      </c>
      <c r="O194" s="55" t="s">
        <v>590</v>
      </c>
      <c r="P194" s="36">
        <v>42158306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s="36" customFormat="1" x14ac:dyDescent="0.35">
      <c r="A195" s="72">
        <v>571</v>
      </c>
      <c r="B195" s="28">
        <v>6150</v>
      </c>
      <c r="C195" s="18" t="str">
        <f>VLOOKUP(B195,'Lista MF'!B:C,2,0)</f>
        <v>BELLTECH</v>
      </c>
      <c r="D195" s="36" t="s">
        <v>6</v>
      </c>
      <c r="E195" s="29">
        <v>46087</v>
      </c>
      <c r="F195" s="29">
        <v>46086</v>
      </c>
      <c r="G195" s="45" t="s">
        <v>573</v>
      </c>
      <c r="H195" s="62">
        <v>242897600</v>
      </c>
      <c r="I195" s="63">
        <v>223325700</v>
      </c>
      <c r="J195" s="62">
        <v>4240000</v>
      </c>
      <c r="K195" s="62">
        <v>23811900</v>
      </c>
      <c r="L195" s="52"/>
      <c r="M195" s="6">
        <f t="shared" si="12"/>
        <v>0</v>
      </c>
      <c r="N195" s="21" t="str">
        <f t="shared" si="13"/>
        <v>Cuadrado</v>
      </c>
      <c r="O195" s="55" t="s">
        <v>590</v>
      </c>
      <c r="P195" s="36">
        <v>53159749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s="36" customFormat="1" x14ac:dyDescent="0.35">
      <c r="A196" s="72">
        <v>37</v>
      </c>
      <c r="B196" s="28">
        <v>6406</v>
      </c>
      <c r="C196" s="18" t="str">
        <f>VLOOKUP(B196,'Lista MF'!B:C,2,0)</f>
        <v>BELLTECH</v>
      </c>
      <c r="D196" s="36" t="s">
        <v>6</v>
      </c>
      <c r="E196" s="29">
        <v>46087</v>
      </c>
      <c r="F196" s="29">
        <v>46086</v>
      </c>
      <c r="G196" s="45" t="s">
        <v>589</v>
      </c>
      <c r="H196" s="62">
        <v>52402600</v>
      </c>
      <c r="I196" s="63">
        <v>72470600</v>
      </c>
      <c r="J196" s="62">
        <v>31540000</v>
      </c>
      <c r="K196" s="62">
        <v>11472000</v>
      </c>
      <c r="L196" s="52"/>
      <c r="M196" s="6">
        <f t="shared" si="12"/>
        <v>0</v>
      </c>
      <c r="N196" s="21" t="str">
        <f t="shared" si="13"/>
        <v>Cuadrado</v>
      </c>
      <c r="O196" s="55" t="s">
        <v>590</v>
      </c>
      <c r="P196" s="36">
        <v>1018444239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s="36" customFormat="1" x14ac:dyDescent="0.35">
      <c r="A197" s="72">
        <v>658</v>
      </c>
      <c r="B197" s="28">
        <v>7074</v>
      </c>
      <c r="C197" s="18" t="str">
        <f>VLOOKUP(B197,'Lista MF'!B:C,2,0)</f>
        <v>DIEBOLD</v>
      </c>
      <c r="D197" s="36" t="s">
        <v>99</v>
      </c>
      <c r="E197" s="29">
        <v>46087</v>
      </c>
      <c r="F197" s="29">
        <v>46086</v>
      </c>
      <c r="G197" s="45" t="s">
        <v>724</v>
      </c>
      <c r="H197" s="62">
        <v>131652250</v>
      </c>
      <c r="I197" s="63">
        <v>133680750</v>
      </c>
      <c r="J197" s="62">
        <v>9600000</v>
      </c>
      <c r="K197" s="62">
        <v>7571500</v>
      </c>
      <c r="L197" s="52"/>
      <c r="M197" s="6">
        <f t="shared" si="12"/>
        <v>0</v>
      </c>
      <c r="N197" s="21" t="str">
        <f t="shared" si="13"/>
        <v>Cuadrado</v>
      </c>
      <c r="O197" s="55" t="s">
        <v>590</v>
      </c>
      <c r="P197" s="36">
        <v>53000424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s="36" customFormat="1" x14ac:dyDescent="0.35">
      <c r="A198" s="72">
        <v>233</v>
      </c>
      <c r="B198" s="28">
        <v>7212</v>
      </c>
      <c r="C198" s="18" t="str">
        <f>VLOOKUP(B198,'Lista MF'!B:C,2,0)</f>
        <v>BELLTECH</v>
      </c>
      <c r="D198" s="36" t="s">
        <v>6</v>
      </c>
      <c r="E198" s="29">
        <v>46087</v>
      </c>
      <c r="F198" s="29">
        <v>46086</v>
      </c>
      <c r="G198" s="45" t="s">
        <v>725</v>
      </c>
      <c r="H198" s="62">
        <v>118171400</v>
      </c>
      <c r="I198" s="63">
        <v>127957400</v>
      </c>
      <c r="J198" s="62">
        <v>23960000</v>
      </c>
      <c r="K198" s="62">
        <v>14174000</v>
      </c>
      <c r="L198" s="52"/>
      <c r="M198" s="6">
        <f t="shared" si="12"/>
        <v>0</v>
      </c>
      <c r="N198" s="21" t="str">
        <f t="shared" si="13"/>
        <v>Cuadrado</v>
      </c>
      <c r="O198" s="55" t="s">
        <v>590</v>
      </c>
      <c r="P198" s="36">
        <v>80271480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s="36" customFormat="1" x14ac:dyDescent="0.35">
      <c r="A199" s="72">
        <v>389</v>
      </c>
      <c r="B199" s="28">
        <v>7327</v>
      </c>
      <c r="C199" s="18" t="str">
        <f>VLOOKUP(B199,'Lista MF'!B:C,2,0)</f>
        <v>BELLTECH</v>
      </c>
      <c r="D199" s="36" t="s">
        <v>6</v>
      </c>
      <c r="E199" s="29">
        <v>46087</v>
      </c>
      <c r="F199" s="29">
        <v>46086</v>
      </c>
      <c r="G199" s="45" t="s">
        <v>726</v>
      </c>
      <c r="H199" s="62">
        <v>123987850</v>
      </c>
      <c r="I199" s="63">
        <v>124047850</v>
      </c>
      <c r="J199" s="62">
        <v>60000</v>
      </c>
      <c r="K199" s="62">
        <v>0</v>
      </c>
      <c r="L199" s="52"/>
      <c r="M199" s="6">
        <f t="shared" si="12"/>
        <v>0</v>
      </c>
      <c r="N199" s="21" t="str">
        <f t="shared" si="13"/>
        <v>Cuadrado</v>
      </c>
      <c r="O199" s="55" t="s">
        <v>590</v>
      </c>
      <c r="P199" s="36">
        <v>14319846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s="36" customFormat="1" x14ac:dyDescent="0.35">
      <c r="A200" s="72">
        <v>866</v>
      </c>
      <c r="B200" s="28">
        <v>8662</v>
      </c>
      <c r="C200" s="18" t="str">
        <f>VLOOKUP(B200,'Lista MF'!B:C,2,0)</f>
        <v>BELLTECH</v>
      </c>
      <c r="D200" s="36" t="s">
        <v>6</v>
      </c>
      <c r="E200" s="29">
        <v>46087</v>
      </c>
      <c r="F200" s="29">
        <v>46086</v>
      </c>
      <c r="G200" s="45" t="s">
        <v>697</v>
      </c>
      <c r="H200" s="62">
        <v>222373450</v>
      </c>
      <c r="I200" s="63">
        <v>250073450</v>
      </c>
      <c r="J200" s="62">
        <v>27700000</v>
      </c>
      <c r="K200" s="62">
        <v>0</v>
      </c>
      <c r="L200" s="52"/>
      <c r="M200" s="6">
        <f t="shared" si="12"/>
        <v>0</v>
      </c>
      <c r="N200" s="21" t="str">
        <f t="shared" si="13"/>
        <v>Cuadrado</v>
      </c>
      <c r="O200" s="55" t="s">
        <v>590</v>
      </c>
      <c r="P200" s="36">
        <v>1113674245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s="36" customFormat="1" x14ac:dyDescent="0.35">
      <c r="A201" s="72">
        <v>33</v>
      </c>
      <c r="B201" s="28">
        <v>8861</v>
      </c>
      <c r="C201" s="18" t="str">
        <f>VLOOKUP(B201,'Lista MF'!B:C,2,0)</f>
        <v>BELLTECH</v>
      </c>
      <c r="D201" s="36" t="s">
        <v>6</v>
      </c>
      <c r="E201" s="29">
        <v>46087</v>
      </c>
      <c r="F201" s="29">
        <v>46086</v>
      </c>
      <c r="G201" s="45" t="s">
        <v>727</v>
      </c>
      <c r="H201" s="8">
        <v>150039000</v>
      </c>
      <c r="I201" s="31">
        <v>178218000</v>
      </c>
      <c r="J201" s="8">
        <v>40400000</v>
      </c>
      <c r="K201" s="8">
        <v>12221000</v>
      </c>
      <c r="L201" s="52"/>
      <c r="M201" s="6">
        <f t="shared" si="12"/>
        <v>0</v>
      </c>
      <c r="N201" s="21" t="str">
        <f t="shared" si="13"/>
        <v>Cuadrado</v>
      </c>
      <c r="O201" s="55" t="s">
        <v>590</v>
      </c>
      <c r="P201" s="36">
        <v>79659379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s="36" customFormat="1" x14ac:dyDescent="0.35">
      <c r="A202" s="72">
        <v>333</v>
      </c>
      <c r="B202" s="28">
        <v>442</v>
      </c>
      <c r="C202" s="18" t="str">
        <f>VLOOKUP(B202,'Lista MF'!B:C,2,0)</f>
        <v>DIEBOLD</v>
      </c>
      <c r="D202" s="36" t="s">
        <v>99</v>
      </c>
      <c r="E202" s="29">
        <v>46090</v>
      </c>
      <c r="F202" s="29">
        <v>46087</v>
      </c>
      <c r="G202" s="45" t="s">
        <v>695</v>
      </c>
      <c r="H202" s="8">
        <v>224676050</v>
      </c>
      <c r="I202" s="31">
        <v>311601350</v>
      </c>
      <c r="J202" s="8">
        <v>25030000</v>
      </c>
      <c r="K202" s="8">
        <v>81249200</v>
      </c>
      <c r="L202" s="52"/>
      <c r="M202" s="6">
        <f t="shared" ref="M202:M226" si="14">I202-(H202+J202-K202)-L202</f>
        <v>143144500</v>
      </c>
      <c r="N202" s="21" t="str">
        <f t="shared" ref="N202:N226" si="15">IF(M202="","",IF(M202=0,"Cuadrado",IF(M202&gt;0,"Faltante","Sobrante")))</f>
        <v>Faltante</v>
      </c>
      <c r="O202" s="55" t="s">
        <v>622</v>
      </c>
      <c r="P202" s="36">
        <v>1036606819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s="36" customFormat="1" x14ac:dyDescent="0.35">
      <c r="A203" s="72">
        <v>214</v>
      </c>
      <c r="B203" s="28">
        <v>1469</v>
      </c>
      <c r="C203" s="18" t="str">
        <f>VLOOKUP(B203,'Lista MF'!B:C,2,0)</f>
        <v>BELLTECH</v>
      </c>
      <c r="D203" s="36" t="s">
        <v>6</v>
      </c>
      <c r="E203" s="29">
        <v>46090</v>
      </c>
      <c r="F203" s="29">
        <v>46086</v>
      </c>
      <c r="G203" s="45" t="s">
        <v>730</v>
      </c>
      <c r="H203" s="8">
        <v>201139500</v>
      </c>
      <c r="I203" s="31">
        <v>176098200</v>
      </c>
      <c r="J203" s="8">
        <v>15560000</v>
      </c>
      <c r="K203" s="8">
        <v>45367700</v>
      </c>
      <c r="L203" s="52">
        <v>2350700</v>
      </c>
      <c r="M203" s="6">
        <f t="shared" si="14"/>
        <v>2415700</v>
      </c>
      <c r="N203" s="21" t="str">
        <f t="shared" si="15"/>
        <v>Faltante</v>
      </c>
      <c r="O203" s="55" t="s">
        <v>950</v>
      </c>
      <c r="P203" s="36">
        <v>1143387256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s="36" customFormat="1" x14ac:dyDescent="0.35">
      <c r="A204" s="72">
        <v>438</v>
      </c>
      <c r="B204" s="28">
        <v>1565</v>
      </c>
      <c r="C204" s="18" t="str">
        <f>VLOOKUP(B204,'Lista MF'!B:C,2,0)</f>
        <v>BELLTECH</v>
      </c>
      <c r="D204" s="36" t="s">
        <v>6</v>
      </c>
      <c r="E204" s="29">
        <v>46090</v>
      </c>
      <c r="F204" s="29">
        <v>46087</v>
      </c>
      <c r="G204" s="45" t="s">
        <v>731</v>
      </c>
      <c r="H204" s="8">
        <v>112070150</v>
      </c>
      <c r="I204" s="31">
        <v>129200150</v>
      </c>
      <c r="J204" s="8">
        <v>9880000</v>
      </c>
      <c r="K204" s="8">
        <v>810000</v>
      </c>
      <c r="L204" s="52">
        <f>-40000+7060000+40000</f>
        <v>7060000</v>
      </c>
      <c r="M204" s="6">
        <f t="shared" si="14"/>
        <v>1000000</v>
      </c>
      <c r="N204" s="21" t="str">
        <f t="shared" si="15"/>
        <v>Faltante</v>
      </c>
      <c r="O204" s="65" t="s">
        <v>951</v>
      </c>
      <c r="P204" s="36">
        <v>1027887603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s="36" customFormat="1" x14ac:dyDescent="0.35">
      <c r="A205" s="72">
        <v>333</v>
      </c>
      <c r="B205" s="28">
        <v>5076</v>
      </c>
      <c r="C205" s="18" t="str">
        <f>VLOOKUP(B205,'Lista MF'!B:C,2,0)</f>
        <v>BELLTECH</v>
      </c>
      <c r="D205" s="36" t="s">
        <v>6</v>
      </c>
      <c r="E205" s="29">
        <v>46090</v>
      </c>
      <c r="F205" s="29">
        <v>46087</v>
      </c>
      <c r="G205" s="45" t="s">
        <v>621</v>
      </c>
      <c r="H205" s="8">
        <v>86800500</v>
      </c>
      <c r="I205" s="31">
        <v>475724300</v>
      </c>
      <c r="J205" s="8">
        <v>22600000</v>
      </c>
      <c r="K205" s="8">
        <v>50817000</v>
      </c>
      <c r="L205" s="52">
        <v>319775000</v>
      </c>
      <c r="M205" s="6">
        <f t="shared" si="14"/>
        <v>97365800</v>
      </c>
      <c r="N205" s="21" t="str">
        <f t="shared" si="15"/>
        <v>Faltante</v>
      </c>
      <c r="O205" s="55" t="s">
        <v>622</v>
      </c>
      <c r="P205" s="36">
        <v>1036606819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s="36" customFormat="1" x14ac:dyDescent="0.35">
      <c r="A206" s="72">
        <v>197</v>
      </c>
      <c r="B206" s="28">
        <v>5084</v>
      </c>
      <c r="C206" s="18" t="str">
        <f>VLOOKUP(B206,'Lista MF'!B:C,2,0)</f>
        <v>BELLTECH</v>
      </c>
      <c r="D206" s="36" t="s">
        <v>6</v>
      </c>
      <c r="E206" s="29">
        <v>46090</v>
      </c>
      <c r="F206" s="29">
        <v>46087</v>
      </c>
      <c r="G206" s="45" t="s">
        <v>636</v>
      </c>
      <c r="H206" s="8">
        <v>500452950</v>
      </c>
      <c r="I206" s="31">
        <v>479702950</v>
      </c>
      <c r="J206" s="8">
        <v>0</v>
      </c>
      <c r="K206" s="8">
        <v>17850000</v>
      </c>
      <c r="L206" s="52"/>
      <c r="M206" s="6">
        <f t="shared" si="14"/>
        <v>-2900000</v>
      </c>
      <c r="N206" s="21" t="str">
        <f t="shared" si="15"/>
        <v>Sobrante</v>
      </c>
      <c r="O206" s="9" t="s">
        <v>747</v>
      </c>
      <c r="P206" s="36">
        <v>1065652660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s="36" customFormat="1" x14ac:dyDescent="0.35">
      <c r="A207" s="72">
        <v>659</v>
      </c>
      <c r="B207" s="28">
        <v>5102</v>
      </c>
      <c r="C207" s="18" t="str">
        <f>VLOOKUP(B207,'Lista MF'!B:C,2,0)</f>
        <v>BELLTECH</v>
      </c>
      <c r="D207" s="36" t="s">
        <v>6</v>
      </c>
      <c r="E207" s="29">
        <v>46090</v>
      </c>
      <c r="F207" s="29">
        <v>46087</v>
      </c>
      <c r="G207" s="45" t="s">
        <v>582</v>
      </c>
      <c r="H207" s="8">
        <v>187313950</v>
      </c>
      <c r="I207" s="31">
        <v>197533950</v>
      </c>
      <c r="J207" s="8">
        <v>19910000</v>
      </c>
      <c r="K207" s="8">
        <v>9720000</v>
      </c>
      <c r="L207" s="52"/>
      <c r="M207" s="6">
        <f t="shared" si="14"/>
        <v>30000</v>
      </c>
      <c r="N207" s="21" t="str">
        <f t="shared" si="15"/>
        <v>Faltante</v>
      </c>
      <c r="O207" s="13" t="s">
        <v>748</v>
      </c>
      <c r="P207" s="36">
        <v>39575034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s="36" customFormat="1" x14ac:dyDescent="0.35">
      <c r="A208" s="72">
        <v>511</v>
      </c>
      <c r="B208" s="28">
        <v>5122</v>
      </c>
      <c r="C208" s="18" t="str">
        <f>VLOOKUP(B208,'Lista MF'!B:C,2,0)</f>
        <v>BELLTECH</v>
      </c>
      <c r="D208" s="36" t="s">
        <v>6</v>
      </c>
      <c r="E208" s="29">
        <v>46090</v>
      </c>
      <c r="F208" s="29">
        <v>46087</v>
      </c>
      <c r="G208" s="45" t="s">
        <v>732</v>
      </c>
      <c r="H208" s="8">
        <v>213679800</v>
      </c>
      <c r="I208" s="31">
        <v>151493550</v>
      </c>
      <c r="J208" s="8">
        <v>22830000</v>
      </c>
      <c r="K208" s="8">
        <v>85016200</v>
      </c>
      <c r="L208" s="52"/>
      <c r="M208" s="6">
        <f t="shared" si="14"/>
        <v>-50</v>
      </c>
      <c r="N208" s="21" t="str">
        <f t="shared" si="15"/>
        <v>Sobrante</v>
      </c>
      <c r="O208" s="9" t="s">
        <v>747</v>
      </c>
      <c r="P208" s="36">
        <v>1152438348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s="36" customFormat="1" x14ac:dyDescent="0.35">
      <c r="A209" s="72">
        <v>101</v>
      </c>
      <c r="B209" s="28">
        <v>5128</v>
      </c>
      <c r="C209" s="18" t="str">
        <f>VLOOKUP(B209,'Lista MF'!B:C,2,0)</f>
        <v>BELLTECH</v>
      </c>
      <c r="D209" s="36" t="s">
        <v>6</v>
      </c>
      <c r="E209" s="29">
        <v>46090</v>
      </c>
      <c r="F209" s="29">
        <v>46087</v>
      </c>
      <c r="G209" s="45" t="s">
        <v>733</v>
      </c>
      <c r="H209" s="8">
        <v>269904400</v>
      </c>
      <c r="I209" s="31">
        <v>173597900</v>
      </c>
      <c r="J209" s="8">
        <v>17440000</v>
      </c>
      <c r="K209" s="8">
        <v>108350000</v>
      </c>
      <c r="L209" s="52"/>
      <c r="M209" s="6">
        <f t="shared" si="14"/>
        <v>-5396500</v>
      </c>
      <c r="N209" s="21" t="str">
        <f t="shared" si="15"/>
        <v>Sobrante</v>
      </c>
      <c r="O209" s="9" t="s">
        <v>747</v>
      </c>
      <c r="P209" s="36">
        <v>1033724729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s="36" customFormat="1" x14ac:dyDescent="0.35">
      <c r="A210" s="72">
        <v>829</v>
      </c>
      <c r="B210" s="28">
        <v>5137</v>
      </c>
      <c r="C210" s="18" t="str">
        <f>VLOOKUP(B210,'Lista MF'!B:C,2,0)</f>
        <v>BELLTECH</v>
      </c>
      <c r="D210" s="36" t="s">
        <v>6</v>
      </c>
      <c r="E210" s="29">
        <v>46090</v>
      </c>
      <c r="F210" s="29">
        <v>46087</v>
      </c>
      <c r="G210" s="45" t="s">
        <v>703</v>
      </c>
      <c r="H210" s="8">
        <v>277574300</v>
      </c>
      <c r="I210" s="31">
        <v>229823300</v>
      </c>
      <c r="J210" s="8">
        <v>4670000</v>
      </c>
      <c r="K210" s="8">
        <v>44900000</v>
      </c>
      <c r="L210" s="52"/>
      <c r="M210" s="6">
        <f t="shared" si="14"/>
        <v>-7521000</v>
      </c>
      <c r="N210" s="21" t="str">
        <f t="shared" si="15"/>
        <v>Sobrante</v>
      </c>
      <c r="O210" s="9" t="s">
        <v>747</v>
      </c>
      <c r="P210" s="36">
        <v>31306454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s="36" customFormat="1" x14ac:dyDescent="0.35">
      <c r="A211" s="72">
        <v>70</v>
      </c>
      <c r="B211" s="28">
        <v>5164</v>
      </c>
      <c r="C211" s="18" t="str">
        <f>VLOOKUP(B211,'Lista MF'!B:C,2,0)</f>
        <v>BELLTECH</v>
      </c>
      <c r="D211" s="36" t="s">
        <v>6</v>
      </c>
      <c r="E211" s="29">
        <v>46090</v>
      </c>
      <c r="F211" s="29">
        <v>46087</v>
      </c>
      <c r="G211" s="45" t="s">
        <v>734</v>
      </c>
      <c r="H211" s="8">
        <v>328925950</v>
      </c>
      <c r="I211" s="31">
        <v>325082100</v>
      </c>
      <c r="J211" s="8">
        <v>10040000</v>
      </c>
      <c r="K211" s="8">
        <v>17348850</v>
      </c>
      <c r="L211" s="52">
        <v>3465000</v>
      </c>
      <c r="M211" s="6">
        <f t="shared" si="14"/>
        <v>0</v>
      </c>
      <c r="N211" s="21" t="str">
        <f t="shared" si="15"/>
        <v>Cuadrado</v>
      </c>
      <c r="O211" s="4" t="s">
        <v>952</v>
      </c>
      <c r="P211" s="36">
        <v>30231139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s="36" customFormat="1" x14ac:dyDescent="0.35">
      <c r="A212" s="72">
        <v>844</v>
      </c>
      <c r="B212" s="28">
        <v>6169</v>
      </c>
      <c r="C212" s="18" t="str">
        <f>VLOOKUP(B212,'Lista MF'!B:C,2,0)</f>
        <v>BELLTECH</v>
      </c>
      <c r="D212" s="36" t="s">
        <v>6</v>
      </c>
      <c r="E212" s="29">
        <v>46090</v>
      </c>
      <c r="F212" s="29">
        <v>46087</v>
      </c>
      <c r="G212" s="45" t="s">
        <v>735</v>
      </c>
      <c r="H212" s="8">
        <v>203337200</v>
      </c>
      <c r="I212" s="31">
        <v>488435650</v>
      </c>
      <c r="J212" s="8">
        <v>17820000</v>
      </c>
      <c r="K212" s="8">
        <v>206797950</v>
      </c>
      <c r="L212" s="52">
        <v>261131000</v>
      </c>
      <c r="M212" s="6">
        <f t="shared" si="14"/>
        <v>212945400</v>
      </c>
      <c r="N212" s="21" t="str">
        <f t="shared" si="15"/>
        <v>Faltante</v>
      </c>
      <c r="O212" s="55" t="s">
        <v>622</v>
      </c>
      <c r="P212" s="36">
        <v>86058432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s="36" customFormat="1" x14ac:dyDescent="0.35">
      <c r="A213" s="72">
        <v>236</v>
      </c>
      <c r="B213" s="28">
        <v>6242</v>
      </c>
      <c r="C213" s="18" t="str">
        <f>VLOOKUP(B213,'Lista MF'!B:C,2,0)</f>
        <v>BELLTECH</v>
      </c>
      <c r="D213" s="36" t="s">
        <v>6</v>
      </c>
      <c r="E213" s="29">
        <v>46090</v>
      </c>
      <c r="F213" s="29">
        <v>46087</v>
      </c>
      <c r="G213" s="45" t="s">
        <v>656</v>
      </c>
      <c r="H213" s="8">
        <v>137373500</v>
      </c>
      <c r="I213" s="31">
        <v>251443100</v>
      </c>
      <c r="J213" s="8">
        <v>48800000</v>
      </c>
      <c r="K213" s="8">
        <v>80529400</v>
      </c>
      <c r="L213" s="52" t="s">
        <v>746</v>
      </c>
      <c r="M213" s="6" t="e">
        <f t="shared" si="14"/>
        <v>#VALUE!</v>
      </c>
      <c r="N213" s="21" t="e">
        <f t="shared" si="15"/>
        <v>#VALUE!</v>
      </c>
      <c r="O213" s="9" t="s">
        <v>747</v>
      </c>
      <c r="P213" s="36">
        <v>71369714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s="36" customFormat="1" x14ac:dyDescent="0.35">
      <c r="A214" s="72">
        <v>96</v>
      </c>
      <c r="B214" s="28">
        <v>6735</v>
      </c>
      <c r="C214" s="18" t="str">
        <f>VLOOKUP(B214,'Lista MF'!B:C,2,0)</f>
        <v>BELLTECH</v>
      </c>
      <c r="D214" s="36" t="s">
        <v>6</v>
      </c>
      <c r="E214" s="29">
        <v>46090</v>
      </c>
      <c r="F214" s="29">
        <v>46086</v>
      </c>
      <c r="G214" s="45" t="s">
        <v>574</v>
      </c>
      <c r="H214" s="8">
        <v>178570950</v>
      </c>
      <c r="I214" s="31">
        <v>175067950</v>
      </c>
      <c r="J214" s="8">
        <v>38750000</v>
      </c>
      <c r="K214" s="8">
        <v>42700000</v>
      </c>
      <c r="L214" s="52"/>
      <c r="M214" s="6">
        <f t="shared" si="14"/>
        <v>447000</v>
      </c>
      <c r="N214" s="21" t="str">
        <f t="shared" si="15"/>
        <v>Faltante</v>
      </c>
      <c r="O214" s="4" t="s">
        <v>622</v>
      </c>
      <c r="P214" s="36">
        <v>39491642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s="36" customFormat="1" x14ac:dyDescent="0.35">
      <c r="A215" s="72">
        <v>172</v>
      </c>
      <c r="B215" s="28">
        <v>7429</v>
      </c>
      <c r="C215" s="18" t="str">
        <f>VLOOKUP(B215,'Lista MF'!B:C,2,0)</f>
        <v>BELLTECH</v>
      </c>
      <c r="D215" s="36" t="s">
        <v>6</v>
      </c>
      <c r="E215" s="29">
        <v>46090</v>
      </c>
      <c r="F215" s="29">
        <v>46087</v>
      </c>
      <c r="G215" s="45" t="s">
        <v>736</v>
      </c>
      <c r="H215" s="8">
        <v>409279650</v>
      </c>
      <c r="I215" s="31">
        <v>352117650</v>
      </c>
      <c r="J215" s="8">
        <v>16070000</v>
      </c>
      <c r="K215" s="8">
        <v>68064900</v>
      </c>
      <c r="L215" s="52"/>
      <c r="M215" s="6">
        <f t="shared" si="14"/>
        <v>-5167100</v>
      </c>
      <c r="N215" s="21" t="str">
        <f t="shared" si="15"/>
        <v>Sobrante</v>
      </c>
      <c r="O215" s="9" t="s">
        <v>747</v>
      </c>
      <c r="P215" s="36">
        <v>52156260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s="36" customFormat="1" x14ac:dyDescent="0.35">
      <c r="A216" s="72">
        <v>166</v>
      </c>
      <c r="B216" s="28">
        <v>7939</v>
      </c>
      <c r="C216" s="18" t="str">
        <f>VLOOKUP(B216,'Lista MF'!B:C,2,0)</f>
        <v>BELLTECH</v>
      </c>
      <c r="D216" s="36" t="s">
        <v>6</v>
      </c>
      <c r="E216" s="29">
        <v>46090</v>
      </c>
      <c r="F216" s="29">
        <v>46087</v>
      </c>
      <c r="G216" s="45" t="s">
        <v>556</v>
      </c>
      <c r="H216" s="8">
        <v>195168750</v>
      </c>
      <c r="I216" s="31">
        <v>192678750</v>
      </c>
      <c r="J216" s="8">
        <v>0</v>
      </c>
      <c r="K216" s="8">
        <v>0</v>
      </c>
      <c r="L216" s="52"/>
      <c r="M216" s="6">
        <f t="shared" si="14"/>
        <v>-2490000</v>
      </c>
      <c r="N216" s="21" t="str">
        <f t="shared" si="15"/>
        <v>Sobrante</v>
      </c>
      <c r="O216" s="9" t="s">
        <v>747</v>
      </c>
      <c r="P216" s="36">
        <v>50938822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s="36" customFormat="1" x14ac:dyDescent="0.35">
      <c r="A217" s="72">
        <v>291</v>
      </c>
      <c r="B217" s="28">
        <v>8139</v>
      </c>
      <c r="C217" s="18" t="str">
        <f>VLOOKUP(B217,'Lista MF'!B:C,2,0)</f>
        <v>DIEBOLD</v>
      </c>
      <c r="D217" s="36" t="s">
        <v>99</v>
      </c>
      <c r="E217" s="29">
        <v>46090</v>
      </c>
      <c r="F217" s="29">
        <v>46087</v>
      </c>
      <c r="G217" s="45" t="s">
        <v>737</v>
      </c>
      <c r="H217" s="8">
        <v>283058050</v>
      </c>
      <c r="I217" s="31">
        <v>210516350</v>
      </c>
      <c r="J217" s="8">
        <v>7070000</v>
      </c>
      <c r="K217" s="8">
        <v>77611700</v>
      </c>
      <c r="L217" s="52"/>
      <c r="M217" s="6">
        <f t="shared" si="14"/>
        <v>-2000000</v>
      </c>
      <c r="N217" s="21" t="str">
        <f t="shared" si="15"/>
        <v>Sobrante</v>
      </c>
      <c r="O217" s="9" t="s">
        <v>747</v>
      </c>
      <c r="P217" s="36">
        <v>1095930956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s="36" customFormat="1" x14ac:dyDescent="0.35">
      <c r="A218" s="72">
        <v>915</v>
      </c>
      <c r="B218" s="28">
        <v>8313</v>
      </c>
      <c r="C218" s="18" t="str">
        <f>VLOOKUP(B218,'Lista MF'!B:C,2,0)</f>
        <v>BELLTECH</v>
      </c>
      <c r="D218" s="36" t="s">
        <v>6</v>
      </c>
      <c r="E218" s="29">
        <v>46090</v>
      </c>
      <c r="F218" s="29">
        <v>46087</v>
      </c>
      <c r="G218" s="45" t="s">
        <v>629</v>
      </c>
      <c r="H218" s="8">
        <v>204138050</v>
      </c>
      <c r="I218" s="31">
        <v>174842050</v>
      </c>
      <c r="J218" s="8">
        <v>100000</v>
      </c>
      <c r="K218" s="8">
        <v>11096000</v>
      </c>
      <c r="L218" s="52"/>
      <c r="M218" s="6">
        <f t="shared" si="14"/>
        <v>-18300000</v>
      </c>
      <c r="N218" s="21" t="str">
        <f t="shared" si="15"/>
        <v>Sobrante</v>
      </c>
      <c r="O218" s="9" t="s">
        <v>747</v>
      </c>
      <c r="P218" s="36">
        <v>52279779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s="36" customFormat="1" x14ac:dyDescent="0.35">
      <c r="A219" s="72">
        <v>915</v>
      </c>
      <c r="B219" s="28">
        <v>8314</v>
      </c>
      <c r="C219" s="18" t="str">
        <f>VLOOKUP(B219,'Lista MF'!B:C,2,0)</f>
        <v>BELLTECH</v>
      </c>
      <c r="D219" s="36" t="s">
        <v>6</v>
      </c>
      <c r="E219" s="29">
        <v>46090</v>
      </c>
      <c r="F219" s="29">
        <v>46087</v>
      </c>
      <c r="G219" s="45" t="s">
        <v>560</v>
      </c>
      <c r="H219" s="8">
        <v>268487500</v>
      </c>
      <c r="I219" s="31">
        <v>282533400</v>
      </c>
      <c r="J219" s="8">
        <v>4380000</v>
      </c>
      <c r="K219" s="8">
        <v>380000</v>
      </c>
      <c r="L219" s="52"/>
      <c r="M219" s="6">
        <f t="shared" si="14"/>
        <v>10045900</v>
      </c>
      <c r="N219" s="21" t="str">
        <f t="shared" si="15"/>
        <v>Faltante</v>
      </c>
      <c r="O219" s="55" t="s">
        <v>622</v>
      </c>
      <c r="P219" s="36">
        <v>52279779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s="36" customFormat="1" x14ac:dyDescent="0.35">
      <c r="A220" s="72">
        <v>556</v>
      </c>
      <c r="B220" s="28">
        <v>8333</v>
      </c>
      <c r="C220" s="18" t="str">
        <f>VLOOKUP(B220,'Lista MF'!B:C,2,0)</f>
        <v>BELLTECH</v>
      </c>
      <c r="D220" s="36" t="s">
        <v>6</v>
      </c>
      <c r="E220" s="29">
        <v>46090</v>
      </c>
      <c r="F220" s="29">
        <v>46087</v>
      </c>
      <c r="G220" s="45" t="s">
        <v>738</v>
      </c>
      <c r="H220" s="8">
        <v>352150800</v>
      </c>
      <c r="I220" s="31">
        <v>274348500</v>
      </c>
      <c r="J220" s="8">
        <v>25610000</v>
      </c>
      <c r="K220" s="8">
        <v>103383600</v>
      </c>
      <c r="L220" s="52"/>
      <c r="M220" s="6">
        <f t="shared" si="14"/>
        <v>-28700</v>
      </c>
      <c r="N220" s="21" t="str">
        <f t="shared" si="15"/>
        <v>Sobrante</v>
      </c>
      <c r="O220" s="9" t="s">
        <v>747</v>
      </c>
      <c r="P220" s="36">
        <v>39450196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s="36" customFormat="1" x14ac:dyDescent="0.35">
      <c r="A221" s="72">
        <v>728</v>
      </c>
      <c r="B221" s="28">
        <v>8586</v>
      </c>
      <c r="C221" s="18" t="str">
        <f>VLOOKUP(B221,'Lista MF'!B:C,2,0)</f>
        <v>BELLTECH</v>
      </c>
      <c r="D221" s="36" t="s">
        <v>6</v>
      </c>
      <c r="E221" s="29">
        <v>46090</v>
      </c>
      <c r="F221" s="29">
        <v>46087</v>
      </c>
      <c r="G221" s="45" t="s">
        <v>739</v>
      </c>
      <c r="H221" s="8">
        <v>115960150</v>
      </c>
      <c r="I221" s="31">
        <v>120815150</v>
      </c>
      <c r="J221" s="8">
        <v>40600000</v>
      </c>
      <c r="K221" s="8">
        <v>33634000</v>
      </c>
      <c r="L221" s="52">
        <v>-2111000</v>
      </c>
      <c r="M221" s="6">
        <f t="shared" si="14"/>
        <v>0</v>
      </c>
      <c r="N221" s="21" t="str">
        <f t="shared" si="15"/>
        <v>Cuadrado</v>
      </c>
      <c r="O221" s="55" t="s">
        <v>590</v>
      </c>
      <c r="P221" s="36">
        <v>1112783690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s="36" customFormat="1" x14ac:dyDescent="0.35">
      <c r="A222" s="72">
        <v>728</v>
      </c>
      <c r="B222" s="28">
        <v>8587</v>
      </c>
      <c r="C222" s="18" t="str">
        <f>VLOOKUP(B222,'Lista MF'!B:C,2,0)</f>
        <v>BELLTECH</v>
      </c>
      <c r="D222" s="36" t="s">
        <v>6</v>
      </c>
      <c r="E222" s="29">
        <v>46090</v>
      </c>
      <c r="F222" s="29">
        <v>46087</v>
      </c>
      <c r="G222" s="45" t="s">
        <v>740</v>
      </c>
      <c r="H222" s="8">
        <v>167219850</v>
      </c>
      <c r="I222" s="31">
        <v>96449850</v>
      </c>
      <c r="J222" s="8">
        <v>22070000</v>
      </c>
      <c r="K222" s="8">
        <v>92820000</v>
      </c>
      <c r="L222" s="52">
        <v>-20000</v>
      </c>
      <c r="M222" s="6">
        <f t="shared" si="14"/>
        <v>0</v>
      </c>
      <c r="N222" s="21" t="str">
        <f t="shared" si="15"/>
        <v>Cuadrado</v>
      </c>
      <c r="O222" s="55" t="s">
        <v>590</v>
      </c>
      <c r="P222" s="36">
        <v>1112783690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s="36" customFormat="1" x14ac:dyDescent="0.35">
      <c r="A223" s="72">
        <v>541</v>
      </c>
      <c r="B223" s="28">
        <v>8660</v>
      </c>
      <c r="C223" s="18" t="str">
        <f>VLOOKUP(B223,'Lista MF'!B:C,2,0)</f>
        <v>BELLTECH</v>
      </c>
      <c r="D223" s="36" t="s">
        <v>6</v>
      </c>
      <c r="E223" s="29">
        <v>46090</v>
      </c>
      <c r="F223" s="29">
        <v>46087</v>
      </c>
      <c r="G223" s="45" t="s">
        <v>609</v>
      </c>
      <c r="H223" s="8">
        <v>147279100</v>
      </c>
      <c r="I223" s="31">
        <v>150301100</v>
      </c>
      <c r="J223" s="8">
        <v>5020000</v>
      </c>
      <c r="K223" s="8">
        <v>1790000</v>
      </c>
      <c r="L223" s="52"/>
      <c r="M223" s="6">
        <f t="shared" si="14"/>
        <v>-208000</v>
      </c>
      <c r="N223" s="21" t="str">
        <f t="shared" si="15"/>
        <v>Sobrante</v>
      </c>
      <c r="O223" s="9" t="s">
        <v>747</v>
      </c>
      <c r="P223" s="36">
        <v>1090148688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s="36" customFormat="1" x14ac:dyDescent="0.35">
      <c r="A224" s="72">
        <v>85</v>
      </c>
      <c r="B224" s="28">
        <v>8974</v>
      </c>
      <c r="C224" s="18" t="str">
        <f>VLOOKUP(B224,'Lista MF'!B:C,2,0)</f>
        <v>BELLTECH</v>
      </c>
      <c r="D224" s="36" t="s">
        <v>6</v>
      </c>
      <c r="E224" s="29">
        <v>46090</v>
      </c>
      <c r="F224" s="29">
        <v>46087</v>
      </c>
      <c r="G224" s="45" t="s">
        <v>741</v>
      </c>
      <c r="H224" s="8">
        <v>117970500</v>
      </c>
      <c r="I224" s="31">
        <v>200312700</v>
      </c>
      <c r="J224" s="8">
        <v>15150000</v>
      </c>
      <c r="K224" s="8">
        <v>121101950</v>
      </c>
      <c r="L224" s="52">
        <f>188272000+12200</f>
        <v>188284200</v>
      </c>
      <c r="M224" s="6">
        <f t="shared" si="14"/>
        <v>9950</v>
      </c>
      <c r="N224" s="21" t="str">
        <f t="shared" si="15"/>
        <v>Faltante</v>
      </c>
      <c r="O224" s="13" t="s">
        <v>748</v>
      </c>
      <c r="P224" s="36">
        <v>1047413788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s="36" customFormat="1" x14ac:dyDescent="0.35">
      <c r="A225" s="72">
        <v>849</v>
      </c>
      <c r="B225" s="28">
        <v>9725</v>
      </c>
      <c r="C225" s="18" t="str">
        <f>VLOOKUP(B225,'Lista MF'!B:C,2,0)</f>
        <v>BELLTECH</v>
      </c>
      <c r="D225" s="36" t="s">
        <v>6</v>
      </c>
      <c r="E225" s="29">
        <v>46090</v>
      </c>
      <c r="F225" s="29">
        <v>46087</v>
      </c>
      <c r="G225" s="45" t="s">
        <v>742</v>
      </c>
      <c r="H225" s="8">
        <v>102680550</v>
      </c>
      <c r="I225" s="31">
        <v>381471550</v>
      </c>
      <c r="J225" s="8">
        <v>19210000</v>
      </c>
      <c r="K225" s="8">
        <v>97244000</v>
      </c>
      <c r="L225" s="52">
        <f>356699000+126000</f>
        <v>356825000</v>
      </c>
      <c r="M225" s="6">
        <f t="shared" si="14"/>
        <v>0</v>
      </c>
      <c r="N225" s="21" t="str">
        <f t="shared" si="15"/>
        <v>Cuadrado</v>
      </c>
      <c r="O225" s="4" t="s">
        <v>953</v>
      </c>
      <c r="P225" s="36">
        <v>86063461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s="36" customFormat="1" x14ac:dyDescent="0.35">
      <c r="A226" s="72">
        <v>499</v>
      </c>
      <c r="B226" s="28">
        <v>9811</v>
      </c>
      <c r="C226" s="18" t="str">
        <f>VLOOKUP(B226,'Lista MF'!B:C,2,0)</f>
        <v>BELLTECH</v>
      </c>
      <c r="D226" s="36" t="s">
        <v>6</v>
      </c>
      <c r="E226" s="29">
        <v>46090</v>
      </c>
      <c r="F226" s="29">
        <v>46087</v>
      </c>
      <c r="G226" s="45" t="s">
        <v>743</v>
      </c>
      <c r="H226" s="8">
        <v>14768100</v>
      </c>
      <c r="I226" s="31">
        <v>436758400</v>
      </c>
      <c r="J226" s="8">
        <v>8250000</v>
      </c>
      <c r="K226" s="8">
        <v>15806000</v>
      </c>
      <c r="L226" s="52">
        <v>426079000</v>
      </c>
      <c r="M226" s="6">
        <f t="shared" si="14"/>
        <v>3467300</v>
      </c>
      <c r="N226" s="21" t="str">
        <f t="shared" si="15"/>
        <v>Faltante</v>
      </c>
      <c r="O226" s="55" t="s">
        <v>622</v>
      </c>
      <c r="P226" s="36">
        <v>71337474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s="36" customFormat="1" x14ac:dyDescent="0.35">
      <c r="A227" s="72">
        <v>916</v>
      </c>
      <c r="B227" s="28">
        <v>5052</v>
      </c>
      <c r="C227" s="18" t="str">
        <f>VLOOKUP(B227,'Lista MF'!B:C,2,0)</f>
        <v>BELLTECH</v>
      </c>
      <c r="D227" s="36" t="s">
        <v>6</v>
      </c>
      <c r="E227" s="29">
        <v>46090</v>
      </c>
      <c r="F227" s="29">
        <v>46087</v>
      </c>
      <c r="G227" s="45" t="s">
        <v>657</v>
      </c>
      <c r="H227" s="8">
        <v>505364650</v>
      </c>
      <c r="I227" s="31">
        <v>505364650</v>
      </c>
      <c r="J227" s="8">
        <v>0</v>
      </c>
      <c r="K227" s="8">
        <v>0</v>
      </c>
      <c r="L227" s="52"/>
      <c r="M227" s="6">
        <f t="shared" ref="M227:M231" si="16">I227-(H227+J227-K227)-L227</f>
        <v>0</v>
      </c>
      <c r="N227" s="21" t="str">
        <f t="shared" ref="N227:N231" si="17">IF(M227="","",IF(M227=0,"Cuadrado",IF(M227&gt;0,"Faltante","Sobrante")))</f>
        <v>Cuadrado</v>
      </c>
      <c r="O227" s="55" t="s">
        <v>590</v>
      </c>
      <c r="P227" s="36">
        <v>1004306590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s="36" customFormat="1" x14ac:dyDescent="0.35">
      <c r="A228" s="72">
        <v>300</v>
      </c>
      <c r="B228" s="28">
        <v>5139</v>
      </c>
      <c r="C228" s="18" t="str">
        <f>VLOOKUP(B228,'Lista MF'!B:C,2,0)</f>
        <v>BELLTECH</v>
      </c>
      <c r="D228" s="36" t="s">
        <v>6</v>
      </c>
      <c r="E228" s="29">
        <v>46090</v>
      </c>
      <c r="F228" s="29">
        <v>46087</v>
      </c>
      <c r="G228" s="45" t="s">
        <v>744</v>
      </c>
      <c r="H228" s="8">
        <v>386433750</v>
      </c>
      <c r="I228" s="31">
        <v>370535200</v>
      </c>
      <c r="J228" s="8">
        <v>10440000</v>
      </c>
      <c r="K228" s="8">
        <v>26338550</v>
      </c>
      <c r="L228" s="52"/>
      <c r="M228" s="6">
        <f t="shared" si="16"/>
        <v>0</v>
      </c>
      <c r="N228" s="21" t="str">
        <f t="shared" si="17"/>
        <v>Cuadrado</v>
      </c>
      <c r="O228" s="55" t="s">
        <v>590</v>
      </c>
      <c r="P228" s="36">
        <v>53097567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s="36" customFormat="1" x14ac:dyDescent="0.35">
      <c r="A229" s="72">
        <v>667</v>
      </c>
      <c r="B229" s="28">
        <v>5167</v>
      </c>
      <c r="C229" s="18" t="str">
        <f>VLOOKUP(B229,'Lista MF'!B:C,2,0)</f>
        <v>BELLTECH</v>
      </c>
      <c r="D229" s="36" t="s">
        <v>6</v>
      </c>
      <c r="E229" s="29">
        <v>46090</v>
      </c>
      <c r="F229" s="29">
        <v>46087</v>
      </c>
      <c r="G229" s="45" t="s">
        <v>583</v>
      </c>
      <c r="H229" s="8">
        <v>188012450</v>
      </c>
      <c r="I229" s="31">
        <v>144037450</v>
      </c>
      <c r="J229" s="8">
        <v>4860000</v>
      </c>
      <c r="K229" s="8">
        <v>48835000</v>
      </c>
      <c r="L229" s="52"/>
      <c r="M229" s="6">
        <f t="shared" si="16"/>
        <v>0</v>
      </c>
      <c r="N229" s="21" t="str">
        <f t="shared" si="17"/>
        <v>Cuadrado</v>
      </c>
      <c r="O229" s="55" t="s">
        <v>590</v>
      </c>
      <c r="P229" s="36">
        <v>79953058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s="36" customFormat="1" x14ac:dyDescent="0.35">
      <c r="A230" s="72">
        <v>541</v>
      </c>
      <c r="B230" s="28">
        <v>5185</v>
      </c>
      <c r="C230" s="18" t="str">
        <f>VLOOKUP(B230,'Lista MF'!B:C,2,0)</f>
        <v>BELLTECH</v>
      </c>
      <c r="D230" s="36" t="s">
        <v>6</v>
      </c>
      <c r="E230" s="29">
        <v>46090</v>
      </c>
      <c r="F230" s="29">
        <v>46087</v>
      </c>
      <c r="G230" s="45" t="s">
        <v>549</v>
      </c>
      <c r="H230" s="8">
        <v>218159800</v>
      </c>
      <c r="I230" s="31">
        <v>202037100</v>
      </c>
      <c r="J230" s="8">
        <v>620000</v>
      </c>
      <c r="K230" s="8">
        <v>16742700</v>
      </c>
      <c r="L230" s="52"/>
      <c r="M230" s="6">
        <f t="shared" si="16"/>
        <v>0</v>
      </c>
      <c r="N230" s="21" t="str">
        <f t="shared" si="17"/>
        <v>Cuadrado</v>
      </c>
      <c r="O230" s="55" t="s">
        <v>590</v>
      </c>
      <c r="P230" s="36">
        <v>1090148688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s="36" customFormat="1" x14ac:dyDescent="0.35">
      <c r="A231" s="72">
        <v>674</v>
      </c>
      <c r="B231" s="28">
        <v>5200</v>
      </c>
      <c r="C231" s="18" t="str">
        <f>VLOOKUP(B231,'Lista MF'!B:C,2,0)</f>
        <v>BELLTECH</v>
      </c>
      <c r="D231" s="36" t="s">
        <v>6</v>
      </c>
      <c r="E231" s="29">
        <v>46090</v>
      </c>
      <c r="F231" s="29">
        <v>46087</v>
      </c>
      <c r="G231" s="45" t="s">
        <v>745</v>
      </c>
      <c r="H231" s="8">
        <v>178260250</v>
      </c>
      <c r="I231" s="31">
        <v>192902250</v>
      </c>
      <c r="J231" s="8">
        <v>34690000</v>
      </c>
      <c r="K231" s="8">
        <v>20048000</v>
      </c>
      <c r="L231" s="52">
        <f>-2880000+2880000</f>
        <v>0</v>
      </c>
      <c r="M231" s="6">
        <f t="shared" si="16"/>
        <v>0</v>
      </c>
      <c r="N231" s="21" t="str">
        <f t="shared" si="17"/>
        <v>Cuadrado</v>
      </c>
      <c r="O231" s="4" t="s">
        <v>954</v>
      </c>
      <c r="P231" s="36">
        <v>79813088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s="36" customFormat="1" x14ac:dyDescent="0.35">
      <c r="A232" s="72">
        <v>395</v>
      </c>
      <c r="B232" s="28">
        <v>1528</v>
      </c>
      <c r="C232" s="18" t="str">
        <f>VLOOKUP(B232,'Lista MF'!B:C,2,0)</f>
        <v>BELLTECH</v>
      </c>
      <c r="D232" s="36" t="s">
        <v>6</v>
      </c>
      <c r="E232" s="29">
        <v>46091</v>
      </c>
      <c r="F232" s="29">
        <v>46090</v>
      </c>
      <c r="G232" s="45" t="s">
        <v>552</v>
      </c>
      <c r="H232" s="8">
        <v>467628050</v>
      </c>
      <c r="I232" s="31">
        <v>447128150</v>
      </c>
      <c r="J232" s="8">
        <v>0</v>
      </c>
      <c r="K232" s="8">
        <v>0</v>
      </c>
      <c r="L232" s="52"/>
      <c r="M232" s="6">
        <f>I232-(H232+J232-K232)-L232</f>
        <v>-20499900</v>
      </c>
      <c r="N232" s="21" t="str">
        <f t="shared" ref="N232:N262" si="18">IF(M232="","",IF(M232=0,"Cuadrado",IF(M232&gt;0,"Faltante","Sobrante")))</f>
        <v>Sobrante</v>
      </c>
      <c r="O232" s="9" t="s">
        <v>770</v>
      </c>
      <c r="P232" s="36">
        <v>1121857901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s="36" customFormat="1" x14ac:dyDescent="0.35">
      <c r="A233" s="72">
        <v>395</v>
      </c>
      <c r="B233" s="28">
        <v>1529</v>
      </c>
      <c r="C233" s="18" t="str">
        <f>VLOOKUP(B233,'Lista MF'!B:C,2,0)</f>
        <v>BELLTECH</v>
      </c>
      <c r="D233" s="36" t="s">
        <v>6</v>
      </c>
      <c r="E233" s="29">
        <v>46091</v>
      </c>
      <c r="F233" s="29">
        <v>46090</v>
      </c>
      <c r="G233" s="45" t="s">
        <v>749</v>
      </c>
      <c r="H233" s="8">
        <v>359252800</v>
      </c>
      <c r="I233" s="31">
        <v>313938800</v>
      </c>
      <c r="J233" s="8">
        <v>2910000</v>
      </c>
      <c r="K233" s="8">
        <v>12454000</v>
      </c>
      <c r="L233" s="52"/>
      <c r="M233" s="6">
        <f t="shared" ref="M233:M262" si="19">I233-(H233+J233-K233)-L233</f>
        <v>-35770000</v>
      </c>
      <c r="N233" s="21" t="str">
        <f t="shared" si="18"/>
        <v>Sobrante</v>
      </c>
      <c r="O233" s="9" t="s">
        <v>770</v>
      </c>
      <c r="P233" s="36">
        <v>1121857901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s="36" customFormat="1" x14ac:dyDescent="0.35">
      <c r="A234" s="72">
        <v>867</v>
      </c>
      <c r="B234" s="28">
        <v>5043</v>
      </c>
      <c r="C234" s="18" t="str">
        <f>VLOOKUP(B234,'Lista MF'!B:C,2,0)</f>
        <v>BELLTECH</v>
      </c>
      <c r="D234" s="36" t="s">
        <v>6</v>
      </c>
      <c r="E234" s="29">
        <v>46091</v>
      </c>
      <c r="F234" s="29">
        <v>46090</v>
      </c>
      <c r="G234" s="45" t="s">
        <v>750</v>
      </c>
      <c r="H234" s="8">
        <v>294129700</v>
      </c>
      <c r="I234" s="31">
        <v>293361300</v>
      </c>
      <c r="J234" s="8">
        <v>1070000</v>
      </c>
      <c r="K234" s="8">
        <v>350000</v>
      </c>
      <c r="L234" s="52"/>
      <c r="M234" s="6">
        <f t="shared" si="19"/>
        <v>-1488400</v>
      </c>
      <c r="N234" s="21" t="str">
        <f t="shared" si="18"/>
        <v>Sobrante</v>
      </c>
      <c r="O234" s="9" t="s">
        <v>770</v>
      </c>
      <c r="P234" s="36">
        <v>1105611666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s="36" customFormat="1" x14ac:dyDescent="0.35">
      <c r="A235" s="72">
        <v>517</v>
      </c>
      <c r="B235" s="28">
        <v>5053</v>
      </c>
      <c r="C235" s="18" t="str">
        <f>VLOOKUP(B235,'Lista MF'!B:C,2,0)</f>
        <v>BELLTECH</v>
      </c>
      <c r="D235" s="36" t="s">
        <v>6</v>
      </c>
      <c r="E235" s="29">
        <v>46091</v>
      </c>
      <c r="F235" s="29">
        <v>46090</v>
      </c>
      <c r="G235" s="45" t="s">
        <v>751</v>
      </c>
      <c r="H235" s="8">
        <v>299074850</v>
      </c>
      <c r="I235" s="31">
        <v>183161250</v>
      </c>
      <c r="J235" s="8">
        <v>14800000</v>
      </c>
      <c r="K235" s="8">
        <v>113873000</v>
      </c>
      <c r="L235" s="52"/>
      <c r="M235" s="6">
        <f t="shared" si="19"/>
        <v>-16840600</v>
      </c>
      <c r="N235" s="21" t="str">
        <f t="shared" si="18"/>
        <v>Sobrante</v>
      </c>
      <c r="O235" s="9" t="s">
        <v>770</v>
      </c>
      <c r="P235" s="36">
        <v>1083026284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s="36" customFormat="1" x14ac:dyDescent="0.35">
      <c r="A236" s="72">
        <v>781</v>
      </c>
      <c r="B236" s="28">
        <v>5057</v>
      </c>
      <c r="C236" s="18" t="str">
        <f>VLOOKUP(B236,'Lista MF'!B:C,2,0)</f>
        <v>BELLTECH</v>
      </c>
      <c r="D236" s="36" t="s">
        <v>6</v>
      </c>
      <c r="E236" s="29">
        <v>46091</v>
      </c>
      <c r="F236" s="29">
        <v>46090</v>
      </c>
      <c r="G236" s="45" t="s">
        <v>595</v>
      </c>
      <c r="H236" s="8">
        <v>587079450</v>
      </c>
      <c r="I236" s="31">
        <v>580479400</v>
      </c>
      <c r="J236" s="8">
        <v>0</v>
      </c>
      <c r="K236" s="8">
        <v>0</v>
      </c>
      <c r="L236" s="52"/>
      <c r="M236" s="6">
        <f t="shared" si="19"/>
        <v>-6600050</v>
      </c>
      <c r="N236" s="21" t="str">
        <f t="shared" si="18"/>
        <v>Sobrante</v>
      </c>
      <c r="O236" s="9" t="s">
        <v>770</v>
      </c>
      <c r="P236" s="36">
        <v>1082836736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s="36" customFormat="1" x14ac:dyDescent="0.35">
      <c r="A237" s="72">
        <v>115</v>
      </c>
      <c r="B237" s="28">
        <v>5080</v>
      </c>
      <c r="C237" s="18" t="str">
        <f>VLOOKUP(B237,'Lista MF'!B:C,2,0)</f>
        <v>BELLTECH</v>
      </c>
      <c r="D237" s="36" t="s">
        <v>6</v>
      </c>
      <c r="E237" s="29">
        <v>46091</v>
      </c>
      <c r="F237" s="29">
        <v>46090</v>
      </c>
      <c r="G237" s="45" t="s">
        <v>750</v>
      </c>
      <c r="H237" s="8">
        <v>420816600</v>
      </c>
      <c r="I237" s="31">
        <v>421716600</v>
      </c>
      <c r="J237" s="8">
        <v>1600000</v>
      </c>
      <c r="K237" s="8">
        <v>0</v>
      </c>
      <c r="L237" s="52"/>
      <c r="M237" s="6">
        <f t="shared" si="19"/>
        <v>-700000</v>
      </c>
      <c r="N237" s="21" t="str">
        <f t="shared" si="18"/>
        <v>Sobrante</v>
      </c>
      <c r="O237" s="9" t="s">
        <v>770</v>
      </c>
      <c r="P237" s="36">
        <v>42158306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s="36" customFormat="1" x14ac:dyDescent="0.35">
      <c r="A238" s="72">
        <v>523</v>
      </c>
      <c r="B238" s="28">
        <v>5082</v>
      </c>
      <c r="C238" s="18" t="str">
        <f>VLOOKUP(B238,'Lista MF'!B:C,2,0)</f>
        <v>BELLTECH</v>
      </c>
      <c r="D238" s="36" t="s">
        <v>6</v>
      </c>
      <c r="E238" s="29">
        <v>46091</v>
      </c>
      <c r="F238" s="29">
        <v>46090</v>
      </c>
      <c r="G238" s="45" t="s">
        <v>752</v>
      </c>
      <c r="H238" s="8">
        <v>46659900</v>
      </c>
      <c r="I238" s="31">
        <v>16257900</v>
      </c>
      <c r="J238" s="8">
        <v>0</v>
      </c>
      <c r="K238" s="8">
        <v>20001950</v>
      </c>
      <c r="L238" s="52"/>
      <c r="M238" s="6">
        <f t="shared" si="19"/>
        <v>-10400050</v>
      </c>
      <c r="N238" s="21" t="str">
        <f t="shared" si="18"/>
        <v>Sobrante</v>
      </c>
      <c r="O238" s="9" t="s">
        <v>770</v>
      </c>
      <c r="P238" s="36">
        <v>1065609766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s="36" customFormat="1" x14ac:dyDescent="0.35">
      <c r="A239" s="72">
        <v>291</v>
      </c>
      <c r="B239" s="28">
        <v>5114</v>
      </c>
      <c r="C239" s="18" t="str">
        <f>VLOOKUP(B239,'Lista MF'!B:C,2,0)</f>
        <v>BELLTECH</v>
      </c>
      <c r="D239" s="36" t="s">
        <v>6</v>
      </c>
      <c r="E239" s="29">
        <v>46091</v>
      </c>
      <c r="F239" s="29">
        <v>46090</v>
      </c>
      <c r="G239" s="45" t="s">
        <v>753</v>
      </c>
      <c r="H239" s="8">
        <v>420878050</v>
      </c>
      <c r="I239" s="31">
        <v>407308650</v>
      </c>
      <c r="J239" s="8">
        <v>6500000</v>
      </c>
      <c r="K239" s="8">
        <v>20075000</v>
      </c>
      <c r="L239" s="52">
        <v>5600</v>
      </c>
      <c r="M239" s="6">
        <f t="shared" si="19"/>
        <v>0</v>
      </c>
      <c r="N239" s="21" t="str">
        <f t="shared" si="18"/>
        <v>Cuadrado</v>
      </c>
      <c r="O239" s="4" t="s">
        <v>772</v>
      </c>
      <c r="P239" s="36">
        <v>1095930956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s="36" customFormat="1" x14ac:dyDescent="0.35">
      <c r="A240" s="72">
        <v>76</v>
      </c>
      <c r="B240" s="28">
        <v>5126</v>
      </c>
      <c r="C240" s="18" t="str">
        <f>VLOOKUP(B240,'Lista MF'!B:C,2,0)</f>
        <v>BELLTECH</v>
      </c>
      <c r="D240" s="36" t="s">
        <v>6</v>
      </c>
      <c r="E240" s="29">
        <v>46091</v>
      </c>
      <c r="F240" s="29">
        <v>46090</v>
      </c>
      <c r="G240" s="45" t="s">
        <v>754</v>
      </c>
      <c r="H240" s="8">
        <v>163419000</v>
      </c>
      <c r="I240" s="31">
        <v>195474000</v>
      </c>
      <c r="J240" s="8">
        <v>47250000</v>
      </c>
      <c r="K240" s="8">
        <v>97632000</v>
      </c>
      <c r="L240" s="52">
        <f>92437000-10000000</f>
        <v>82437000</v>
      </c>
      <c r="M240" s="6">
        <f t="shared" si="19"/>
        <v>0</v>
      </c>
      <c r="N240" s="69" t="str">
        <f t="shared" si="18"/>
        <v>Cuadrado</v>
      </c>
      <c r="O240" s="4" t="s">
        <v>590</v>
      </c>
      <c r="P240" s="36">
        <v>1075274187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s="36" customFormat="1" x14ac:dyDescent="0.35">
      <c r="A241" s="72">
        <v>725</v>
      </c>
      <c r="B241" s="28">
        <v>5166</v>
      </c>
      <c r="C241" s="18" t="str">
        <f>VLOOKUP(B241,'Lista MF'!B:C,2,0)</f>
        <v>BELLTECH</v>
      </c>
      <c r="D241" s="36" t="s">
        <v>6</v>
      </c>
      <c r="E241" s="29">
        <v>46091</v>
      </c>
      <c r="F241" s="29">
        <v>46090</v>
      </c>
      <c r="G241" s="45" t="s">
        <v>755</v>
      </c>
      <c r="H241" s="8">
        <v>45913050</v>
      </c>
      <c r="I241" s="31">
        <v>46688050</v>
      </c>
      <c r="J241" s="8">
        <v>0</v>
      </c>
      <c r="K241" s="8">
        <v>0</v>
      </c>
      <c r="L241" s="52">
        <v>775000</v>
      </c>
      <c r="M241" s="6">
        <f t="shared" si="19"/>
        <v>0</v>
      </c>
      <c r="N241" s="21" t="str">
        <f t="shared" si="18"/>
        <v>Cuadrado</v>
      </c>
      <c r="O241" s="4" t="s">
        <v>773</v>
      </c>
      <c r="P241" s="36">
        <v>1088032608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s="36" customFormat="1" ht="14" customHeight="1" x14ac:dyDescent="0.35">
      <c r="A242" s="72">
        <v>667</v>
      </c>
      <c r="B242" s="28">
        <v>5167</v>
      </c>
      <c r="C242" s="18" t="str">
        <f>VLOOKUP(B242,'Lista MF'!B:C,2,0)</f>
        <v>BELLTECH</v>
      </c>
      <c r="D242" s="36" t="s">
        <v>6</v>
      </c>
      <c r="E242" s="29">
        <v>46091</v>
      </c>
      <c r="F242" s="29">
        <v>46090</v>
      </c>
      <c r="G242" s="45" t="s">
        <v>756</v>
      </c>
      <c r="H242" s="8">
        <v>127546750</v>
      </c>
      <c r="I242" s="31">
        <v>129216700</v>
      </c>
      <c r="J242" s="8">
        <v>4920000</v>
      </c>
      <c r="K242" s="8">
        <v>3250000</v>
      </c>
      <c r="L242" s="52"/>
      <c r="M242" s="6">
        <f t="shared" si="19"/>
        <v>-50</v>
      </c>
      <c r="N242" s="21" t="str">
        <f t="shared" si="18"/>
        <v>Sobrante</v>
      </c>
      <c r="O242" s="9" t="s">
        <v>770</v>
      </c>
      <c r="P242" s="36">
        <v>79953058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s="36" customFormat="1" x14ac:dyDescent="0.35">
      <c r="A243" s="72">
        <v>756</v>
      </c>
      <c r="B243" s="28">
        <v>5183</v>
      </c>
      <c r="C243" s="18" t="str">
        <f>VLOOKUP(B243,'Lista MF'!B:C,2,0)</f>
        <v>DIEBOLD</v>
      </c>
      <c r="D243" s="36" t="s">
        <v>6</v>
      </c>
      <c r="E243" s="29">
        <v>46091</v>
      </c>
      <c r="F243" s="29">
        <v>46087</v>
      </c>
      <c r="G243" s="45" t="s">
        <v>701</v>
      </c>
      <c r="H243" s="8">
        <v>39276000</v>
      </c>
      <c r="I243" s="31">
        <v>210302000</v>
      </c>
      <c r="J243" s="8">
        <v>4170000</v>
      </c>
      <c r="K243" s="8">
        <v>5340000</v>
      </c>
      <c r="L243" s="52">
        <v>175516000</v>
      </c>
      <c r="M243" s="6">
        <f t="shared" si="19"/>
        <v>-3320000</v>
      </c>
      <c r="N243" s="21" t="str">
        <f t="shared" si="18"/>
        <v>Sobrante</v>
      </c>
      <c r="O243" s="9" t="s">
        <v>770</v>
      </c>
      <c r="P243" s="36">
        <v>1094912219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s="36" customFormat="1" x14ac:dyDescent="0.35">
      <c r="A244" s="72">
        <v>698</v>
      </c>
      <c r="B244" s="28">
        <v>5187</v>
      </c>
      <c r="C244" s="18" t="str">
        <f>VLOOKUP(B244,'Lista MF'!B:C,2,0)</f>
        <v>BELLTECH</v>
      </c>
      <c r="D244" s="36" t="s">
        <v>6</v>
      </c>
      <c r="E244" s="29">
        <v>46091</v>
      </c>
      <c r="F244" s="29">
        <v>46090</v>
      </c>
      <c r="G244" s="45" t="s">
        <v>562</v>
      </c>
      <c r="H244" s="8">
        <v>278552450</v>
      </c>
      <c r="I244" s="31">
        <v>278552400</v>
      </c>
      <c r="J244" s="8">
        <v>0</v>
      </c>
      <c r="K244" s="8">
        <v>0</v>
      </c>
      <c r="L244" s="52"/>
      <c r="M244" s="6">
        <f t="shared" si="19"/>
        <v>-50</v>
      </c>
      <c r="N244" s="69" t="str">
        <f t="shared" si="18"/>
        <v>Sobrante</v>
      </c>
      <c r="O244" s="9" t="s">
        <v>770</v>
      </c>
      <c r="P244" s="36">
        <v>80177355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s="36" customFormat="1" x14ac:dyDescent="0.35">
      <c r="A245" s="72">
        <v>383</v>
      </c>
      <c r="B245" s="28">
        <v>5194</v>
      </c>
      <c r="C245" s="18" t="str">
        <f>VLOOKUP(B245,'Lista MF'!B:C,2,0)</f>
        <v>BELLTECH</v>
      </c>
      <c r="D245" s="36" t="s">
        <v>6</v>
      </c>
      <c r="E245" s="29">
        <v>46091</v>
      </c>
      <c r="F245" s="29">
        <v>46090</v>
      </c>
      <c r="G245" s="45" t="s">
        <v>613</v>
      </c>
      <c r="H245" s="8">
        <v>294935800</v>
      </c>
      <c r="I245" s="31">
        <v>295775800</v>
      </c>
      <c r="J245" s="8">
        <v>520000</v>
      </c>
      <c r="K245" s="8">
        <v>0</v>
      </c>
      <c r="L245" s="52">
        <v>320000</v>
      </c>
      <c r="M245" s="6">
        <f t="shared" si="19"/>
        <v>0</v>
      </c>
      <c r="N245" s="21" t="str">
        <f t="shared" si="18"/>
        <v>Cuadrado</v>
      </c>
      <c r="O245" s="4" t="s">
        <v>774</v>
      </c>
      <c r="P245" s="36">
        <v>1073160492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s="36" customFormat="1" x14ac:dyDescent="0.35">
      <c r="A246" s="72">
        <v>455</v>
      </c>
      <c r="B246" s="28">
        <v>5206</v>
      </c>
      <c r="C246" s="18" t="str">
        <f>VLOOKUP(B246,'Lista MF'!B:C,2,0)</f>
        <v>BELLTECH</v>
      </c>
      <c r="D246" s="36" t="s">
        <v>6</v>
      </c>
      <c r="E246" s="29">
        <v>46091</v>
      </c>
      <c r="F246" s="29">
        <v>46090</v>
      </c>
      <c r="G246" s="45" t="s">
        <v>757</v>
      </c>
      <c r="H246" s="8">
        <v>197434400</v>
      </c>
      <c r="I246" s="31">
        <v>563024050</v>
      </c>
      <c r="J246" s="8">
        <v>8090000</v>
      </c>
      <c r="K246" s="8">
        <v>198081000</v>
      </c>
      <c r="L246" s="52">
        <v>564461000</v>
      </c>
      <c r="M246" s="6">
        <f t="shared" si="19"/>
        <v>-8880350</v>
      </c>
      <c r="N246" s="21" t="str">
        <f t="shared" si="18"/>
        <v>Sobrante</v>
      </c>
      <c r="O246" s="9" t="s">
        <v>770</v>
      </c>
      <c r="P246" s="36">
        <v>1083896352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s="36" customFormat="1" x14ac:dyDescent="0.35">
      <c r="A247" s="72">
        <v>844</v>
      </c>
      <c r="B247" s="28">
        <v>6169</v>
      </c>
      <c r="C247" s="18" t="str">
        <f>VLOOKUP(B247,'Lista MF'!B:C,2,0)</f>
        <v>BELLTECH</v>
      </c>
      <c r="D247" s="36" t="s">
        <v>6</v>
      </c>
      <c r="E247" s="29">
        <v>46091</v>
      </c>
      <c r="F247" s="29">
        <v>46090</v>
      </c>
      <c r="G247" s="45" t="s">
        <v>702</v>
      </c>
      <c r="H247" s="8">
        <v>286603250</v>
      </c>
      <c r="I247" s="31">
        <v>500368650</v>
      </c>
      <c r="J247" s="8">
        <v>820000</v>
      </c>
      <c r="K247" s="8">
        <v>0</v>
      </c>
      <c r="L247" s="52">
        <f>278967000-54000000-11390000</f>
        <v>213577000</v>
      </c>
      <c r="M247" s="6">
        <f t="shared" si="19"/>
        <v>-631600</v>
      </c>
      <c r="N247" s="21" t="str">
        <f t="shared" si="18"/>
        <v>Sobrante</v>
      </c>
      <c r="O247" s="9" t="s">
        <v>770</v>
      </c>
      <c r="P247" s="36">
        <v>86058432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s="36" customFormat="1" x14ac:dyDescent="0.35">
      <c r="A248" s="72">
        <v>820</v>
      </c>
      <c r="B248" s="28">
        <v>6174</v>
      </c>
      <c r="C248" s="18" t="str">
        <f>VLOOKUP(B248,'Lista MF'!B:C,2,0)</f>
        <v>BELLTECH</v>
      </c>
      <c r="D248" s="36" t="s">
        <v>6</v>
      </c>
      <c r="E248" s="29">
        <v>46091</v>
      </c>
      <c r="F248" s="29">
        <v>46090</v>
      </c>
      <c r="G248" s="45" t="s">
        <v>758</v>
      </c>
      <c r="H248" s="8">
        <v>62171600</v>
      </c>
      <c r="I248" s="31">
        <v>125609700</v>
      </c>
      <c r="J248" s="8">
        <v>12540000</v>
      </c>
      <c r="K248" s="8">
        <v>21669000</v>
      </c>
      <c r="L248" s="52">
        <f>70867000-15000000</f>
        <v>55867000</v>
      </c>
      <c r="M248" s="6">
        <f t="shared" si="19"/>
        <v>16700100</v>
      </c>
      <c r="N248" s="69" t="str">
        <f t="shared" si="18"/>
        <v>Faltante</v>
      </c>
      <c r="O248" s="4" t="s">
        <v>622</v>
      </c>
      <c r="P248" s="36">
        <v>1090400247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s="36" customFormat="1" x14ac:dyDescent="0.35">
      <c r="A249" s="72">
        <v>477</v>
      </c>
      <c r="B249" s="28">
        <v>6251</v>
      </c>
      <c r="C249" s="18" t="str">
        <f>VLOOKUP(B249,'Lista MF'!B:C,2,0)</f>
        <v>BELLTECH</v>
      </c>
      <c r="D249" s="36" t="s">
        <v>6</v>
      </c>
      <c r="E249" s="29">
        <v>46091</v>
      </c>
      <c r="F249" s="29">
        <v>46090</v>
      </c>
      <c r="G249" s="45" t="s">
        <v>629</v>
      </c>
      <c r="H249" s="8">
        <v>155281050</v>
      </c>
      <c r="I249" s="31">
        <v>435774550</v>
      </c>
      <c r="J249" s="8">
        <v>9030000</v>
      </c>
      <c r="K249" s="8">
        <v>4340000</v>
      </c>
      <c r="L249" s="52">
        <v>280774000</v>
      </c>
      <c r="M249" s="6">
        <f t="shared" si="19"/>
        <v>-4970500</v>
      </c>
      <c r="N249" s="21" t="str">
        <f t="shared" si="18"/>
        <v>Sobrante</v>
      </c>
      <c r="O249" s="9" t="s">
        <v>770</v>
      </c>
      <c r="P249" s="36">
        <v>1140850613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s="36" customFormat="1" x14ac:dyDescent="0.35">
      <c r="A250" s="72">
        <v>613</v>
      </c>
      <c r="B250" s="28">
        <v>6713</v>
      </c>
      <c r="C250" s="18" t="str">
        <f>VLOOKUP(B250,'Lista MF'!B:C,2,0)</f>
        <v>DIEBOLD</v>
      </c>
      <c r="D250" s="36" t="s">
        <v>99</v>
      </c>
      <c r="E250" s="29">
        <v>46091</v>
      </c>
      <c r="F250" s="29">
        <v>46090</v>
      </c>
      <c r="G250" s="45" t="s">
        <v>759</v>
      </c>
      <c r="H250" s="8">
        <v>139679500</v>
      </c>
      <c r="I250" s="31">
        <v>139937500</v>
      </c>
      <c r="J250" s="8">
        <v>2950000</v>
      </c>
      <c r="K250" s="8">
        <v>1840000</v>
      </c>
      <c r="L250" s="52"/>
      <c r="M250" s="6">
        <f t="shared" si="19"/>
        <v>-852000</v>
      </c>
      <c r="N250" s="21" t="str">
        <f t="shared" si="18"/>
        <v>Sobrante</v>
      </c>
      <c r="O250" s="9" t="s">
        <v>770</v>
      </c>
      <c r="P250" s="36">
        <v>1040325060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s="36" customFormat="1" x14ac:dyDescent="0.35">
      <c r="A251" s="72">
        <v>385</v>
      </c>
      <c r="B251" s="28">
        <v>7139</v>
      </c>
      <c r="C251" s="18" t="str">
        <f>VLOOKUP(B251,'Lista MF'!B:C,2,0)</f>
        <v>BELLTECH</v>
      </c>
      <c r="D251" s="36" t="s">
        <v>6</v>
      </c>
      <c r="E251" s="29">
        <v>46091</v>
      </c>
      <c r="F251" s="29">
        <v>46090</v>
      </c>
      <c r="G251" s="45" t="s">
        <v>760</v>
      </c>
      <c r="H251" s="8">
        <v>128538550</v>
      </c>
      <c r="I251" s="31">
        <v>120110750</v>
      </c>
      <c r="J251" s="8">
        <v>33970000</v>
      </c>
      <c r="K251" s="8">
        <v>26851000</v>
      </c>
      <c r="L251" s="52"/>
      <c r="M251" s="6">
        <f t="shared" si="19"/>
        <v>-15546800</v>
      </c>
      <c r="N251" s="21" t="str">
        <f t="shared" si="18"/>
        <v>Sobrante</v>
      </c>
      <c r="O251" s="9" t="s">
        <v>770</v>
      </c>
      <c r="P251" s="36">
        <v>1077970238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s="36" customFormat="1" x14ac:dyDescent="0.35">
      <c r="A252" s="72">
        <v>848</v>
      </c>
      <c r="B252" s="28">
        <v>7374</v>
      </c>
      <c r="C252" s="18" t="str">
        <f>VLOOKUP(B252,'Lista MF'!B:C,2,0)</f>
        <v>DIEBOLD</v>
      </c>
      <c r="D252" s="36" t="s">
        <v>99</v>
      </c>
      <c r="E252" s="29">
        <v>46091</v>
      </c>
      <c r="F252" s="29">
        <v>46090</v>
      </c>
      <c r="G252" s="45" t="s">
        <v>761</v>
      </c>
      <c r="H252" s="8">
        <v>46734150</v>
      </c>
      <c r="I252" s="31">
        <v>32765200</v>
      </c>
      <c r="J252" s="8">
        <v>2340000</v>
      </c>
      <c r="K252" s="8">
        <v>17000000</v>
      </c>
      <c r="L252" s="52">
        <v>691050</v>
      </c>
      <c r="M252" s="6">
        <f t="shared" si="19"/>
        <v>0</v>
      </c>
      <c r="N252" s="21" t="str">
        <f t="shared" si="18"/>
        <v>Cuadrado</v>
      </c>
      <c r="O252" s="4" t="s">
        <v>775</v>
      </c>
      <c r="P252" s="36">
        <v>29877107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s="36" customFormat="1" x14ac:dyDescent="0.35">
      <c r="A253" s="72">
        <v>569</v>
      </c>
      <c r="B253" s="28">
        <v>8129</v>
      </c>
      <c r="C253" s="18" t="str">
        <f>VLOOKUP(B253,'Lista MF'!B:C,2,0)</f>
        <v>DIEBOLD</v>
      </c>
      <c r="D253" s="36" t="s">
        <v>99</v>
      </c>
      <c r="E253" s="29">
        <v>46091</v>
      </c>
      <c r="F253" s="29">
        <v>46090</v>
      </c>
      <c r="G253" s="45" t="s">
        <v>737</v>
      </c>
      <c r="H253" s="8">
        <v>256898200</v>
      </c>
      <c r="I253" s="31">
        <v>264208200</v>
      </c>
      <c r="J253" s="8">
        <v>10550000</v>
      </c>
      <c r="K253" s="8">
        <v>0</v>
      </c>
      <c r="L253" s="52"/>
      <c r="M253" s="6">
        <f t="shared" si="19"/>
        <v>-3240000</v>
      </c>
      <c r="N253" s="21" t="str">
        <f t="shared" si="18"/>
        <v>Sobrante</v>
      </c>
      <c r="O253" s="9" t="s">
        <v>770</v>
      </c>
      <c r="P253" s="36">
        <v>10779993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s="36" customFormat="1" x14ac:dyDescent="0.35">
      <c r="A254" s="72">
        <v>291</v>
      </c>
      <c r="B254" s="28">
        <v>8139</v>
      </c>
      <c r="C254" s="18" t="str">
        <f>VLOOKUP(B254,'Lista MF'!B:C,2,0)</f>
        <v>DIEBOLD</v>
      </c>
      <c r="D254" s="36" t="s">
        <v>99</v>
      </c>
      <c r="E254" s="29">
        <v>46091</v>
      </c>
      <c r="F254" s="29">
        <v>46090</v>
      </c>
      <c r="G254" s="45" t="s">
        <v>762</v>
      </c>
      <c r="H254" s="8">
        <v>260314550</v>
      </c>
      <c r="I254" s="31">
        <v>283871550</v>
      </c>
      <c r="J254" s="8">
        <v>25500000</v>
      </c>
      <c r="K254" s="8">
        <v>0</v>
      </c>
      <c r="L254" s="52">
        <f>-2000000+57000</f>
        <v>-1943000</v>
      </c>
      <c r="M254" s="6">
        <f t="shared" si="19"/>
        <v>0</v>
      </c>
      <c r="N254" s="21" t="str">
        <f t="shared" si="18"/>
        <v>Cuadrado</v>
      </c>
      <c r="O254" s="4" t="s">
        <v>776</v>
      </c>
      <c r="P254" s="36">
        <v>1095930956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s="36" customFormat="1" x14ac:dyDescent="0.35">
      <c r="A255" s="72">
        <v>556</v>
      </c>
      <c r="B255" s="28">
        <v>8333</v>
      </c>
      <c r="C255" s="18" t="str">
        <f>VLOOKUP(B255,'Lista MF'!B:C,2,0)</f>
        <v>BELLTECH</v>
      </c>
      <c r="D255" s="36" t="s">
        <v>6</v>
      </c>
      <c r="E255" s="29">
        <v>46091</v>
      </c>
      <c r="F255" s="29">
        <v>46090</v>
      </c>
      <c r="G255" s="45" t="s">
        <v>629</v>
      </c>
      <c r="H255" s="8">
        <v>387578900</v>
      </c>
      <c r="I255" s="31">
        <v>379432100</v>
      </c>
      <c r="J255" s="8">
        <v>7700000</v>
      </c>
      <c r="K255" s="8">
        <v>15818000</v>
      </c>
      <c r="L255" s="52">
        <v>-28700</v>
      </c>
      <c r="M255" s="6">
        <f t="shared" si="19"/>
        <v>-100</v>
      </c>
      <c r="N255" s="21" t="str">
        <f t="shared" si="18"/>
        <v>Sobrante</v>
      </c>
      <c r="O255" s="9" t="s">
        <v>770</v>
      </c>
      <c r="P255" s="36">
        <v>39450196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s="36" customFormat="1" x14ac:dyDescent="0.35">
      <c r="A256" s="72">
        <v>495</v>
      </c>
      <c r="B256" s="28">
        <v>8482</v>
      </c>
      <c r="C256" s="18" t="str">
        <f>VLOOKUP(B256,'Lista MF'!B:C,2,0)</f>
        <v>BELLTECH</v>
      </c>
      <c r="D256" s="36" t="s">
        <v>6</v>
      </c>
      <c r="E256" s="29">
        <v>46091</v>
      </c>
      <c r="F256" s="29">
        <v>46090</v>
      </c>
      <c r="G256" s="45" t="s">
        <v>763</v>
      </c>
      <c r="H256" s="8">
        <v>37697400</v>
      </c>
      <c r="I256" s="31">
        <v>38149400</v>
      </c>
      <c r="J256" s="8">
        <v>0</v>
      </c>
      <c r="K256" s="8">
        <v>0</v>
      </c>
      <c r="L256" s="52"/>
      <c r="M256" s="6">
        <f t="shared" si="19"/>
        <v>452000</v>
      </c>
      <c r="N256" s="21" t="str">
        <f t="shared" si="18"/>
        <v>Faltante</v>
      </c>
      <c r="O256" s="13" t="s">
        <v>771</v>
      </c>
      <c r="P256" s="36">
        <v>1052081923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s="36" customFormat="1" x14ac:dyDescent="0.35">
      <c r="A257" s="72">
        <v>60</v>
      </c>
      <c r="B257" s="28">
        <v>8728</v>
      </c>
      <c r="C257" s="18" t="str">
        <f>VLOOKUP(B257,'Lista MF'!B:C,2,0)</f>
        <v>DIEBOLD</v>
      </c>
      <c r="D257" s="36" t="s">
        <v>99</v>
      </c>
      <c r="E257" s="29">
        <v>46091</v>
      </c>
      <c r="F257" s="29">
        <v>46090</v>
      </c>
      <c r="G257" s="45" t="s">
        <v>764</v>
      </c>
      <c r="H257" s="8">
        <v>147853100</v>
      </c>
      <c r="I257" s="31">
        <v>145400100</v>
      </c>
      <c r="J257" s="8">
        <v>3320000</v>
      </c>
      <c r="K257" s="8">
        <v>6020000</v>
      </c>
      <c r="L257" s="52"/>
      <c r="M257" s="6">
        <f t="shared" si="19"/>
        <v>247000</v>
      </c>
      <c r="N257" s="21" t="str">
        <f t="shared" si="18"/>
        <v>Faltante</v>
      </c>
      <c r="O257" s="13" t="s">
        <v>771</v>
      </c>
      <c r="P257" s="36">
        <v>14697128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s="36" customFormat="1" x14ac:dyDescent="0.35">
      <c r="A258" s="72">
        <v>60</v>
      </c>
      <c r="B258" s="28">
        <v>8729</v>
      </c>
      <c r="C258" s="18" t="str">
        <f>VLOOKUP(B258,'Lista MF'!B:C,2,0)</f>
        <v>BELLTECH</v>
      </c>
      <c r="D258" s="36" t="s">
        <v>6</v>
      </c>
      <c r="E258" s="29">
        <v>46091</v>
      </c>
      <c r="F258" s="29">
        <v>46090</v>
      </c>
      <c r="G258" s="45" t="s">
        <v>765</v>
      </c>
      <c r="H258" s="8">
        <v>102452400</v>
      </c>
      <c r="I258" s="31">
        <v>96472400</v>
      </c>
      <c r="J258" s="8">
        <v>2860000</v>
      </c>
      <c r="K258" s="8">
        <v>8850000</v>
      </c>
      <c r="L258" s="52">
        <v>10000</v>
      </c>
      <c r="M258" s="6">
        <f t="shared" si="19"/>
        <v>0</v>
      </c>
      <c r="N258" s="21" t="str">
        <f t="shared" si="18"/>
        <v>Cuadrado</v>
      </c>
      <c r="O258" s="4" t="s">
        <v>777</v>
      </c>
      <c r="P258" s="36">
        <v>14697128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s="36" customFormat="1" x14ac:dyDescent="0.35">
      <c r="A259" s="72">
        <v>451</v>
      </c>
      <c r="B259" s="28">
        <v>9434</v>
      </c>
      <c r="C259" s="18" t="str">
        <f>VLOOKUP(B259,'Lista MF'!B:C,2,0)</f>
        <v>BELLTECH</v>
      </c>
      <c r="D259" s="36" t="s">
        <v>6</v>
      </c>
      <c r="E259" s="29">
        <v>46091</v>
      </c>
      <c r="F259" s="29">
        <v>46090</v>
      </c>
      <c r="G259" s="45" t="s">
        <v>760</v>
      </c>
      <c r="H259" s="8">
        <v>99399350</v>
      </c>
      <c r="I259" s="31">
        <v>-285680200</v>
      </c>
      <c r="J259" s="8">
        <v>123550000</v>
      </c>
      <c r="K259" s="8">
        <v>23629550</v>
      </c>
      <c r="L259" s="52">
        <f>-215000000-90000000-180000000</f>
        <v>-485000000</v>
      </c>
      <c r="M259" s="6">
        <f t="shared" si="19"/>
        <v>0</v>
      </c>
      <c r="N259" s="69" t="str">
        <f t="shared" si="18"/>
        <v>Cuadrado</v>
      </c>
      <c r="O259" s="4" t="s">
        <v>590</v>
      </c>
      <c r="P259" s="36">
        <v>1123206969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s="36" customFormat="1" x14ac:dyDescent="0.35">
      <c r="A260" s="72">
        <v>367</v>
      </c>
      <c r="B260" s="28">
        <v>9580</v>
      </c>
      <c r="C260" s="18" t="str">
        <f>VLOOKUP(B260,'Lista MF'!B:C,2,0)</f>
        <v>BELLTECH</v>
      </c>
      <c r="D260" s="36" t="s">
        <v>6</v>
      </c>
      <c r="E260" s="29">
        <v>46091</v>
      </c>
      <c r="F260" s="29">
        <v>46090</v>
      </c>
      <c r="G260" s="45" t="s">
        <v>557</v>
      </c>
      <c r="H260" s="8">
        <v>111885800</v>
      </c>
      <c r="I260" s="31">
        <v>99855800</v>
      </c>
      <c r="J260" s="8">
        <v>21780000</v>
      </c>
      <c r="K260" s="8">
        <v>33900000</v>
      </c>
      <c r="L260" s="52">
        <v>90000</v>
      </c>
      <c r="M260" s="6">
        <f t="shared" si="19"/>
        <v>0</v>
      </c>
      <c r="N260" s="21" t="str">
        <f t="shared" si="18"/>
        <v>Cuadrado</v>
      </c>
      <c r="O260" s="4" t="s">
        <v>778</v>
      </c>
      <c r="P260" s="36">
        <v>1120360426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s="36" customFormat="1" x14ac:dyDescent="0.35">
      <c r="A261" s="72">
        <v>890</v>
      </c>
      <c r="B261" s="28">
        <v>9584</v>
      </c>
      <c r="C261" s="18" t="str">
        <f>VLOOKUP(B261,'Lista MF'!B:C,2,0)</f>
        <v>BELLTECH</v>
      </c>
      <c r="D261" s="36" t="s">
        <v>6</v>
      </c>
      <c r="E261" s="29">
        <v>46091</v>
      </c>
      <c r="F261" s="29">
        <v>46090</v>
      </c>
      <c r="G261" s="45" t="s">
        <v>766</v>
      </c>
      <c r="H261" s="8">
        <v>11069150</v>
      </c>
      <c r="I261" s="31">
        <v>122262150</v>
      </c>
      <c r="J261" s="8">
        <v>2690000</v>
      </c>
      <c r="K261" s="8">
        <v>1434000</v>
      </c>
      <c r="L261" s="52">
        <v>116897000</v>
      </c>
      <c r="M261" s="6">
        <f t="shared" si="19"/>
        <v>-6960000</v>
      </c>
      <c r="N261" s="21" t="str">
        <f t="shared" si="18"/>
        <v>Sobrante</v>
      </c>
      <c r="O261" s="9" t="s">
        <v>770</v>
      </c>
      <c r="P261" s="36">
        <v>1053835867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s="36" customFormat="1" x14ac:dyDescent="0.35">
      <c r="A262" s="72">
        <v>516</v>
      </c>
      <c r="B262" s="28">
        <v>9729</v>
      </c>
      <c r="C262" s="18" t="str">
        <f>VLOOKUP(B262,'Lista MF'!B:C,2,0)</f>
        <v>BELLTECH</v>
      </c>
      <c r="D262" s="36" t="s">
        <v>6</v>
      </c>
      <c r="E262" s="29">
        <v>46091</v>
      </c>
      <c r="F262" s="29">
        <v>46090</v>
      </c>
      <c r="G262" s="45" t="s">
        <v>767</v>
      </c>
      <c r="H262" s="8">
        <v>174326750</v>
      </c>
      <c r="I262" s="31">
        <v>177144350</v>
      </c>
      <c r="J262" s="8">
        <v>650000</v>
      </c>
      <c r="K262" s="8">
        <v>0</v>
      </c>
      <c r="L262" s="52"/>
      <c r="M262" s="6">
        <f t="shared" si="19"/>
        <v>2167600</v>
      </c>
      <c r="N262" s="21" t="str">
        <f t="shared" si="18"/>
        <v>Faltante</v>
      </c>
      <c r="O262" s="4" t="s">
        <v>622</v>
      </c>
      <c r="P262" s="36">
        <v>1102850956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s="36" customFormat="1" x14ac:dyDescent="0.35">
      <c r="A263" s="72">
        <v>265</v>
      </c>
      <c r="B263" s="28">
        <v>5083</v>
      </c>
      <c r="C263" s="18" t="str">
        <f>VLOOKUP(B263,'Lista MF'!B:C,2,0)</f>
        <v>BELLTECH</v>
      </c>
      <c r="D263" s="36" t="s">
        <v>6</v>
      </c>
      <c r="E263" s="29">
        <v>46091</v>
      </c>
      <c r="F263" s="29">
        <v>46090</v>
      </c>
      <c r="G263" s="45" t="s">
        <v>768</v>
      </c>
      <c r="H263" s="8">
        <v>316858750</v>
      </c>
      <c r="I263" s="31">
        <v>330808750</v>
      </c>
      <c r="J263" s="8">
        <v>13950000</v>
      </c>
      <c r="K263" s="8">
        <v>0</v>
      </c>
      <c r="L263" s="52"/>
      <c r="M263" s="6">
        <f t="shared" ref="M263:M266" si="20">I263-(H263+J263-K263)-L263</f>
        <v>0</v>
      </c>
      <c r="N263" s="21" t="str">
        <f t="shared" ref="N263:N266" si="21">IF(M263="","",IF(M263=0,"Cuadrado",IF(M263&gt;0,"Faltante","Sobrante")))</f>
        <v>Cuadrado</v>
      </c>
      <c r="O263" s="4" t="s">
        <v>590</v>
      </c>
      <c r="P263" s="36">
        <v>1107081130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s="36" customFormat="1" x14ac:dyDescent="0.35">
      <c r="A264" s="72">
        <v>725</v>
      </c>
      <c r="B264" s="28">
        <v>8090</v>
      </c>
      <c r="C264" s="18" t="str">
        <f>VLOOKUP(B264,'Lista MF'!B:C,2,0)</f>
        <v>BELLTECH</v>
      </c>
      <c r="D264" s="36" t="s">
        <v>6</v>
      </c>
      <c r="E264" s="29">
        <v>46091</v>
      </c>
      <c r="F264" s="29">
        <v>46090</v>
      </c>
      <c r="G264" s="45" t="s">
        <v>613</v>
      </c>
      <c r="H264" s="8">
        <v>48107200</v>
      </c>
      <c r="I264" s="31">
        <v>43837200</v>
      </c>
      <c r="J264" s="8">
        <v>2360000</v>
      </c>
      <c r="K264" s="8">
        <v>6630000</v>
      </c>
      <c r="L264" s="52"/>
      <c r="M264" s="6">
        <f t="shared" si="20"/>
        <v>0</v>
      </c>
      <c r="N264" s="21" t="str">
        <f t="shared" si="21"/>
        <v>Cuadrado</v>
      </c>
      <c r="O264" s="4" t="s">
        <v>590</v>
      </c>
      <c r="P264" s="36">
        <v>1088032608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s="36" customFormat="1" x14ac:dyDescent="0.35">
      <c r="A265" s="72">
        <v>728</v>
      </c>
      <c r="B265" s="28">
        <v>8586</v>
      </c>
      <c r="C265" s="18" t="str">
        <f>VLOOKUP(B265,'Lista MF'!B:C,2,0)</f>
        <v>BELLTECH</v>
      </c>
      <c r="D265" s="36" t="s">
        <v>6</v>
      </c>
      <c r="E265" s="29">
        <v>46091</v>
      </c>
      <c r="F265" s="29">
        <v>46090</v>
      </c>
      <c r="G265" s="45" t="s">
        <v>542</v>
      </c>
      <c r="H265" s="8">
        <v>101942150</v>
      </c>
      <c r="I265" s="31">
        <v>104962150</v>
      </c>
      <c r="J265" s="8">
        <v>4470000</v>
      </c>
      <c r="K265" s="8">
        <v>1450000</v>
      </c>
      <c r="L265" s="52"/>
      <c r="M265" s="6">
        <f t="shared" si="20"/>
        <v>0</v>
      </c>
      <c r="N265" s="21" t="str">
        <f t="shared" si="21"/>
        <v>Cuadrado</v>
      </c>
      <c r="O265" s="4" t="s">
        <v>590</v>
      </c>
      <c r="P265" s="36">
        <v>1112783690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s="36" customFormat="1" x14ac:dyDescent="0.35">
      <c r="A266" s="72">
        <v>728</v>
      </c>
      <c r="B266" s="28">
        <v>8587</v>
      </c>
      <c r="C266" s="18" t="str">
        <f>VLOOKUP(B266,'Lista MF'!B:C,2,0)</f>
        <v>BELLTECH</v>
      </c>
      <c r="D266" s="36" t="s">
        <v>6</v>
      </c>
      <c r="E266" s="29">
        <v>46091</v>
      </c>
      <c r="F266" s="29">
        <v>46090</v>
      </c>
      <c r="G266" s="45" t="s">
        <v>769</v>
      </c>
      <c r="H266" s="8">
        <v>139335350</v>
      </c>
      <c r="I266" s="31">
        <v>138565350</v>
      </c>
      <c r="J266" s="8">
        <v>2330000</v>
      </c>
      <c r="K266" s="8">
        <v>3100000</v>
      </c>
      <c r="L266" s="52"/>
      <c r="M266" s="6">
        <f t="shared" si="20"/>
        <v>0</v>
      </c>
      <c r="N266" s="21" t="str">
        <f t="shared" si="21"/>
        <v>Cuadrado</v>
      </c>
      <c r="O266" s="4" t="s">
        <v>590</v>
      </c>
      <c r="P266" s="36">
        <v>1112783690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s="36" customFormat="1" x14ac:dyDescent="0.35">
      <c r="A267" s="72">
        <v>333</v>
      </c>
      <c r="B267" s="28">
        <v>442</v>
      </c>
      <c r="C267" s="18" t="str">
        <f>VLOOKUP(B267,'Lista MF'!B:C,2,0)</f>
        <v>DIEBOLD</v>
      </c>
      <c r="D267" s="36" t="s">
        <v>99</v>
      </c>
      <c r="E267" s="29">
        <v>46092</v>
      </c>
      <c r="F267" s="29">
        <v>46091</v>
      </c>
      <c r="G267" s="45" t="s">
        <v>586</v>
      </c>
      <c r="H267" s="8">
        <v>59695600</v>
      </c>
      <c r="I267" s="31">
        <v>223551100</v>
      </c>
      <c r="J267" s="8">
        <v>3770000</v>
      </c>
      <c r="K267" s="8">
        <v>14578000</v>
      </c>
      <c r="L267" s="52"/>
      <c r="M267" s="6">
        <f t="shared" ref="M267:M322" si="22">I267-(H267+J267-K267)-L267</f>
        <v>174663500</v>
      </c>
      <c r="N267" s="21" t="str">
        <f t="shared" ref="N267:N322" si="23">IF(M267="","",IF(M267=0,"Cuadrado",IF(M267&gt;0,"Faltante","Sobrante")))</f>
        <v>Faltante</v>
      </c>
      <c r="O267" s="55" t="s">
        <v>622</v>
      </c>
      <c r="P267" s="36">
        <v>1036606819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s="36" customFormat="1" x14ac:dyDescent="0.35">
      <c r="A268" s="72">
        <v>214</v>
      </c>
      <c r="B268" s="28">
        <v>1469</v>
      </c>
      <c r="C268" s="18" t="str">
        <f>VLOOKUP(B268,'Lista MF'!B:C,2,0)</f>
        <v>BELLTECH</v>
      </c>
      <c r="D268" s="36" t="s">
        <v>6</v>
      </c>
      <c r="E268" s="29">
        <v>46092</v>
      </c>
      <c r="F268" s="29">
        <v>46091</v>
      </c>
      <c r="G268" s="45" t="s">
        <v>606</v>
      </c>
      <c r="H268" s="8">
        <v>155476900</v>
      </c>
      <c r="I268" s="31">
        <v>88040900</v>
      </c>
      <c r="J268" s="8">
        <v>7960000</v>
      </c>
      <c r="K268" s="8">
        <v>75505000</v>
      </c>
      <c r="L268" s="52">
        <f>-1181000+1181000</f>
        <v>0</v>
      </c>
      <c r="M268" s="6">
        <f t="shared" si="22"/>
        <v>109000</v>
      </c>
      <c r="N268" s="21" t="str">
        <f t="shared" si="23"/>
        <v>Faltante</v>
      </c>
      <c r="O268" s="13" t="s">
        <v>807</v>
      </c>
      <c r="P268" s="36">
        <v>1143387256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s="36" customFormat="1" x14ac:dyDescent="0.35">
      <c r="A269" s="72">
        <v>692</v>
      </c>
      <c r="B269" s="28">
        <v>1515</v>
      </c>
      <c r="C269" s="18" t="str">
        <f>VLOOKUP(B269,'Lista MF'!B:C,2,0)</f>
        <v>BELLTECH</v>
      </c>
      <c r="D269" s="36" t="s">
        <v>6</v>
      </c>
      <c r="E269" s="29">
        <v>46092</v>
      </c>
      <c r="F269" s="29">
        <v>46091</v>
      </c>
      <c r="G269" s="45" t="s">
        <v>629</v>
      </c>
      <c r="H269" s="8">
        <v>89771450</v>
      </c>
      <c r="I269" s="31">
        <v>73017250</v>
      </c>
      <c r="J269" s="8">
        <v>5550000</v>
      </c>
      <c r="K269" s="8">
        <v>22304300</v>
      </c>
      <c r="L269" s="52"/>
      <c r="M269" s="6">
        <f t="shared" si="22"/>
        <v>100</v>
      </c>
      <c r="N269" s="21" t="str">
        <f t="shared" si="23"/>
        <v>Faltante</v>
      </c>
      <c r="O269" s="13" t="s">
        <v>805</v>
      </c>
      <c r="P269" s="36">
        <v>30840635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s="36" customFormat="1" x14ac:dyDescent="0.35">
      <c r="A270" s="72">
        <v>692</v>
      </c>
      <c r="B270" s="28">
        <v>1516</v>
      </c>
      <c r="C270" s="18" t="str">
        <f>VLOOKUP(B270,'Lista MF'!B:C,2,0)</f>
        <v>BELLTECH</v>
      </c>
      <c r="D270" s="36" t="s">
        <v>6</v>
      </c>
      <c r="E270" s="29">
        <v>46092</v>
      </c>
      <c r="F270" s="29">
        <v>46091</v>
      </c>
      <c r="G270" s="45" t="s">
        <v>616</v>
      </c>
      <c r="H270" s="8">
        <v>51417200</v>
      </c>
      <c r="I270" s="31">
        <v>43962300</v>
      </c>
      <c r="J270" s="8">
        <v>4370000</v>
      </c>
      <c r="K270" s="8">
        <v>11825000</v>
      </c>
      <c r="L270" s="52"/>
      <c r="M270" s="6">
        <f t="shared" si="22"/>
        <v>100</v>
      </c>
      <c r="N270" s="21" t="str">
        <f t="shared" si="23"/>
        <v>Faltante</v>
      </c>
      <c r="O270" s="13" t="s">
        <v>805</v>
      </c>
      <c r="P270" s="36">
        <v>30840635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s="36" customFormat="1" x14ac:dyDescent="0.35">
      <c r="A271" s="72">
        <v>395</v>
      </c>
      <c r="B271" s="28">
        <v>1528</v>
      </c>
      <c r="C271" s="18" t="str">
        <f>VLOOKUP(B271,'Lista MF'!B:C,2,0)</f>
        <v>BELLTECH</v>
      </c>
      <c r="D271" s="36" t="s">
        <v>6</v>
      </c>
      <c r="E271" s="29">
        <v>46092</v>
      </c>
      <c r="F271" s="29">
        <v>46091</v>
      </c>
      <c r="G271" s="45" t="s">
        <v>693</v>
      </c>
      <c r="H271" s="8">
        <v>247877350</v>
      </c>
      <c r="I271" s="31">
        <v>229078750</v>
      </c>
      <c r="J271" s="8">
        <v>1700000</v>
      </c>
      <c r="K271" s="8">
        <v>0</v>
      </c>
      <c r="L271" s="52">
        <f>-20499900+1300</f>
        <v>-20498600</v>
      </c>
      <c r="M271" s="6">
        <f t="shared" si="22"/>
        <v>0</v>
      </c>
      <c r="N271" s="21" t="str">
        <f t="shared" si="23"/>
        <v>Cuadrado</v>
      </c>
      <c r="O271" s="4" t="s">
        <v>809</v>
      </c>
      <c r="P271" s="36">
        <v>1121857901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s="36" customFormat="1" x14ac:dyDescent="0.35">
      <c r="A272" s="72">
        <v>395</v>
      </c>
      <c r="B272" s="28">
        <v>1529</v>
      </c>
      <c r="C272" s="18" t="str">
        <f>VLOOKUP(B272,'Lista MF'!B:C,2,0)</f>
        <v>BELLTECH</v>
      </c>
      <c r="D272" s="36" t="s">
        <v>6</v>
      </c>
      <c r="E272" s="29">
        <v>46092</v>
      </c>
      <c r="F272" s="29">
        <v>46091</v>
      </c>
      <c r="G272" s="45" t="s">
        <v>634</v>
      </c>
      <c r="H272" s="8">
        <v>278497800</v>
      </c>
      <c r="I272" s="31">
        <v>234927800</v>
      </c>
      <c r="J272" s="8">
        <v>3200000</v>
      </c>
      <c r="K272" s="8">
        <v>11000000</v>
      </c>
      <c r="L272" s="52">
        <v>-35770000</v>
      </c>
      <c r="M272" s="6">
        <f t="shared" si="22"/>
        <v>0</v>
      </c>
      <c r="N272" s="21" t="str">
        <f t="shared" si="23"/>
        <v>Cuadrado</v>
      </c>
      <c r="O272" s="4" t="s">
        <v>590</v>
      </c>
      <c r="P272" s="36">
        <v>1121857901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s="36" customFormat="1" x14ac:dyDescent="0.35">
      <c r="A273" s="72">
        <v>167</v>
      </c>
      <c r="B273" s="28">
        <v>5030</v>
      </c>
      <c r="C273" s="18" t="str">
        <f>VLOOKUP(B273,'Lista MF'!B:C,2,0)</f>
        <v>BELLTECH</v>
      </c>
      <c r="D273" s="36" t="s">
        <v>6</v>
      </c>
      <c r="E273" s="29">
        <v>46092</v>
      </c>
      <c r="F273" s="29">
        <v>46091</v>
      </c>
      <c r="G273" s="45" t="s">
        <v>577</v>
      </c>
      <c r="H273" s="8">
        <v>390208900</v>
      </c>
      <c r="I273" s="31">
        <v>372430300</v>
      </c>
      <c r="J273" s="8">
        <v>6340000</v>
      </c>
      <c r="K273" s="8">
        <v>20411800</v>
      </c>
      <c r="L273" s="52"/>
      <c r="M273" s="6">
        <f t="shared" si="22"/>
        <v>-3706800</v>
      </c>
      <c r="N273" s="21" t="str">
        <f t="shared" si="23"/>
        <v>Sobrante</v>
      </c>
      <c r="O273" s="9" t="s">
        <v>806</v>
      </c>
      <c r="P273" s="36">
        <v>80076538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s="36" customFormat="1" x14ac:dyDescent="0.35">
      <c r="A274" s="72">
        <v>81</v>
      </c>
      <c r="B274" s="28">
        <v>5036</v>
      </c>
      <c r="C274" s="18" t="str">
        <f>VLOOKUP(B274,'Lista MF'!B:C,2,0)</f>
        <v>BELLTECH</v>
      </c>
      <c r="D274" s="36" t="s">
        <v>6</v>
      </c>
      <c r="E274" s="29">
        <v>46092</v>
      </c>
      <c r="F274" s="29">
        <v>46091</v>
      </c>
      <c r="G274" s="45" t="s">
        <v>635</v>
      </c>
      <c r="H274" s="8">
        <v>264980400</v>
      </c>
      <c r="I274" s="31">
        <v>256847400</v>
      </c>
      <c r="J274" s="8">
        <v>0</v>
      </c>
      <c r="K274" s="8">
        <v>0</v>
      </c>
      <c r="L274" s="52">
        <v>480000</v>
      </c>
      <c r="M274" s="6">
        <f t="shared" si="22"/>
        <v>-8613000</v>
      </c>
      <c r="N274" s="21" t="str">
        <f t="shared" si="23"/>
        <v>Sobrante</v>
      </c>
      <c r="O274" s="9" t="s">
        <v>806</v>
      </c>
      <c r="P274" s="36">
        <v>78691277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s="36" customFormat="1" x14ac:dyDescent="0.35">
      <c r="A275" s="72">
        <v>154</v>
      </c>
      <c r="B275" s="28">
        <v>5041</v>
      </c>
      <c r="C275" s="18" t="str">
        <f>VLOOKUP(B275,'Lista MF'!B:C,2,0)</f>
        <v>BELLTECH</v>
      </c>
      <c r="D275" s="36" t="s">
        <v>6</v>
      </c>
      <c r="E275" s="29">
        <v>46092</v>
      </c>
      <c r="F275" s="29">
        <v>46091</v>
      </c>
      <c r="G275" s="45" t="s">
        <v>766</v>
      </c>
      <c r="H275" s="8">
        <v>41677350</v>
      </c>
      <c r="I275" s="31">
        <v>225529850</v>
      </c>
      <c r="J275" s="8">
        <v>5500000</v>
      </c>
      <c r="K275" s="8">
        <v>11655000</v>
      </c>
      <c r="L275" s="52">
        <v>192863000</v>
      </c>
      <c r="M275" s="6">
        <f t="shared" si="22"/>
        <v>-2855500</v>
      </c>
      <c r="N275" s="21" t="str">
        <f t="shared" si="23"/>
        <v>Sobrante</v>
      </c>
      <c r="O275" s="9" t="s">
        <v>806</v>
      </c>
      <c r="P275" s="36">
        <v>1013581728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s="36" customFormat="1" x14ac:dyDescent="0.35">
      <c r="A276" s="72">
        <v>852</v>
      </c>
      <c r="B276" s="28">
        <v>5050</v>
      </c>
      <c r="C276" s="18" t="str">
        <f>VLOOKUP(B276,'Lista MF'!B:C,2,0)</f>
        <v>BELLTECH</v>
      </c>
      <c r="D276" s="36" t="s">
        <v>6</v>
      </c>
      <c r="E276" s="29">
        <v>46092</v>
      </c>
      <c r="F276" s="29">
        <v>46091</v>
      </c>
      <c r="G276" s="45" t="s">
        <v>617</v>
      </c>
      <c r="H276" s="8">
        <v>130873350</v>
      </c>
      <c r="I276" s="31">
        <v>131543350</v>
      </c>
      <c r="J276" s="8">
        <v>5720000</v>
      </c>
      <c r="K276" s="8">
        <v>5250000</v>
      </c>
      <c r="L276" s="52">
        <v>200000</v>
      </c>
      <c r="M276" s="6">
        <f t="shared" si="22"/>
        <v>0</v>
      </c>
      <c r="N276" s="21" t="str">
        <f t="shared" si="23"/>
        <v>Cuadrado</v>
      </c>
      <c r="O276" s="4" t="s">
        <v>810</v>
      </c>
      <c r="P276" s="36">
        <v>1088251245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s="36" customFormat="1" x14ac:dyDescent="0.35">
      <c r="A277" s="72">
        <v>7</v>
      </c>
      <c r="B277" s="28">
        <v>5059</v>
      </c>
      <c r="C277" s="18" t="str">
        <f>VLOOKUP(B277,'Lista MF'!B:C,2,0)</f>
        <v>BELLTECH</v>
      </c>
      <c r="D277" s="36" t="s">
        <v>6</v>
      </c>
      <c r="E277" s="29">
        <v>46092</v>
      </c>
      <c r="F277" s="29">
        <v>46091</v>
      </c>
      <c r="G277" s="45" t="s">
        <v>567</v>
      </c>
      <c r="H277" s="8">
        <v>248127350</v>
      </c>
      <c r="I277" s="31">
        <v>244135150</v>
      </c>
      <c r="J277" s="8">
        <v>650000</v>
      </c>
      <c r="K277" s="8">
        <v>3250000</v>
      </c>
      <c r="L277" s="52">
        <f>-1610000+217800</f>
        <v>-1392200</v>
      </c>
      <c r="M277" s="6">
        <f t="shared" si="22"/>
        <v>0</v>
      </c>
      <c r="N277" s="21" t="str">
        <f t="shared" si="23"/>
        <v>Cuadrado</v>
      </c>
      <c r="O277" s="4" t="s">
        <v>808</v>
      </c>
      <c r="P277" s="36">
        <v>1020460907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s="36" customFormat="1" x14ac:dyDescent="0.35">
      <c r="A278" s="72">
        <v>333</v>
      </c>
      <c r="B278" s="28">
        <v>5076</v>
      </c>
      <c r="C278" s="18" t="str">
        <f>VLOOKUP(B278,'Lista MF'!B:C,2,0)</f>
        <v>BELLTECH</v>
      </c>
      <c r="D278" s="36" t="s">
        <v>6</v>
      </c>
      <c r="E278" s="29">
        <v>46092</v>
      </c>
      <c r="F278" s="29">
        <v>46091</v>
      </c>
      <c r="G278" s="45" t="s">
        <v>779</v>
      </c>
      <c r="H278" s="8">
        <v>74330550</v>
      </c>
      <c r="I278" s="31">
        <v>244405850</v>
      </c>
      <c r="J278" s="8">
        <v>9280000</v>
      </c>
      <c r="K278" s="8">
        <v>31447000</v>
      </c>
      <c r="L278" s="52">
        <f>-10200+191222000</f>
        <v>191211800</v>
      </c>
      <c r="M278" s="6">
        <f t="shared" si="22"/>
        <v>1030500</v>
      </c>
      <c r="N278" s="21" t="str">
        <f t="shared" si="23"/>
        <v>Faltante</v>
      </c>
      <c r="O278" s="13" t="s">
        <v>805</v>
      </c>
      <c r="P278" s="36">
        <v>1036606819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s="36" customFormat="1" x14ac:dyDescent="0.35">
      <c r="A279" s="72">
        <v>419</v>
      </c>
      <c r="B279" s="28">
        <v>5077</v>
      </c>
      <c r="C279" s="18" t="str">
        <f>VLOOKUP(B279,'Lista MF'!B:C,2,0)</f>
        <v>BELLTECH</v>
      </c>
      <c r="D279" s="36" t="s">
        <v>6</v>
      </c>
      <c r="E279" s="29">
        <v>46092</v>
      </c>
      <c r="F279" s="29">
        <v>46091</v>
      </c>
      <c r="G279" s="45" t="s">
        <v>604</v>
      </c>
      <c r="H279" s="8">
        <v>197190900</v>
      </c>
      <c r="I279" s="31">
        <v>188944900</v>
      </c>
      <c r="J279" s="8">
        <v>1500000</v>
      </c>
      <c r="K279" s="8">
        <v>350000</v>
      </c>
      <c r="L279" s="52"/>
      <c r="M279" s="6">
        <f t="shared" si="22"/>
        <v>-9396000</v>
      </c>
      <c r="N279" s="21" t="str">
        <f t="shared" si="23"/>
        <v>Sobrante</v>
      </c>
      <c r="O279" s="9" t="s">
        <v>806</v>
      </c>
      <c r="P279" s="36">
        <v>79248430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s="36" customFormat="1" x14ac:dyDescent="0.35">
      <c r="A280" s="72">
        <v>523</v>
      </c>
      <c r="B280" s="28">
        <v>5082</v>
      </c>
      <c r="C280" s="18" t="str">
        <f>VLOOKUP(B280,'Lista MF'!B:C,2,0)</f>
        <v>BELLTECH</v>
      </c>
      <c r="D280" s="36" t="s">
        <v>6</v>
      </c>
      <c r="E280" s="29">
        <v>46092</v>
      </c>
      <c r="F280" s="29">
        <v>46091</v>
      </c>
      <c r="G280" s="45" t="s">
        <v>780</v>
      </c>
      <c r="H280" s="8">
        <v>232296900</v>
      </c>
      <c r="I280" s="31">
        <v>175309750</v>
      </c>
      <c r="J280" s="8">
        <v>3000000</v>
      </c>
      <c r="K280" s="8">
        <v>49585950</v>
      </c>
      <c r="L280" s="52">
        <v>-10400050</v>
      </c>
      <c r="M280" s="6">
        <f t="shared" si="22"/>
        <v>-1150</v>
      </c>
      <c r="N280" s="21" t="str">
        <f t="shared" si="23"/>
        <v>Sobrante</v>
      </c>
      <c r="O280" s="9" t="s">
        <v>806</v>
      </c>
      <c r="P280" s="36">
        <v>1065609766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s="36" customFormat="1" x14ac:dyDescent="0.35">
      <c r="A281" s="72">
        <v>659</v>
      </c>
      <c r="B281" s="28">
        <v>5102</v>
      </c>
      <c r="C281" s="18" t="str">
        <f>VLOOKUP(B281,'Lista MF'!B:C,2,0)</f>
        <v>BELLTECH</v>
      </c>
      <c r="D281" s="36" t="s">
        <v>6</v>
      </c>
      <c r="E281" s="29">
        <v>46092</v>
      </c>
      <c r="F281" s="29">
        <v>46091</v>
      </c>
      <c r="G281" s="45" t="s">
        <v>763</v>
      </c>
      <c r="H281" s="8">
        <v>306329950</v>
      </c>
      <c r="I281" s="31">
        <v>304148950</v>
      </c>
      <c r="J281" s="8">
        <v>12900000</v>
      </c>
      <c r="K281" s="8">
        <v>15015000</v>
      </c>
      <c r="L281" s="52"/>
      <c r="M281" s="6">
        <f t="shared" si="22"/>
        <v>-66000</v>
      </c>
      <c r="N281" s="21" t="str">
        <f t="shared" si="23"/>
        <v>Sobrante</v>
      </c>
      <c r="O281" s="9" t="s">
        <v>806</v>
      </c>
      <c r="P281" s="36">
        <v>39575034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s="36" customFormat="1" x14ac:dyDescent="0.35">
      <c r="A282" s="72">
        <v>191</v>
      </c>
      <c r="B282" s="28">
        <v>5112</v>
      </c>
      <c r="C282" s="18" t="str">
        <f>VLOOKUP(B282,'Lista MF'!B:C,2,0)</f>
        <v>BELLTECH</v>
      </c>
      <c r="D282" s="36" t="s">
        <v>6</v>
      </c>
      <c r="E282" s="29">
        <v>46092</v>
      </c>
      <c r="F282" s="29">
        <v>46091</v>
      </c>
      <c r="G282" s="45" t="s">
        <v>781</v>
      </c>
      <c r="H282" s="8">
        <v>241471100</v>
      </c>
      <c r="I282" s="31">
        <v>178543950</v>
      </c>
      <c r="J282" s="8">
        <v>14660000</v>
      </c>
      <c r="K282" s="8">
        <v>77586150</v>
      </c>
      <c r="L282" s="52"/>
      <c r="M282" s="6">
        <f t="shared" si="22"/>
        <v>-1000</v>
      </c>
      <c r="N282" s="21" t="str">
        <f t="shared" si="23"/>
        <v>Sobrante</v>
      </c>
      <c r="O282" s="9" t="s">
        <v>806</v>
      </c>
      <c r="P282" s="36">
        <v>80812756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s="36" customFormat="1" x14ac:dyDescent="0.35">
      <c r="A283" s="72">
        <v>789</v>
      </c>
      <c r="B283" s="28">
        <v>5118</v>
      </c>
      <c r="C283" s="18" t="str">
        <f>VLOOKUP(B283,'Lista MF'!B:C,2,0)</f>
        <v>BELLTECH</v>
      </c>
      <c r="D283" s="36" t="s">
        <v>6</v>
      </c>
      <c r="E283" s="29">
        <v>46092</v>
      </c>
      <c r="F283" s="29">
        <v>46091</v>
      </c>
      <c r="G283" s="45" t="s">
        <v>782</v>
      </c>
      <c r="H283" s="8">
        <v>47322000</v>
      </c>
      <c r="I283" s="31">
        <v>239926000</v>
      </c>
      <c r="J283" s="8">
        <v>4220000</v>
      </c>
      <c r="K283" s="8">
        <v>35089000</v>
      </c>
      <c r="L283" s="52" t="s">
        <v>804</v>
      </c>
      <c r="M283" s="6" t="e">
        <f t="shared" si="22"/>
        <v>#VALUE!</v>
      </c>
      <c r="N283" s="21" t="e">
        <f t="shared" si="23"/>
        <v>#VALUE!</v>
      </c>
      <c r="O283" s="9" t="s">
        <v>806</v>
      </c>
      <c r="P283" s="36">
        <v>1102835683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s="36" customFormat="1" x14ac:dyDescent="0.35">
      <c r="A284" s="72">
        <v>40</v>
      </c>
      <c r="B284" s="28">
        <v>5142</v>
      </c>
      <c r="C284" s="18" t="str">
        <f>VLOOKUP(B284,'Lista MF'!B:C,2,0)</f>
        <v>BELLTECH</v>
      </c>
      <c r="D284" s="36" t="s">
        <v>6</v>
      </c>
      <c r="E284" s="29">
        <v>46092</v>
      </c>
      <c r="F284" s="29">
        <v>46091</v>
      </c>
      <c r="G284" s="45" t="s">
        <v>682</v>
      </c>
      <c r="H284" s="8">
        <v>360066200</v>
      </c>
      <c r="I284" s="31">
        <v>372136200</v>
      </c>
      <c r="J284" s="8">
        <v>13500000</v>
      </c>
      <c r="K284" s="8">
        <v>0</v>
      </c>
      <c r="L284" s="52"/>
      <c r="M284" s="6">
        <f t="shared" si="22"/>
        <v>-1430000</v>
      </c>
      <c r="N284" s="21" t="str">
        <f t="shared" si="23"/>
        <v>Sobrante</v>
      </c>
      <c r="O284" s="9" t="s">
        <v>806</v>
      </c>
      <c r="P284" s="36">
        <v>36312040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s="36" customFormat="1" x14ac:dyDescent="0.35">
      <c r="A285" s="72">
        <v>812</v>
      </c>
      <c r="B285" s="28">
        <v>5144</v>
      </c>
      <c r="C285" s="18" t="str">
        <f>VLOOKUP(B285,'Lista MF'!B:C,2,0)</f>
        <v>BELLTECH</v>
      </c>
      <c r="D285" s="36" t="s">
        <v>6</v>
      </c>
      <c r="E285" s="29">
        <v>46092</v>
      </c>
      <c r="F285" s="29">
        <v>46091</v>
      </c>
      <c r="G285" s="45" t="s">
        <v>589</v>
      </c>
      <c r="H285" s="8">
        <v>365382300</v>
      </c>
      <c r="I285" s="31">
        <v>268682200</v>
      </c>
      <c r="J285" s="8">
        <v>15640000</v>
      </c>
      <c r="K285" s="8">
        <v>107739600</v>
      </c>
      <c r="L285" s="52"/>
      <c r="M285" s="6">
        <f t="shared" si="22"/>
        <v>-4600500</v>
      </c>
      <c r="N285" s="21" t="str">
        <f t="shared" si="23"/>
        <v>Sobrante</v>
      </c>
      <c r="O285" s="9" t="s">
        <v>806</v>
      </c>
      <c r="P285" s="36">
        <v>31711383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s="36" customFormat="1" x14ac:dyDescent="0.35">
      <c r="A286" s="72">
        <v>358</v>
      </c>
      <c r="B286" s="28">
        <v>5149</v>
      </c>
      <c r="C286" s="18" t="str">
        <f>VLOOKUP(B286,'Lista MF'!B:C,2,0)</f>
        <v>BELLTECH</v>
      </c>
      <c r="D286" s="36" t="s">
        <v>6</v>
      </c>
      <c r="E286" s="29">
        <v>46092</v>
      </c>
      <c r="F286" s="29">
        <v>46091</v>
      </c>
      <c r="G286" s="45" t="s">
        <v>583</v>
      </c>
      <c r="H286" s="8">
        <v>215885950</v>
      </c>
      <c r="I286" s="31">
        <v>206727800</v>
      </c>
      <c r="J286" s="8">
        <v>15100000</v>
      </c>
      <c r="K286" s="8">
        <v>19062150</v>
      </c>
      <c r="L286" s="52"/>
      <c r="M286" s="6">
        <f t="shared" si="22"/>
        <v>-5196000</v>
      </c>
      <c r="N286" s="21" t="str">
        <f t="shared" si="23"/>
        <v>Sobrante</v>
      </c>
      <c r="O286" s="9" t="s">
        <v>806</v>
      </c>
      <c r="P286" s="36">
        <v>46456877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s="36" customFormat="1" x14ac:dyDescent="0.35">
      <c r="A287" s="72">
        <v>70</v>
      </c>
      <c r="B287" s="28">
        <v>5164</v>
      </c>
      <c r="C287" s="18" t="str">
        <f>VLOOKUP(B287,'Lista MF'!B:C,2,0)</f>
        <v>BELLTECH</v>
      </c>
      <c r="D287" s="36" t="s">
        <v>6</v>
      </c>
      <c r="E287" s="29">
        <v>46092</v>
      </c>
      <c r="F287" s="29">
        <v>46091</v>
      </c>
      <c r="G287" s="45" t="s">
        <v>654</v>
      </c>
      <c r="H287" s="8">
        <v>263572150</v>
      </c>
      <c r="I287" s="31">
        <v>238456500</v>
      </c>
      <c r="J287" s="8">
        <v>3570000</v>
      </c>
      <c r="K287" s="8">
        <v>30530650</v>
      </c>
      <c r="L287" s="52"/>
      <c r="M287" s="6">
        <f t="shared" si="22"/>
        <v>1845000</v>
      </c>
      <c r="N287" s="21" t="str">
        <f t="shared" si="23"/>
        <v>Faltante</v>
      </c>
      <c r="O287" s="55" t="s">
        <v>622</v>
      </c>
      <c r="P287" s="36">
        <v>1053770486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s="36" customFormat="1" x14ac:dyDescent="0.35">
      <c r="A288" s="72">
        <v>363</v>
      </c>
      <c r="B288" s="28">
        <v>5168</v>
      </c>
      <c r="C288" s="18" t="str">
        <f>VLOOKUP(B288,'Lista MF'!B:C,2,0)</f>
        <v>BELLTECH</v>
      </c>
      <c r="D288" s="36" t="s">
        <v>6</v>
      </c>
      <c r="E288" s="29">
        <v>46092</v>
      </c>
      <c r="F288" s="29">
        <v>46091</v>
      </c>
      <c r="G288" s="45" t="s">
        <v>750</v>
      </c>
      <c r="H288" s="8">
        <v>340579350</v>
      </c>
      <c r="I288" s="31">
        <v>345006350</v>
      </c>
      <c r="J288" s="8">
        <v>9810000</v>
      </c>
      <c r="K288" s="8">
        <v>3100000</v>
      </c>
      <c r="L288" s="52"/>
      <c r="M288" s="6">
        <f t="shared" si="22"/>
        <v>-2283000</v>
      </c>
      <c r="N288" s="21" t="str">
        <f t="shared" si="23"/>
        <v>Sobrante</v>
      </c>
      <c r="O288" s="9" t="s">
        <v>806</v>
      </c>
      <c r="P288" s="36">
        <v>33646675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s="36" customFormat="1" x14ac:dyDescent="0.35">
      <c r="A289" s="72">
        <v>302</v>
      </c>
      <c r="B289" s="28">
        <v>5170</v>
      </c>
      <c r="C289" s="18" t="str">
        <f>VLOOKUP(B289,'Lista MF'!B:C,2,0)</f>
        <v>BELLTECH</v>
      </c>
      <c r="D289" s="36" t="s">
        <v>6</v>
      </c>
      <c r="E289" s="29">
        <v>46092</v>
      </c>
      <c r="F289" s="29">
        <v>46091</v>
      </c>
      <c r="G289" s="45" t="s">
        <v>783</v>
      </c>
      <c r="H289" s="8">
        <v>99606900</v>
      </c>
      <c r="I289" s="31">
        <v>204753100</v>
      </c>
      <c r="J289" s="8">
        <v>13120000</v>
      </c>
      <c r="K289" s="8">
        <v>31223800</v>
      </c>
      <c r="L289" s="52">
        <v>123240000</v>
      </c>
      <c r="M289" s="6">
        <f t="shared" si="22"/>
        <v>10000</v>
      </c>
      <c r="N289" s="21" t="str">
        <f t="shared" si="23"/>
        <v>Faltante</v>
      </c>
      <c r="O289" s="13" t="s">
        <v>805</v>
      </c>
      <c r="P289" s="36">
        <v>1102374502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s="36" customFormat="1" x14ac:dyDescent="0.35">
      <c r="A290" s="72">
        <v>253</v>
      </c>
      <c r="B290" s="28">
        <v>5176</v>
      </c>
      <c r="C290" s="18" t="str">
        <f>VLOOKUP(B290,'Lista MF'!B:C,2,0)</f>
        <v>BELLTECH</v>
      </c>
      <c r="D290" s="36" t="s">
        <v>6</v>
      </c>
      <c r="E290" s="29">
        <v>46092</v>
      </c>
      <c r="F290" s="29">
        <v>46091</v>
      </c>
      <c r="G290" s="45" t="s">
        <v>573</v>
      </c>
      <c r="H290" s="8">
        <v>263606750</v>
      </c>
      <c r="I290" s="31">
        <v>250669750</v>
      </c>
      <c r="J290" s="8">
        <v>7310000</v>
      </c>
      <c r="K290" s="8">
        <v>13345000</v>
      </c>
      <c r="L290" s="52"/>
      <c r="M290" s="6">
        <f t="shared" si="22"/>
        <v>-6902000</v>
      </c>
      <c r="N290" s="21" t="str">
        <f t="shared" si="23"/>
        <v>Sobrante</v>
      </c>
      <c r="O290" s="9" t="s">
        <v>806</v>
      </c>
      <c r="P290" s="36">
        <v>1017241432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s="36" customFormat="1" x14ac:dyDescent="0.35">
      <c r="A291" s="72">
        <v>716</v>
      </c>
      <c r="B291" s="28">
        <v>5192</v>
      </c>
      <c r="C291" s="18" t="str">
        <f>VLOOKUP(B291,'Lista MF'!B:C,2,0)</f>
        <v>BELLTECH</v>
      </c>
      <c r="D291" s="36" t="s">
        <v>6</v>
      </c>
      <c r="E291" s="29">
        <v>46092</v>
      </c>
      <c r="F291" s="29">
        <v>46091</v>
      </c>
      <c r="G291" s="45" t="s">
        <v>784</v>
      </c>
      <c r="H291" s="8">
        <v>94632700</v>
      </c>
      <c r="I291" s="31">
        <v>59457900</v>
      </c>
      <c r="J291" s="8">
        <v>17580000</v>
      </c>
      <c r="K291" s="8">
        <v>52750000</v>
      </c>
      <c r="L291" s="52"/>
      <c r="M291" s="6">
        <f t="shared" si="22"/>
        <v>-4800</v>
      </c>
      <c r="N291" s="21" t="str">
        <f t="shared" si="23"/>
        <v>Sobrante</v>
      </c>
      <c r="O291" s="9" t="s">
        <v>806</v>
      </c>
      <c r="P291" s="36">
        <v>1144081082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s="36" customFormat="1" x14ac:dyDescent="0.35">
      <c r="A292" s="72">
        <v>674</v>
      </c>
      <c r="B292" s="28">
        <v>5200</v>
      </c>
      <c r="C292" s="18" t="str">
        <f>VLOOKUP(B292,'Lista MF'!B:C,2,0)</f>
        <v>BELLTECH</v>
      </c>
      <c r="D292" s="36" t="s">
        <v>6</v>
      </c>
      <c r="E292" s="29">
        <v>46092</v>
      </c>
      <c r="F292" s="29">
        <v>46091</v>
      </c>
      <c r="G292" s="45" t="s">
        <v>638</v>
      </c>
      <c r="H292" s="8">
        <v>140168250</v>
      </c>
      <c r="I292" s="31">
        <v>141329250</v>
      </c>
      <c r="J292" s="8">
        <v>5780000</v>
      </c>
      <c r="K292" s="8">
        <v>7499000</v>
      </c>
      <c r="L292" s="52">
        <f>480000+2400000</f>
        <v>2880000</v>
      </c>
      <c r="M292" s="6">
        <f t="shared" si="22"/>
        <v>0</v>
      </c>
      <c r="N292" s="21" t="str">
        <f t="shared" si="23"/>
        <v>Cuadrado</v>
      </c>
      <c r="O292" s="4" t="s">
        <v>811</v>
      </c>
      <c r="P292" s="36">
        <v>79813088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s="36" customFormat="1" x14ac:dyDescent="0.35">
      <c r="A293" s="72">
        <v>606</v>
      </c>
      <c r="B293" s="28">
        <v>5201</v>
      </c>
      <c r="C293" s="18" t="str">
        <f>VLOOKUP(B293,'Lista MF'!B:C,2,0)</f>
        <v>BELLTECH</v>
      </c>
      <c r="D293" s="36" t="s">
        <v>6</v>
      </c>
      <c r="E293" s="29">
        <v>46092</v>
      </c>
      <c r="F293" s="29">
        <v>46091</v>
      </c>
      <c r="G293" s="45" t="s">
        <v>756</v>
      </c>
      <c r="H293" s="8">
        <v>172851050</v>
      </c>
      <c r="I293" s="31">
        <v>137350250</v>
      </c>
      <c r="J293" s="8">
        <v>8780000</v>
      </c>
      <c r="K293" s="8">
        <v>43280800</v>
      </c>
      <c r="L293" s="52"/>
      <c r="M293" s="6">
        <f t="shared" si="22"/>
        <v>-1000000</v>
      </c>
      <c r="N293" s="21" t="str">
        <f t="shared" si="23"/>
        <v>Sobrante</v>
      </c>
      <c r="O293" s="9" t="s">
        <v>806</v>
      </c>
      <c r="P293" s="36">
        <v>33368879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s="36" customFormat="1" x14ac:dyDescent="0.35">
      <c r="A294" s="72">
        <v>625</v>
      </c>
      <c r="B294" s="28">
        <v>6096</v>
      </c>
      <c r="C294" s="18" t="str">
        <f>VLOOKUP(B294,'Lista MF'!B:C,2,0)</f>
        <v>BELLTECH</v>
      </c>
      <c r="D294" s="36" t="s">
        <v>6</v>
      </c>
      <c r="E294" s="29">
        <v>46092</v>
      </c>
      <c r="F294" s="29">
        <v>46091</v>
      </c>
      <c r="G294" s="45" t="s">
        <v>785</v>
      </c>
      <c r="H294" s="8">
        <v>159322350</v>
      </c>
      <c r="I294" s="31">
        <v>154572350</v>
      </c>
      <c r="J294" s="8">
        <v>6390000</v>
      </c>
      <c r="K294" s="8">
        <v>680000</v>
      </c>
      <c r="L294" s="52">
        <v>-510000</v>
      </c>
      <c r="M294" s="6">
        <f t="shared" si="22"/>
        <v>-9950000</v>
      </c>
      <c r="N294" s="21" t="str">
        <f t="shared" si="23"/>
        <v>Sobrante</v>
      </c>
      <c r="O294" s="9" t="s">
        <v>806</v>
      </c>
      <c r="P294" s="36">
        <v>1128427898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s="36" customFormat="1" x14ac:dyDescent="0.35">
      <c r="A295" s="72">
        <v>352</v>
      </c>
      <c r="B295" s="28">
        <v>6618</v>
      </c>
      <c r="C295" s="18" t="str">
        <f>VLOOKUP(B295,'Lista MF'!B:C,2,0)</f>
        <v>BELLTECH</v>
      </c>
      <c r="D295" s="36" t="s">
        <v>6</v>
      </c>
      <c r="E295" s="29">
        <v>46092</v>
      </c>
      <c r="F295" s="29">
        <v>46091</v>
      </c>
      <c r="G295" s="45" t="s">
        <v>568</v>
      </c>
      <c r="H295" s="8">
        <v>112715400</v>
      </c>
      <c r="I295" s="31">
        <v>181161000</v>
      </c>
      <c r="J295" s="8">
        <v>4520000</v>
      </c>
      <c r="K295" s="8">
        <v>27330000</v>
      </c>
      <c r="L295" s="52"/>
      <c r="M295" s="6">
        <f t="shared" si="22"/>
        <v>91255600</v>
      </c>
      <c r="N295" s="21" t="str">
        <f t="shared" si="23"/>
        <v>Faltante</v>
      </c>
      <c r="O295" s="55" t="s">
        <v>622</v>
      </c>
      <c r="P295" s="36">
        <v>28559006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s="36" customFormat="1" x14ac:dyDescent="0.35">
      <c r="A296" s="72">
        <v>843</v>
      </c>
      <c r="B296" s="28">
        <v>6716</v>
      </c>
      <c r="C296" s="18" t="str">
        <f>VLOOKUP(B296,'Lista MF'!B:C,2,0)</f>
        <v>BELLTECH</v>
      </c>
      <c r="D296" s="36" t="s">
        <v>6</v>
      </c>
      <c r="E296" s="29">
        <v>46092</v>
      </c>
      <c r="F296" s="29">
        <v>46091</v>
      </c>
      <c r="G296" s="45" t="s">
        <v>706</v>
      </c>
      <c r="H296" s="8">
        <v>147471800</v>
      </c>
      <c r="I296" s="31">
        <v>162062800</v>
      </c>
      <c r="J296" s="8">
        <v>29630000</v>
      </c>
      <c r="K296" s="8">
        <v>7140000</v>
      </c>
      <c r="L296" s="52"/>
      <c r="M296" s="6">
        <f t="shared" si="22"/>
        <v>-7899000</v>
      </c>
      <c r="N296" s="21" t="str">
        <f t="shared" si="23"/>
        <v>Sobrante</v>
      </c>
      <c r="O296" s="9" t="s">
        <v>806</v>
      </c>
      <c r="P296" s="36">
        <v>1122728358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s="36" customFormat="1" x14ac:dyDescent="0.35">
      <c r="A297" s="72">
        <v>371</v>
      </c>
      <c r="B297" s="28">
        <v>6718</v>
      </c>
      <c r="C297" s="18" t="str">
        <f>VLOOKUP(B297,'Lista MF'!B:C,2,0)</f>
        <v>BELLTECH</v>
      </c>
      <c r="D297" s="36" t="s">
        <v>6</v>
      </c>
      <c r="E297" s="29">
        <v>46092</v>
      </c>
      <c r="F297" s="29">
        <v>46091</v>
      </c>
      <c r="G297" s="45" t="s">
        <v>585</v>
      </c>
      <c r="H297" s="8">
        <v>387051950</v>
      </c>
      <c r="I297" s="31">
        <v>393301950</v>
      </c>
      <c r="J297" s="8">
        <v>9950000</v>
      </c>
      <c r="K297" s="8">
        <v>0</v>
      </c>
      <c r="L297" s="52"/>
      <c r="M297" s="6">
        <f t="shared" si="22"/>
        <v>-3700000</v>
      </c>
      <c r="N297" s="21" t="str">
        <f t="shared" si="23"/>
        <v>Sobrante</v>
      </c>
      <c r="O297" s="9" t="s">
        <v>806</v>
      </c>
      <c r="P297" s="36">
        <v>39279278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s="36" customFormat="1" x14ac:dyDescent="0.35">
      <c r="A298" s="72">
        <v>506</v>
      </c>
      <c r="B298" s="28">
        <v>7316</v>
      </c>
      <c r="C298" s="18" t="str">
        <f>VLOOKUP(B298,'Lista MF'!B:C,2,0)</f>
        <v>DIEBOLD</v>
      </c>
      <c r="D298" s="36" t="s">
        <v>6</v>
      </c>
      <c r="E298" s="29">
        <v>46092</v>
      </c>
      <c r="F298" s="29">
        <v>46091</v>
      </c>
      <c r="G298" s="45" t="s">
        <v>786</v>
      </c>
      <c r="H298" s="8">
        <v>206374450</v>
      </c>
      <c r="I298" s="31">
        <v>199850050</v>
      </c>
      <c r="J298" s="8">
        <v>530000</v>
      </c>
      <c r="K298" s="8">
        <v>5128000</v>
      </c>
      <c r="L298" s="52"/>
      <c r="M298" s="6">
        <f t="shared" si="22"/>
        <v>-1926400</v>
      </c>
      <c r="N298" s="21" t="str">
        <f t="shared" si="23"/>
        <v>Sobrante</v>
      </c>
      <c r="O298" s="9" t="s">
        <v>806</v>
      </c>
      <c r="P298" s="36">
        <v>1102824257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s="36" customFormat="1" x14ac:dyDescent="0.35">
      <c r="A299" s="72">
        <v>812</v>
      </c>
      <c r="B299" s="28">
        <v>7613</v>
      </c>
      <c r="C299" s="18" t="str">
        <f>VLOOKUP(B299,'Lista MF'!B:C,2,0)</f>
        <v>DIEBOLD</v>
      </c>
      <c r="D299" s="36" t="s">
        <v>99</v>
      </c>
      <c r="E299" s="29">
        <v>46092</v>
      </c>
      <c r="F299" s="29">
        <v>46091</v>
      </c>
      <c r="G299" s="45" t="s">
        <v>787</v>
      </c>
      <c r="H299" s="8">
        <v>95478850</v>
      </c>
      <c r="I299" s="31">
        <v>91637950</v>
      </c>
      <c r="J299" s="8">
        <v>4800000</v>
      </c>
      <c r="K299" s="8">
        <v>2675000</v>
      </c>
      <c r="L299" s="52">
        <v>-2130900</v>
      </c>
      <c r="M299" s="6">
        <f t="shared" si="22"/>
        <v>-3835000</v>
      </c>
      <c r="N299" s="21" t="str">
        <f t="shared" si="23"/>
        <v>Sobrante</v>
      </c>
      <c r="O299" s="9" t="s">
        <v>806</v>
      </c>
      <c r="P299" s="36">
        <v>31711383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s="36" customFormat="1" x14ac:dyDescent="0.35">
      <c r="A300" s="72">
        <v>812</v>
      </c>
      <c r="B300" s="28">
        <v>7614</v>
      </c>
      <c r="C300" s="18" t="str">
        <f>VLOOKUP(B300,'Lista MF'!B:C,2,0)</f>
        <v>DIEBOLD</v>
      </c>
      <c r="D300" s="36" t="s">
        <v>99</v>
      </c>
      <c r="E300" s="29">
        <v>46092</v>
      </c>
      <c r="F300" s="29">
        <v>46091</v>
      </c>
      <c r="G300" s="45" t="s">
        <v>713</v>
      </c>
      <c r="H300" s="8">
        <v>193328250</v>
      </c>
      <c r="I300" s="31">
        <v>164466200</v>
      </c>
      <c r="J300" s="8">
        <v>1740000</v>
      </c>
      <c r="K300" s="8">
        <v>28867950</v>
      </c>
      <c r="L300" s="52">
        <v>-38100</v>
      </c>
      <c r="M300" s="6">
        <f t="shared" si="22"/>
        <v>-1696000</v>
      </c>
      <c r="N300" s="21" t="str">
        <f t="shared" si="23"/>
        <v>Sobrante</v>
      </c>
      <c r="O300" s="9" t="s">
        <v>806</v>
      </c>
      <c r="P300" s="36">
        <v>31711383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 s="36" customFormat="1" x14ac:dyDescent="0.35">
      <c r="A301" s="72">
        <v>476</v>
      </c>
      <c r="B301" s="28">
        <v>7759</v>
      </c>
      <c r="C301" s="18" t="str">
        <f>VLOOKUP(B301,'Lista MF'!B:C,2,0)</f>
        <v>DIEBOLD</v>
      </c>
      <c r="D301" s="36" t="s">
        <v>99</v>
      </c>
      <c r="E301" s="29">
        <v>46092</v>
      </c>
      <c r="F301" s="29">
        <v>46091</v>
      </c>
      <c r="G301" s="45" t="s">
        <v>601</v>
      </c>
      <c r="H301" s="8">
        <v>76624400</v>
      </c>
      <c r="I301" s="31">
        <v>72501050</v>
      </c>
      <c r="J301" s="8">
        <v>2460000</v>
      </c>
      <c r="K301" s="8">
        <v>6500000</v>
      </c>
      <c r="L301" s="52"/>
      <c r="M301" s="6">
        <f t="shared" si="22"/>
        <v>-83350</v>
      </c>
      <c r="N301" s="21" t="str">
        <f t="shared" si="23"/>
        <v>Sobrante</v>
      </c>
      <c r="O301" s="9" t="s">
        <v>806</v>
      </c>
      <c r="P301" s="36">
        <v>1094240170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s="36" customFormat="1" x14ac:dyDescent="0.35">
      <c r="A302" s="72">
        <v>7</v>
      </c>
      <c r="B302" s="28">
        <v>7812</v>
      </c>
      <c r="C302" s="18" t="str">
        <f>VLOOKUP(B302,'Lista MF'!B:C,2,0)</f>
        <v>DIEBOLD</v>
      </c>
      <c r="D302" s="36" t="s">
        <v>99</v>
      </c>
      <c r="E302" s="29">
        <v>46092</v>
      </c>
      <c r="F302" s="29">
        <v>46091</v>
      </c>
      <c r="G302" s="45" t="s">
        <v>788</v>
      </c>
      <c r="H302" s="8">
        <v>72975250</v>
      </c>
      <c r="I302" s="31">
        <v>73365250</v>
      </c>
      <c r="J302" s="8">
        <v>4230000</v>
      </c>
      <c r="K302" s="8">
        <v>4450000</v>
      </c>
      <c r="L302" s="52"/>
      <c r="M302" s="6">
        <f t="shared" si="22"/>
        <v>610000</v>
      </c>
      <c r="N302" s="21" t="str">
        <f t="shared" si="23"/>
        <v>Faltante</v>
      </c>
      <c r="O302" s="55" t="s">
        <v>622</v>
      </c>
      <c r="P302" s="36">
        <v>1020460907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s="36" customFormat="1" x14ac:dyDescent="0.35">
      <c r="A303" s="72">
        <v>609</v>
      </c>
      <c r="B303" s="28">
        <v>7875</v>
      </c>
      <c r="C303" s="18" t="str">
        <f>VLOOKUP(B303,'Lista MF'!B:C,2,0)</f>
        <v>BELLTECH</v>
      </c>
      <c r="D303" s="36" t="s">
        <v>6</v>
      </c>
      <c r="E303" s="29">
        <v>46092</v>
      </c>
      <c r="F303" s="29">
        <v>46091</v>
      </c>
      <c r="G303" s="45" t="s">
        <v>789</v>
      </c>
      <c r="H303" s="8">
        <v>215782650</v>
      </c>
      <c r="I303" s="31">
        <v>219490650</v>
      </c>
      <c r="J303" s="8">
        <v>48340000</v>
      </c>
      <c r="K303" s="8">
        <v>39588000</v>
      </c>
      <c r="L303" s="52"/>
      <c r="M303" s="6">
        <f t="shared" si="22"/>
        <v>-5044000</v>
      </c>
      <c r="N303" s="21" t="str">
        <f t="shared" si="23"/>
        <v>Sobrante</v>
      </c>
      <c r="O303" s="9" t="s">
        <v>806</v>
      </c>
      <c r="P303" s="36">
        <v>98695047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s="36" customFormat="1" x14ac:dyDescent="0.35">
      <c r="A304" s="72">
        <v>609</v>
      </c>
      <c r="B304" s="28">
        <v>7888</v>
      </c>
      <c r="C304" s="18" t="str">
        <f>VLOOKUP(B304,'Lista MF'!B:C,2,0)</f>
        <v>BELLTECH</v>
      </c>
      <c r="D304" s="36" t="s">
        <v>6</v>
      </c>
      <c r="E304" s="29">
        <v>46092</v>
      </c>
      <c r="F304" s="29">
        <v>46091</v>
      </c>
      <c r="G304" s="45" t="s">
        <v>556</v>
      </c>
      <c r="H304" s="8">
        <v>175042400</v>
      </c>
      <c r="I304" s="31">
        <v>154832050</v>
      </c>
      <c r="J304" s="8">
        <v>19020000</v>
      </c>
      <c r="K304" s="8">
        <v>14932000</v>
      </c>
      <c r="L304" s="52"/>
      <c r="M304" s="6">
        <f t="shared" si="22"/>
        <v>-24298350</v>
      </c>
      <c r="N304" s="21" t="str">
        <f t="shared" si="23"/>
        <v>Sobrante</v>
      </c>
      <c r="O304" s="9" t="s">
        <v>806</v>
      </c>
      <c r="P304" s="36">
        <v>98695047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s="36" customFormat="1" x14ac:dyDescent="0.35">
      <c r="A305" s="72">
        <v>166</v>
      </c>
      <c r="B305" s="28">
        <v>7939</v>
      </c>
      <c r="C305" s="18" t="str">
        <f>VLOOKUP(B305,'Lista MF'!B:C,2,0)</f>
        <v>BELLTECH</v>
      </c>
      <c r="D305" s="36" t="s">
        <v>6</v>
      </c>
      <c r="E305" s="29">
        <v>46092</v>
      </c>
      <c r="F305" s="29">
        <v>46091</v>
      </c>
      <c r="G305" s="45" t="s">
        <v>790</v>
      </c>
      <c r="H305" s="8">
        <v>244849450</v>
      </c>
      <c r="I305" s="31">
        <v>204451100</v>
      </c>
      <c r="J305" s="8">
        <v>1340000</v>
      </c>
      <c r="K305" s="8">
        <v>38538350</v>
      </c>
      <c r="L305" s="52"/>
      <c r="M305" s="6">
        <f t="shared" si="22"/>
        <v>-3200000</v>
      </c>
      <c r="N305" s="21" t="str">
        <f t="shared" si="23"/>
        <v>Sobrante</v>
      </c>
      <c r="O305" s="9" t="s">
        <v>806</v>
      </c>
      <c r="P305" s="36">
        <v>50938822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s="36" customFormat="1" x14ac:dyDescent="0.35">
      <c r="A306" s="72">
        <v>166</v>
      </c>
      <c r="B306" s="28">
        <v>7940</v>
      </c>
      <c r="C306" s="18" t="str">
        <f>VLOOKUP(B306,'Lista MF'!B:C,2,0)</f>
        <v>BELLTECH</v>
      </c>
      <c r="D306" s="36" t="s">
        <v>6</v>
      </c>
      <c r="E306" s="29">
        <v>46092</v>
      </c>
      <c r="F306" s="29">
        <v>46091</v>
      </c>
      <c r="G306" s="45" t="s">
        <v>654</v>
      </c>
      <c r="H306" s="8">
        <v>109275800</v>
      </c>
      <c r="I306" s="31">
        <v>67160850</v>
      </c>
      <c r="J306" s="8">
        <v>3840000</v>
      </c>
      <c r="K306" s="8">
        <v>46594900</v>
      </c>
      <c r="L306" s="52">
        <v>639950</v>
      </c>
      <c r="M306" s="6">
        <f t="shared" si="22"/>
        <v>0</v>
      </c>
      <c r="N306" s="21" t="str">
        <f t="shared" si="23"/>
        <v>Cuadrado</v>
      </c>
      <c r="O306" s="4" t="s">
        <v>812</v>
      </c>
      <c r="P306" s="36">
        <v>50938822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s="36" customFormat="1" x14ac:dyDescent="0.35">
      <c r="A307" s="72">
        <v>419</v>
      </c>
      <c r="B307" s="28">
        <v>7980</v>
      </c>
      <c r="C307" s="18" t="str">
        <f>VLOOKUP(B307,'Lista MF'!B:C,2,0)</f>
        <v>BELLTECH</v>
      </c>
      <c r="D307" s="36" t="s">
        <v>6</v>
      </c>
      <c r="E307" s="29">
        <v>46092</v>
      </c>
      <c r="F307" s="29">
        <v>46091</v>
      </c>
      <c r="G307" s="45" t="s">
        <v>542</v>
      </c>
      <c r="H307" s="8">
        <v>112468200</v>
      </c>
      <c r="I307" s="31">
        <v>106558200</v>
      </c>
      <c r="J307" s="8">
        <v>3960000</v>
      </c>
      <c r="K307" s="8">
        <v>8520000</v>
      </c>
      <c r="L307" s="52"/>
      <c r="M307" s="6">
        <f t="shared" si="22"/>
        <v>-1350000</v>
      </c>
      <c r="N307" s="21" t="str">
        <f t="shared" si="23"/>
        <v>Sobrante</v>
      </c>
      <c r="O307" s="9" t="s">
        <v>806</v>
      </c>
      <c r="P307" s="36">
        <v>79248430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s="36" customFormat="1" x14ac:dyDescent="0.35">
      <c r="A308" s="72">
        <v>810</v>
      </c>
      <c r="B308" s="28">
        <v>8204</v>
      </c>
      <c r="C308" s="18" t="str">
        <f>VLOOKUP(B308,'Lista MF'!B:C,2,0)</f>
        <v>BELLTECH</v>
      </c>
      <c r="D308" s="36" t="s">
        <v>6</v>
      </c>
      <c r="E308" s="29">
        <v>46092</v>
      </c>
      <c r="F308" s="29">
        <v>46091</v>
      </c>
      <c r="G308" s="45" t="s">
        <v>791</v>
      </c>
      <c r="H308" s="8">
        <v>239025150</v>
      </c>
      <c r="I308" s="31">
        <v>197021350</v>
      </c>
      <c r="J308" s="8">
        <v>2060000</v>
      </c>
      <c r="K308" s="8">
        <v>43083800</v>
      </c>
      <c r="L308" s="52">
        <v>-980000</v>
      </c>
      <c r="M308" s="6">
        <f t="shared" si="22"/>
        <v>0</v>
      </c>
      <c r="N308" s="21" t="str">
        <f t="shared" si="23"/>
        <v>Cuadrado</v>
      </c>
      <c r="O308" s="4" t="s">
        <v>590</v>
      </c>
      <c r="P308" s="36">
        <v>29682644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s="36" customFormat="1" x14ac:dyDescent="0.35">
      <c r="A309" s="72">
        <v>915</v>
      </c>
      <c r="B309" s="28">
        <v>8314</v>
      </c>
      <c r="C309" s="18" t="str">
        <f>VLOOKUP(B309,'Lista MF'!B:C,2,0)</f>
        <v>BELLTECH</v>
      </c>
      <c r="D309" s="36" t="s">
        <v>6</v>
      </c>
      <c r="E309" s="29">
        <v>46092</v>
      </c>
      <c r="F309" s="29">
        <v>46091</v>
      </c>
      <c r="G309" s="45" t="s">
        <v>792</v>
      </c>
      <c r="H309" s="8">
        <v>97882500</v>
      </c>
      <c r="I309" s="31">
        <v>83281000</v>
      </c>
      <c r="J309" s="8">
        <v>2260000</v>
      </c>
      <c r="K309" s="8">
        <v>16894000</v>
      </c>
      <c r="L309" s="52"/>
      <c r="M309" s="6">
        <f t="shared" si="22"/>
        <v>32500</v>
      </c>
      <c r="N309" s="21" t="str">
        <f t="shared" si="23"/>
        <v>Faltante</v>
      </c>
      <c r="O309" s="13" t="s">
        <v>805</v>
      </c>
      <c r="P309" s="36">
        <v>52279779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s="36" customFormat="1" ht="14" customHeight="1" x14ac:dyDescent="0.35">
      <c r="A310" s="72">
        <v>495</v>
      </c>
      <c r="B310" s="28">
        <v>8482</v>
      </c>
      <c r="C310" s="18" t="str">
        <f>VLOOKUP(B310,'Lista MF'!B:C,2,0)</f>
        <v>BELLTECH</v>
      </c>
      <c r="D310" s="36" t="s">
        <v>6</v>
      </c>
      <c r="E310" s="29">
        <v>46092</v>
      </c>
      <c r="F310" s="29">
        <v>46091</v>
      </c>
      <c r="G310" s="45" t="s">
        <v>537</v>
      </c>
      <c r="H310" s="8">
        <v>242178600</v>
      </c>
      <c r="I310" s="31">
        <v>219369600</v>
      </c>
      <c r="J310" s="8">
        <v>4000000</v>
      </c>
      <c r="K310" s="8">
        <v>27241000</v>
      </c>
      <c r="L310" s="52">
        <v>452000</v>
      </c>
      <c r="M310" s="6">
        <f t="shared" si="22"/>
        <v>-20000</v>
      </c>
      <c r="N310" s="21" t="str">
        <f t="shared" si="23"/>
        <v>Sobrante</v>
      </c>
      <c r="O310" s="9" t="s">
        <v>806</v>
      </c>
      <c r="P310" s="36">
        <v>1052081923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s="36" customFormat="1" x14ac:dyDescent="0.35">
      <c r="A311" s="72">
        <v>193</v>
      </c>
      <c r="B311" s="28">
        <v>8537</v>
      </c>
      <c r="C311" s="18" t="str">
        <f>VLOOKUP(B311,'Lista MF'!B:C,2,0)</f>
        <v>BELLTECH</v>
      </c>
      <c r="D311" s="36" t="s">
        <v>6</v>
      </c>
      <c r="E311" s="29">
        <v>46092</v>
      </c>
      <c r="F311" s="29">
        <v>46091</v>
      </c>
      <c r="G311" s="45" t="s">
        <v>793</v>
      </c>
      <c r="H311" s="8">
        <v>229716950</v>
      </c>
      <c r="I311" s="31">
        <v>216614950</v>
      </c>
      <c r="J311" s="8">
        <v>5650000</v>
      </c>
      <c r="K311" s="8">
        <v>18771250</v>
      </c>
      <c r="L311" s="52"/>
      <c r="M311" s="6">
        <f t="shared" si="22"/>
        <v>19250</v>
      </c>
      <c r="N311" s="21" t="str">
        <f t="shared" si="23"/>
        <v>Faltante</v>
      </c>
      <c r="O311" s="13" t="s">
        <v>805</v>
      </c>
      <c r="P311" s="36">
        <v>52048601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s="36" customFormat="1" x14ac:dyDescent="0.35">
      <c r="A312" s="72">
        <v>33</v>
      </c>
      <c r="B312" s="28">
        <v>8861</v>
      </c>
      <c r="C312" s="18" t="str">
        <f>VLOOKUP(B312,'Lista MF'!B:C,2,0)</f>
        <v>BELLTECH</v>
      </c>
      <c r="D312" s="36" t="s">
        <v>6</v>
      </c>
      <c r="E312" s="29">
        <v>46092</v>
      </c>
      <c r="F312" s="29">
        <v>46091</v>
      </c>
      <c r="G312" s="45" t="s">
        <v>712</v>
      </c>
      <c r="H312" s="8">
        <v>282990000</v>
      </c>
      <c r="I312" s="31">
        <v>263685000</v>
      </c>
      <c r="J312" s="8">
        <v>7040000</v>
      </c>
      <c r="K312" s="8">
        <v>0</v>
      </c>
      <c r="L312" s="52"/>
      <c r="M312" s="6">
        <f t="shared" si="22"/>
        <v>-26345000</v>
      </c>
      <c r="N312" s="21" t="str">
        <f t="shared" si="23"/>
        <v>Sobrante</v>
      </c>
      <c r="O312" s="9" t="s">
        <v>806</v>
      </c>
      <c r="P312" s="36">
        <v>79659379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s="36" customFormat="1" x14ac:dyDescent="0.35">
      <c r="A313" s="72">
        <v>225</v>
      </c>
      <c r="B313" s="28">
        <v>8869</v>
      </c>
      <c r="C313" s="18" t="str">
        <f>VLOOKUP(B313,'Lista MF'!B:C,2,0)</f>
        <v>BELLTECH</v>
      </c>
      <c r="D313" s="36" t="s">
        <v>6</v>
      </c>
      <c r="E313" s="29">
        <v>46092</v>
      </c>
      <c r="F313" s="29">
        <v>46091</v>
      </c>
      <c r="G313" s="45" t="s">
        <v>557</v>
      </c>
      <c r="H313" s="8">
        <v>190294450</v>
      </c>
      <c r="I313" s="31">
        <v>336681450</v>
      </c>
      <c r="J313" s="8">
        <v>14350000</v>
      </c>
      <c r="K313" s="8">
        <v>49502000</v>
      </c>
      <c r="L313" s="52" t="s">
        <v>803</v>
      </c>
      <c r="M313" s="6" t="e">
        <f t="shared" si="22"/>
        <v>#VALUE!</v>
      </c>
      <c r="N313" s="21" t="e">
        <f t="shared" si="23"/>
        <v>#VALUE!</v>
      </c>
      <c r="O313" s="4" t="s">
        <v>590</v>
      </c>
      <c r="P313" s="36">
        <v>80212698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s="36" customFormat="1" x14ac:dyDescent="0.35">
      <c r="A314" s="72">
        <v>721</v>
      </c>
      <c r="B314" s="28">
        <v>8896</v>
      </c>
      <c r="C314" s="18" t="str">
        <f>VLOOKUP(B314,'Lista MF'!B:C,2,0)</f>
        <v>BELLTECH</v>
      </c>
      <c r="D314" s="36" t="s">
        <v>6</v>
      </c>
      <c r="E314" s="29">
        <v>46092</v>
      </c>
      <c r="F314" s="29">
        <v>46091</v>
      </c>
      <c r="G314" s="45" t="s">
        <v>717</v>
      </c>
      <c r="H314" s="8">
        <v>145619900</v>
      </c>
      <c r="I314" s="31">
        <v>109303300</v>
      </c>
      <c r="J314" s="8">
        <v>9170000</v>
      </c>
      <c r="K314" s="8">
        <v>42120300</v>
      </c>
      <c r="L314" s="52"/>
      <c r="M314" s="6">
        <f t="shared" si="22"/>
        <v>-3366300</v>
      </c>
      <c r="N314" s="21" t="str">
        <f t="shared" si="23"/>
        <v>Sobrante</v>
      </c>
      <c r="O314" s="9" t="s">
        <v>806</v>
      </c>
      <c r="P314" s="36">
        <v>1088262262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s="36" customFormat="1" x14ac:dyDescent="0.35">
      <c r="A315" s="72">
        <v>721</v>
      </c>
      <c r="B315" s="28">
        <v>8897</v>
      </c>
      <c r="C315" s="18" t="str">
        <f>VLOOKUP(B315,'Lista MF'!B:C,2,0)</f>
        <v>DIEBOLD</v>
      </c>
      <c r="D315" s="36" t="s">
        <v>99</v>
      </c>
      <c r="E315" s="29">
        <v>46092</v>
      </c>
      <c r="F315" s="29">
        <v>46091</v>
      </c>
      <c r="G315" s="45" t="s">
        <v>794</v>
      </c>
      <c r="H315" s="8">
        <v>281783800</v>
      </c>
      <c r="I315" s="31">
        <v>269926100</v>
      </c>
      <c r="J315" s="8">
        <v>4790000</v>
      </c>
      <c r="K315" s="8">
        <v>16833100</v>
      </c>
      <c r="L315" s="52"/>
      <c r="M315" s="6">
        <f t="shared" si="22"/>
        <v>185400</v>
      </c>
      <c r="N315" s="21" t="str">
        <f t="shared" si="23"/>
        <v>Faltante</v>
      </c>
      <c r="O315" s="4" t="s">
        <v>622</v>
      </c>
      <c r="P315" s="36">
        <v>1088262262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s="36" customFormat="1" x14ac:dyDescent="0.35">
      <c r="A316" s="72">
        <v>890</v>
      </c>
      <c r="B316" s="28">
        <v>9584</v>
      </c>
      <c r="C316" s="18" t="str">
        <f>VLOOKUP(B316,'Lista MF'!B:C,2,0)</f>
        <v>BELLTECH</v>
      </c>
      <c r="D316" s="36" t="s">
        <v>6</v>
      </c>
      <c r="E316" s="29">
        <v>46092</v>
      </c>
      <c r="F316" s="29">
        <v>46091</v>
      </c>
      <c r="G316" s="45" t="s">
        <v>795</v>
      </c>
      <c r="H316" s="8">
        <v>57023150</v>
      </c>
      <c r="I316" s="31">
        <v>50063150</v>
      </c>
      <c r="J316" s="8">
        <v>0</v>
      </c>
      <c r="K316" s="8">
        <v>0</v>
      </c>
      <c r="L316" s="52">
        <v>-6960000</v>
      </c>
      <c r="M316" s="6">
        <f t="shared" si="22"/>
        <v>0</v>
      </c>
      <c r="N316" s="21" t="str">
        <f t="shared" si="23"/>
        <v>Cuadrado</v>
      </c>
      <c r="O316" s="4" t="s">
        <v>590</v>
      </c>
      <c r="P316" s="36">
        <v>1053835867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s="36" customFormat="1" x14ac:dyDescent="0.35">
      <c r="A317" s="72">
        <v>229</v>
      </c>
      <c r="B317" s="28">
        <v>9604</v>
      </c>
      <c r="C317" s="18" t="str">
        <f>VLOOKUP(B317,'Lista MF'!B:C,2,0)</f>
        <v>BELLTECH</v>
      </c>
      <c r="D317" s="36" t="s">
        <v>6</v>
      </c>
      <c r="E317" s="29">
        <v>46092</v>
      </c>
      <c r="F317" s="29">
        <v>46091</v>
      </c>
      <c r="G317" s="45" t="s">
        <v>784</v>
      </c>
      <c r="H317" s="8">
        <v>185072000</v>
      </c>
      <c r="I317" s="31">
        <v>177817050</v>
      </c>
      <c r="J317" s="8">
        <v>9210000</v>
      </c>
      <c r="K317" s="8">
        <v>16810000</v>
      </c>
      <c r="L317" s="52">
        <v>345050</v>
      </c>
      <c r="M317" s="6">
        <f t="shared" si="22"/>
        <v>0</v>
      </c>
      <c r="N317" s="21" t="str">
        <f t="shared" si="23"/>
        <v>Cuadrado</v>
      </c>
      <c r="O317" s="4" t="s">
        <v>813</v>
      </c>
      <c r="P317" s="36">
        <v>79653318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s="36" customFormat="1" x14ac:dyDescent="0.35">
      <c r="A318" s="72">
        <v>229</v>
      </c>
      <c r="B318" s="28">
        <v>9605</v>
      </c>
      <c r="C318" s="18" t="str">
        <f>VLOOKUP(B318,'Lista MF'!B:C,2,0)</f>
        <v>BELLTECH</v>
      </c>
      <c r="D318" s="36" t="s">
        <v>6</v>
      </c>
      <c r="E318" s="29">
        <v>46092</v>
      </c>
      <c r="F318" s="29">
        <v>46091</v>
      </c>
      <c r="G318" s="45" t="s">
        <v>796</v>
      </c>
      <c r="H318" s="8">
        <v>182128200</v>
      </c>
      <c r="I318" s="31">
        <v>138128200</v>
      </c>
      <c r="J318" s="8">
        <v>14820000</v>
      </c>
      <c r="K318" s="8">
        <v>1810000</v>
      </c>
      <c r="L318" s="52"/>
      <c r="M318" s="6">
        <f t="shared" si="22"/>
        <v>-57010000</v>
      </c>
      <c r="N318" s="21" t="str">
        <f t="shared" si="23"/>
        <v>Sobrante</v>
      </c>
      <c r="O318" s="4" t="s">
        <v>622</v>
      </c>
      <c r="P318" s="36">
        <v>79653318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s="36" customFormat="1" x14ac:dyDescent="0.35">
      <c r="A319" s="72">
        <v>849</v>
      </c>
      <c r="B319" s="28">
        <v>9724</v>
      </c>
      <c r="C319" s="18" t="str">
        <f>VLOOKUP(B319,'Lista MF'!B:C,2,0)</f>
        <v>BELLTECH</v>
      </c>
      <c r="D319" s="36" t="s">
        <v>6</v>
      </c>
      <c r="E319" s="29">
        <v>46092</v>
      </c>
      <c r="F319" s="29">
        <v>46091</v>
      </c>
      <c r="G319" s="45" t="s">
        <v>586</v>
      </c>
      <c r="H319" s="8">
        <v>31837750</v>
      </c>
      <c r="I319" s="31">
        <v>233606750</v>
      </c>
      <c r="J319" s="8">
        <v>9030000</v>
      </c>
      <c r="K319" s="8">
        <v>14470000</v>
      </c>
      <c r="L319" s="52">
        <v>207209000</v>
      </c>
      <c r="M319" s="6">
        <f t="shared" si="22"/>
        <v>0</v>
      </c>
      <c r="N319" s="21" t="str">
        <f t="shared" si="23"/>
        <v>Cuadrado</v>
      </c>
      <c r="O319" s="4" t="s">
        <v>590</v>
      </c>
      <c r="P319" s="36">
        <v>86063461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s="36" customFormat="1" x14ac:dyDescent="0.35">
      <c r="A320" s="72">
        <v>849</v>
      </c>
      <c r="B320" s="28">
        <v>9725</v>
      </c>
      <c r="C320" s="18" t="str">
        <f>VLOOKUP(B320,'Lista MF'!B:C,2,0)</f>
        <v>BELLTECH</v>
      </c>
      <c r="D320" s="36" t="s">
        <v>6</v>
      </c>
      <c r="E320" s="29">
        <v>46092</v>
      </c>
      <c r="F320" s="29">
        <v>46091</v>
      </c>
      <c r="G320" s="45" t="s">
        <v>768</v>
      </c>
      <c r="H320" s="8">
        <v>31231000</v>
      </c>
      <c r="I320" s="31">
        <v>196933000</v>
      </c>
      <c r="J320" s="8">
        <v>7090000</v>
      </c>
      <c r="K320" s="8">
        <v>16247000</v>
      </c>
      <c r="L320" s="52">
        <v>174859000</v>
      </c>
      <c r="M320" s="6">
        <f t="shared" si="22"/>
        <v>0</v>
      </c>
      <c r="N320" s="21" t="str">
        <f t="shared" si="23"/>
        <v>Cuadrado</v>
      </c>
      <c r="O320" s="4" t="s">
        <v>590</v>
      </c>
      <c r="P320" s="36">
        <v>86063461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s="36" customFormat="1" x14ac:dyDescent="0.35">
      <c r="A321" s="72">
        <v>499</v>
      </c>
      <c r="B321" s="28">
        <v>9811</v>
      </c>
      <c r="C321" s="18" t="str">
        <f>VLOOKUP(B321,'Lista MF'!B:C,2,0)</f>
        <v>BELLTECH</v>
      </c>
      <c r="D321" s="36" t="s">
        <v>6</v>
      </c>
      <c r="E321" s="29">
        <v>46092</v>
      </c>
      <c r="F321" s="29">
        <v>46091</v>
      </c>
      <c r="G321" s="45" t="s">
        <v>797</v>
      </c>
      <c r="H321" s="8">
        <v>114936100</v>
      </c>
      <c r="I321" s="31">
        <v>155994400</v>
      </c>
      <c r="J321" s="8">
        <v>0</v>
      </c>
      <c r="K321" s="8">
        <v>7870000</v>
      </c>
      <c r="L321" s="52"/>
      <c r="M321" s="6">
        <f t="shared" si="22"/>
        <v>48928300</v>
      </c>
      <c r="N321" s="21" t="str">
        <f t="shared" si="23"/>
        <v>Faltante</v>
      </c>
      <c r="O321" s="75" t="s">
        <v>877</v>
      </c>
      <c r="P321" s="36">
        <v>71337474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s="36" customFormat="1" x14ac:dyDescent="0.35">
      <c r="A322" s="72">
        <v>264</v>
      </c>
      <c r="B322" s="28">
        <v>9906</v>
      </c>
      <c r="C322" s="18" t="str">
        <f>VLOOKUP(B322,'Lista MF'!B:C,2,0)</f>
        <v>BELLTECH</v>
      </c>
      <c r="D322" s="36" t="s">
        <v>6</v>
      </c>
      <c r="E322" s="29">
        <v>46092</v>
      </c>
      <c r="F322" s="29">
        <v>46091</v>
      </c>
      <c r="G322" s="45" t="s">
        <v>765</v>
      </c>
      <c r="H322" s="8">
        <v>74860000</v>
      </c>
      <c r="I322" s="31">
        <v>77325700</v>
      </c>
      <c r="J322" s="8">
        <v>7900000</v>
      </c>
      <c r="K322" s="8">
        <v>5421000</v>
      </c>
      <c r="L322" s="52"/>
      <c r="M322" s="6">
        <f t="shared" si="22"/>
        <v>-13300</v>
      </c>
      <c r="N322" s="21" t="str">
        <f t="shared" si="23"/>
        <v>Sobrante</v>
      </c>
      <c r="O322" s="9" t="s">
        <v>806</v>
      </c>
      <c r="P322" s="36">
        <v>1069722520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s="36" customFormat="1" x14ac:dyDescent="0.35">
      <c r="A323" s="72">
        <v>61</v>
      </c>
      <c r="B323" s="28">
        <v>788</v>
      </c>
      <c r="C323" s="18" t="str">
        <f>VLOOKUP(B323,'Lista MF'!B:C,2,0)</f>
        <v>BELLTECH</v>
      </c>
      <c r="D323" s="36" t="s">
        <v>6</v>
      </c>
      <c r="E323" s="29">
        <v>46092</v>
      </c>
      <c r="F323" s="29">
        <v>46091</v>
      </c>
      <c r="G323" s="45" t="s">
        <v>798</v>
      </c>
      <c r="H323" s="8">
        <v>135628750</v>
      </c>
      <c r="I323" s="31">
        <v>127320750</v>
      </c>
      <c r="J323" s="8">
        <v>31040000</v>
      </c>
      <c r="K323" s="8">
        <v>39348000</v>
      </c>
      <c r="L323" s="52"/>
      <c r="M323" s="6">
        <f t="shared" ref="M323:M328" si="24">I323-(H323+J323-K323)-L323</f>
        <v>0</v>
      </c>
      <c r="N323" s="21" t="str">
        <f t="shared" ref="N323:N328" si="25">IF(M323="","",IF(M323=0,"Cuadrado",IF(M323&gt;0,"Faltante","Sobrante")))</f>
        <v>Cuadrado</v>
      </c>
      <c r="O323" s="4" t="s">
        <v>590</v>
      </c>
      <c r="P323" s="36">
        <v>16497924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s="36" customFormat="1" x14ac:dyDescent="0.35">
      <c r="A324" s="72">
        <v>277</v>
      </c>
      <c r="B324" s="28">
        <v>5021</v>
      </c>
      <c r="C324" s="18" t="str">
        <f>VLOOKUP(B324,'Lista MF'!B:C,2,0)</f>
        <v>BELLTECH</v>
      </c>
      <c r="D324" s="36" t="s">
        <v>6</v>
      </c>
      <c r="E324" s="29">
        <v>46092</v>
      </c>
      <c r="F324" s="29">
        <v>46091</v>
      </c>
      <c r="G324" s="45" t="s">
        <v>799</v>
      </c>
      <c r="H324" s="8">
        <v>201270350</v>
      </c>
      <c r="I324" s="31">
        <v>211422350</v>
      </c>
      <c r="J324" s="8">
        <v>11030000</v>
      </c>
      <c r="K324" s="8">
        <v>878000</v>
      </c>
      <c r="L324" s="52">
        <f>-1910000+1910000</f>
        <v>0</v>
      </c>
      <c r="M324" s="6">
        <f t="shared" si="24"/>
        <v>0</v>
      </c>
      <c r="N324" s="21" t="str">
        <f t="shared" si="25"/>
        <v>Cuadrado</v>
      </c>
      <c r="O324" s="4" t="s">
        <v>814</v>
      </c>
      <c r="P324" s="36">
        <v>32184677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s="36" customFormat="1" x14ac:dyDescent="0.35">
      <c r="A325" s="72">
        <v>511</v>
      </c>
      <c r="B325" s="28">
        <v>5122</v>
      </c>
      <c r="C325" s="18" t="str">
        <f>VLOOKUP(B325,'Lista MF'!B:C,2,0)</f>
        <v>BELLTECH</v>
      </c>
      <c r="D325" s="36" t="s">
        <v>6</v>
      </c>
      <c r="E325" s="29">
        <v>46092</v>
      </c>
      <c r="F325" s="29">
        <v>46091</v>
      </c>
      <c r="G325" s="45" t="s">
        <v>800</v>
      </c>
      <c r="H325" s="8">
        <v>281279000</v>
      </c>
      <c r="I325" s="31">
        <v>281279000</v>
      </c>
      <c r="J325" s="8">
        <v>0</v>
      </c>
      <c r="K325" s="8">
        <v>0</v>
      </c>
      <c r="L325" s="52"/>
      <c r="M325" s="6">
        <f t="shared" si="24"/>
        <v>0</v>
      </c>
      <c r="N325" s="21" t="str">
        <f t="shared" si="25"/>
        <v>Cuadrado</v>
      </c>
      <c r="O325" s="4" t="s">
        <v>590</v>
      </c>
      <c r="P325" s="36">
        <v>1152438348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s="36" customFormat="1" x14ac:dyDescent="0.35">
      <c r="A326" s="72">
        <v>300</v>
      </c>
      <c r="B326" s="28">
        <v>5139</v>
      </c>
      <c r="C326" s="18" t="str">
        <f>VLOOKUP(B326,'Lista MF'!B:C,2,0)</f>
        <v>BELLTECH</v>
      </c>
      <c r="D326" s="36" t="s">
        <v>6</v>
      </c>
      <c r="E326" s="29">
        <v>46092</v>
      </c>
      <c r="F326" s="29">
        <v>46091</v>
      </c>
      <c r="G326" s="45" t="s">
        <v>557</v>
      </c>
      <c r="H326" s="8">
        <v>152779650</v>
      </c>
      <c r="I326" s="31">
        <v>140756650</v>
      </c>
      <c r="J326" s="8">
        <v>25720000</v>
      </c>
      <c r="K326" s="8">
        <v>37743000</v>
      </c>
      <c r="L326" s="52"/>
      <c r="M326" s="6">
        <f t="shared" si="24"/>
        <v>0</v>
      </c>
      <c r="N326" s="21" t="str">
        <f t="shared" si="25"/>
        <v>Cuadrado</v>
      </c>
      <c r="O326" s="4" t="s">
        <v>590</v>
      </c>
      <c r="P326" s="36">
        <v>53097567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s="36" customFormat="1" x14ac:dyDescent="0.35">
      <c r="A327" s="72">
        <v>888</v>
      </c>
      <c r="B327" s="28">
        <v>6818</v>
      </c>
      <c r="C327" s="18" t="str">
        <f>VLOOKUP(B327,'Lista MF'!B:C,2,0)</f>
        <v>BELLTECH</v>
      </c>
      <c r="D327" s="36" t="s">
        <v>6</v>
      </c>
      <c r="E327" s="29">
        <v>46092</v>
      </c>
      <c r="F327" s="29">
        <v>46091</v>
      </c>
      <c r="G327" s="45" t="s">
        <v>801</v>
      </c>
      <c r="H327" s="8">
        <v>218620200</v>
      </c>
      <c r="I327" s="31">
        <v>227790200</v>
      </c>
      <c r="J327" s="8">
        <v>9170000</v>
      </c>
      <c r="K327" s="8">
        <v>0</v>
      </c>
      <c r="L327" s="52"/>
      <c r="M327" s="6">
        <f t="shared" si="24"/>
        <v>0</v>
      </c>
      <c r="N327" s="21" t="str">
        <f t="shared" si="25"/>
        <v>Cuadrado</v>
      </c>
      <c r="O327" s="4" t="s">
        <v>590</v>
      </c>
      <c r="P327" s="36">
        <v>1085921765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s="36" customFormat="1" ht="14" customHeight="1" x14ac:dyDescent="0.35">
      <c r="A328" s="72">
        <v>651</v>
      </c>
      <c r="B328" s="28">
        <v>7318</v>
      </c>
      <c r="C328" s="18" t="str">
        <f>VLOOKUP(B328,'Lista MF'!B:C,2,0)</f>
        <v>DIEBOLD</v>
      </c>
      <c r="D328" s="36" t="s">
        <v>6</v>
      </c>
      <c r="E328" s="29">
        <v>46092</v>
      </c>
      <c r="F328" s="29">
        <v>46091</v>
      </c>
      <c r="G328" s="45" t="s">
        <v>802</v>
      </c>
      <c r="H328" s="8">
        <v>145784350</v>
      </c>
      <c r="I328" s="31">
        <v>138463000</v>
      </c>
      <c r="J328" s="8">
        <v>7150000</v>
      </c>
      <c r="K328" s="8">
        <v>14471350</v>
      </c>
      <c r="L328" s="52">
        <f>-1040000+1040000</f>
        <v>0</v>
      </c>
      <c r="M328" s="6">
        <f t="shared" si="24"/>
        <v>0</v>
      </c>
      <c r="N328" s="21" t="str">
        <f t="shared" si="25"/>
        <v>Cuadrado</v>
      </c>
      <c r="O328" s="4" t="s">
        <v>815</v>
      </c>
      <c r="P328" s="36">
        <v>70136398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s="36" customFormat="1" x14ac:dyDescent="0.35">
      <c r="A329" s="72">
        <v>287</v>
      </c>
      <c r="B329" s="28">
        <v>907</v>
      </c>
      <c r="C329" s="18" t="str">
        <f>VLOOKUP(B329,'Lista MF'!B:C,2,0)</f>
        <v>DIEBOLD</v>
      </c>
      <c r="D329" s="77" t="s">
        <v>99</v>
      </c>
      <c r="E329" s="76">
        <v>46093</v>
      </c>
      <c r="F329" s="76">
        <v>46092</v>
      </c>
      <c r="G329" s="78" t="s">
        <v>577</v>
      </c>
      <c r="H329" s="79">
        <v>166877150</v>
      </c>
      <c r="I329" s="31">
        <f>156296250</f>
        <v>156296250</v>
      </c>
      <c r="J329" s="8">
        <v>19840000</v>
      </c>
      <c r="K329" s="8">
        <v>23116000</v>
      </c>
      <c r="L329" s="52"/>
      <c r="M329" s="6">
        <f t="shared" ref="M329:M374" si="26">I329-(H329+J329-K329)-L329</f>
        <v>-7304900</v>
      </c>
      <c r="N329" s="21" t="str">
        <f t="shared" ref="N329:N374" si="27">IF(M329="","",IF(M329=0,"Cuadrado",IF(M329&gt;0,"Faltante","Sobrante")))</f>
        <v>Sobrante</v>
      </c>
      <c r="O329" s="4" t="s">
        <v>836</v>
      </c>
      <c r="P329" s="36">
        <v>13566403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s="36" customFormat="1" x14ac:dyDescent="0.35">
      <c r="A330" s="72">
        <v>481</v>
      </c>
      <c r="B330" s="28">
        <v>1011</v>
      </c>
      <c r="C330" s="18" t="str">
        <f>VLOOKUP(B330,'Lista MF'!B:C,2,0)</f>
        <v>BELLTECH</v>
      </c>
      <c r="D330" s="36" t="s">
        <v>6</v>
      </c>
      <c r="E330" s="29">
        <v>46093</v>
      </c>
      <c r="F330" s="29">
        <v>46092</v>
      </c>
      <c r="G330" s="45" t="s">
        <v>788</v>
      </c>
      <c r="H330" s="8">
        <v>294327300</v>
      </c>
      <c r="I330" s="31">
        <v>277987300</v>
      </c>
      <c r="J330" s="8">
        <v>3520000</v>
      </c>
      <c r="K330" s="8">
        <v>11080000</v>
      </c>
      <c r="L330" s="52"/>
      <c r="M330" s="6">
        <f t="shared" si="26"/>
        <v>-8780000</v>
      </c>
      <c r="N330" s="21" t="str">
        <f t="shared" si="27"/>
        <v>Sobrante</v>
      </c>
      <c r="O330" s="9" t="s">
        <v>838</v>
      </c>
      <c r="P330" s="36">
        <v>1143439387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s="36" customFormat="1" x14ac:dyDescent="0.35">
      <c r="A331" s="72">
        <v>795</v>
      </c>
      <c r="B331" s="28">
        <v>1027</v>
      </c>
      <c r="C331" s="18" t="str">
        <f>VLOOKUP(B331,'Lista MF'!B:C,2,0)</f>
        <v>BELLTECH</v>
      </c>
      <c r="D331" s="36" t="s">
        <v>6</v>
      </c>
      <c r="E331" s="29">
        <v>46093</v>
      </c>
      <c r="F331" s="29">
        <v>46092</v>
      </c>
      <c r="G331" s="45" t="s">
        <v>816</v>
      </c>
      <c r="H331" s="8">
        <v>240081000</v>
      </c>
      <c r="I331" s="31">
        <v>240733000</v>
      </c>
      <c r="J331" s="8">
        <v>5760000</v>
      </c>
      <c r="K331" s="8">
        <v>5100000</v>
      </c>
      <c r="L331" s="52"/>
      <c r="M331" s="6">
        <f t="shared" si="26"/>
        <v>-8000</v>
      </c>
      <c r="N331" s="21" t="str">
        <f t="shared" si="27"/>
        <v>Sobrante</v>
      </c>
      <c r="O331" s="9" t="s">
        <v>838</v>
      </c>
      <c r="P331" s="36">
        <v>91274094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s="36" customFormat="1" x14ac:dyDescent="0.35">
      <c r="A332" s="72">
        <v>795</v>
      </c>
      <c r="B332" s="28">
        <v>1028</v>
      </c>
      <c r="C332" s="18" t="str">
        <f>VLOOKUP(B332,'Lista MF'!B:C,2,0)</f>
        <v>BELLTECH</v>
      </c>
      <c r="D332" s="36" t="s">
        <v>6</v>
      </c>
      <c r="E332" s="29">
        <v>46093</v>
      </c>
      <c r="F332" s="29">
        <v>46092</v>
      </c>
      <c r="G332" s="45" t="s">
        <v>817</v>
      </c>
      <c r="H332" s="8">
        <v>191401850</v>
      </c>
      <c r="I332" s="31">
        <v>183691850</v>
      </c>
      <c r="J332" s="8">
        <v>500000</v>
      </c>
      <c r="K332" s="8">
        <v>1906000</v>
      </c>
      <c r="L332" s="52"/>
      <c r="M332" s="6">
        <f t="shared" si="26"/>
        <v>-6304000</v>
      </c>
      <c r="N332" s="21" t="str">
        <f t="shared" si="27"/>
        <v>Sobrante</v>
      </c>
      <c r="O332" s="9" t="s">
        <v>838</v>
      </c>
      <c r="P332" s="36">
        <v>91274094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s="36" customFormat="1" x14ac:dyDescent="0.35">
      <c r="A333" s="72">
        <v>745</v>
      </c>
      <c r="B333" s="28">
        <v>1477</v>
      </c>
      <c r="C333" s="18" t="str">
        <f>VLOOKUP(B333,'Lista MF'!B:C,2,0)</f>
        <v>BELLTECH</v>
      </c>
      <c r="D333" s="36" t="s">
        <v>6</v>
      </c>
      <c r="E333" s="29">
        <v>46093</v>
      </c>
      <c r="F333" s="29">
        <v>46092</v>
      </c>
      <c r="G333" s="45" t="s">
        <v>818</v>
      </c>
      <c r="H333" s="8">
        <v>100915000</v>
      </c>
      <c r="I333" s="31">
        <v>86865150</v>
      </c>
      <c r="J333" s="8">
        <v>13520000</v>
      </c>
      <c r="K333" s="8">
        <v>27116000</v>
      </c>
      <c r="L333" s="52"/>
      <c r="M333" s="6">
        <f t="shared" si="26"/>
        <v>-453850</v>
      </c>
      <c r="N333" s="21" t="str">
        <f t="shared" si="27"/>
        <v>Sobrante</v>
      </c>
      <c r="O333" s="9" t="s">
        <v>838</v>
      </c>
      <c r="P333" s="36">
        <v>94543241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s="36" customFormat="1" ht="14" customHeight="1" x14ac:dyDescent="0.35">
      <c r="A334" s="72">
        <v>777</v>
      </c>
      <c r="B334" s="28">
        <v>4868</v>
      </c>
      <c r="C334" s="18" t="str">
        <f>VLOOKUP(B334,'Lista MF'!B:C,2,0)</f>
        <v>DIEBOLD</v>
      </c>
      <c r="D334" s="36" t="s">
        <v>99</v>
      </c>
      <c r="E334" s="29">
        <v>46093</v>
      </c>
      <c r="F334" s="29">
        <v>46092</v>
      </c>
      <c r="G334" s="45" t="s">
        <v>792</v>
      </c>
      <c r="H334" s="8">
        <v>62648950</v>
      </c>
      <c r="I334" s="31">
        <v>50010950</v>
      </c>
      <c r="J334" s="8">
        <v>2860000</v>
      </c>
      <c r="K334" s="8">
        <v>15783000</v>
      </c>
      <c r="L334" s="52">
        <v>377000</v>
      </c>
      <c r="M334" s="6">
        <f t="shared" si="26"/>
        <v>-92000</v>
      </c>
      <c r="N334" s="21" t="str">
        <f t="shared" si="27"/>
        <v>Sobrante</v>
      </c>
      <c r="O334" s="9" t="s">
        <v>838</v>
      </c>
      <c r="P334" s="36">
        <v>1192816639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s="36" customFormat="1" x14ac:dyDescent="0.35">
      <c r="A335" s="72">
        <v>6</v>
      </c>
      <c r="B335" s="28">
        <v>5001</v>
      </c>
      <c r="C335" s="18" t="str">
        <f>VLOOKUP(B335,'Lista MF'!B:C,2,0)</f>
        <v>BELLTECH</v>
      </c>
      <c r="D335" s="36" t="s">
        <v>6</v>
      </c>
      <c r="E335" s="29">
        <v>46093</v>
      </c>
      <c r="F335" s="29">
        <v>46092</v>
      </c>
      <c r="G335" s="45" t="s">
        <v>756</v>
      </c>
      <c r="H335" s="8">
        <v>228798100</v>
      </c>
      <c r="I335" s="31">
        <v>171991100</v>
      </c>
      <c r="J335" s="8">
        <v>15970000</v>
      </c>
      <c r="K335" s="8">
        <v>1202000</v>
      </c>
      <c r="L335" s="52">
        <v>-66000000</v>
      </c>
      <c r="M335" s="6">
        <f t="shared" si="26"/>
        <v>-5575000</v>
      </c>
      <c r="N335" s="69" t="str">
        <f t="shared" si="27"/>
        <v>Sobrante</v>
      </c>
      <c r="O335" s="9" t="s">
        <v>838</v>
      </c>
      <c r="P335" s="36">
        <v>71336970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s="36" customFormat="1" x14ac:dyDescent="0.35">
      <c r="A336" s="72">
        <v>361</v>
      </c>
      <c r="B336" s="28">
        <v>5005</v>
      </c>
      <c r="C336" s="18" t="str">
        <f>VLOOKUP(B336,'Lista MF'!B:C,2,0)</f>
        <v>BELLTECH</v>
      </c>
      <c r="D336" s="36" t="s">
        <v>6</v>
      </c>
      <c r="E336" s="29">
        <v>46093</v>
      </c>
      <c r="F336" s="29">
        <v>46092</v>
      </c>
      <c r="G336" s="45" t="s">
        <v>819</v>
      </c>
      <c r="H336" s="8">
        <v>170671300</v>
      </c>
      <c r="I336" s="31">
        <v>118993650</v>
      </c>
      <c r="J336" s="8">
        <v>8930000</v>
      </c>
      <c r="K336" s="8">
        <v>19931000</v>
      </c>
      <c r="L336" s="52"/>
      <c r="M336" s="6">
        <f t="shared" si="26"/>
        <v>-40676650</v>
      </c>
      <c r="N336" s="21" t="str">
        <f t="shared" si="27"/>
        <v>Sobrante</v>
      </c>
      <c r="O336" s="9" t="s">
        <v>838</v>
      </c>
      <c r="P336" s="36">
        <v>79819397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s="36" customFormat="1" x14ac:dyDescent="0.35">
      <c r="A337" s="72">
        <v>777</v>
      </c>
      <c r="B337" s="28">
        <v>5009</v>
      </c>
      <c r="C337" s="18" t="str">
        <f>VLOOKUP(B337,'Lista MF'!B:C,2,0)</f>
        <v>BELLTECH</v>
      </c>
      <c r="D337" s="36" t="s">
        <v>6</v>
      </c>
      <c r="E337" s="29">
        <v>46093</v>
      </c>
      <c r="F337" s="29">
        <v>46092</v>
      </c>
      <c r="G337" s="45" t="s">
        <v>569</v>
      </c>
      <c r="H337" s="8">
        <v>195305050</v>
      </c>
      <c r="I337" s="31">
        <v>106085050</v>
      </c>
      <c r="J337" s="8">
        <v>9250000</v>
      </c>
      <c r="K337" s="8">
        <v>99200000</v>
      </c>
      <c r="L337" s="52">
        <v>738000</v>
      </c>
      <c r="M337" s="6">
        <f t="shared" si="26"/>
        <v>-8000</v>
      </c>
      <c r="N337" s="21" t="str">
        <f t="shared" si="27"/>
        <v>Sobrante</v>
      </c>
      <c r="O337" s="9" t="s">
        <v>838</v>
      </c>
      <c r="P337" s="36">
        <v>1192816639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s="36" customFormat="1" x14ac:dyDescent="0.35">
      <c r="A338" s="72">
        <v>277</v>
      </c>
      <c r="B338" s="28">
        <v>5021</v>
      </c>
      <c r="C338" s="18" t="str">
        <f>VLOOKUP(B338,'Lista MF'!B:C,2,0)</f>
        <v>BELLTECH</v>
      </c>
      <c r="D338" s="36" t="s">
        <v>6</v>
      </c>
      <c r="E338" s="29">
        <v>46093</v>
      </c>
      <c r="F338" s="29">
        <v>46092</v>
      </c>
      <c r="G338" s="45" t="s">
        <v>558</v>
      </c>
      <c r="H338" s="8">
        <v>189501350</v>
      </c>
      <c r="I338" s="31">
        <v>199140350</v>
      </c>
      <c r="J338" s="8">
        <v>11260000</v>
      </c>
      <c r="K338" s="8">
        <v>3531000</v>
      </c>
      <c r="L338" s="52">
        <v>1910000</v>
      </c>
      <c r="M338" s="6">
        <f t="shared" si="26"/>
        <v>0</v>
      </c>
      <c r="N338" s="21" t="str">
        <f t="shared" si="27"/>
        <v>Cuadrado</v>
      </c>
      <c r="O338" s="4" t="s">
        <v>590</v>
      </c>
      <c r="P338" s="36">
        <v>32184677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s="36" customFormat="1" ht="14" customHeight="1" x14ac:dyDescent="0.35">
      <c r="A339" s="72">
        <v>723</v>
      </c>
      <c r="B339" s="28">
        <v>5046</v>
      </c>
      <c r="C339" s="18" t="str">
        <f>VLOOKUP(B339,'Lista MF'!B:C,2,0)</f>
        <v>BELLTECH</v>
      </c>
      <c r="D339" s="36" t="s">
        <v>6</v>
      </c>
      <c r="E339" s="29">
        <v>46093</v>
      </c>
      <c r="F339" s="29">
        <v>46092</v>
      </c>
      <c r="G339" s="45" t="s">
        <v>820</v>
      </c>
      <c r="H339" s="8">
        <v>138407500</v>
      </c>
      <c r="I339" s="31">
        <v>141531050</v>
      </c>
      <c r="J339" s="8">
        <v>35550000</v>
      </c>
      <c r="K339" s="8">
        <v>140174000</v>
      </c>
      <c r="L339" s="52">
        <f>187280000-8000000</f>
        <v>179280000</v>
      </c>
      <c r="M339" s="6">
        <f t="shared" si="26"/>
        <v>-71532450</v>
      </c>
      <c r="N339" s="21" t="str">
        <f t="shared" si="27"/>
        <v>Sobrante</v>
      </c>
      <c r="O339" s="4" t="s">
        <v>622</v>
      </c>
      <c r="P339" s="36">
        <v>1088273268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s="36" customFormat="1" x14ac:dyDescent="0.35">
      <c r="A340" s="72">
        <v>769</v>
      </c>
      <c r="B340" s="28">
        <v>5051</v>
      </c>
      <c r="C340" s="18" t="str">
        <f>VLOOKUP(B340,'Lista MF'!B:C,2,0)</f>
        <v>BELLTECH</v>
      </c>
      <c r="D340" s="36" t="s">
        <v>6</v>
      </c>
      <c r="E340" s="29">
        <v>46093</v>
      </c>
      <c r="F340" s="29">
        <v>46092</v>
      </c>
      <c r="G340" s="45" t="s">
        <v>713</v>
      </c>
      <c r="H340" s="8">
        <v>123936300</v>
      </c>
      <c r="I340" s="31">
        <v>118732300</v>
      </c>
      <c r="J340" s="8">
        <v>2250000</v>
      </c>
      <c r="K340" s="8">
        <v>15806900</v>
      </c>
      <c r="L340" s="52">
        <v>-1030000</v>
      </c>
      <c r="M340" s="6">
        <f t="shared" si="26"/>
        <v>9382900</v>
      </c>
      <c r="N340" s="21" t="str">
        <f t="shared" si="27"/>
        <v>Faltante</v>
      </c>
      <c r="O340" s="55" t="s">
        <v>622</v>
      </c>
      <c r="P340" s="36">
        <v>1129580385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s="36" customFormat="1" x14ac:dyDescent="0.35">
      <c r="A341" s="72">
        <v>19</v>
      </c>
      <c r="B341" s="28">
        <v>5078</v>
      </c>
      <c r="C341" s="18" t="str">
        <f>VLOOKUP(B341,'Lista MF'!B:C,2,0)</f>
        <v>BELLTECH</v>
      </c>
      <c r="D341" s="36" t="s">
        <v>6</v>
      </c>
      <c r="E341" s="29">
        <v>46093</v>
      </c>
      <c r="F341" s="29">
        <v>46092</v>
      </c>
      <c r="G341" s="45" t="s">
        <v>764</v>
      </c>
      <c r="H341" s="8">
        <v>86922350</v>
      </c>
      <c r="I341" s="31">
        <v>70087350</v>
      </c>
      <c r="J341" s="8">
        <v>9160000</v>
      </c>
      <c r="K341" s="8">
        <v>24901000</v>
      </c>
      <c r="L341" s="52"/>
      <c r="M341" s="6">
        <f t="shared" si="26"/>
        <v>-1094000</v>
      </c>
      <c r="N341" s="21" t="str">
        <f t="shared" si="27"/>
        <v>Sobrante</v>
      </c>
      <c r="O341" s="9" t="s">
        <v>838</v>
      </c>
      <c r="P341" s="36">
        <v>43588535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s="36" customFormat="1" x14ac:dyDescent="0.35">
      <c r="A342" s="72">
        <v>291</v>
      </c>
      <c r="B342" s="28">
        <v>5114</v>
      </c>
      <c r="C342" s="18" t="str">
        <f>VLOOKUP(B342,'Lista MF'!B:C,2,0)</f>
        <v>BELLTECH</v>
      </c>
      <c r="D342" s="36" t="s">
        <v>6</v>
      </c>
      <c r="E342" s="29">
        <v>46093</v>
      </c>
      <c r="F342" s="29">
        <v>46092</v>
      </c>
      <c r="G342" s="45" t="s">
        <v>756</v>
      </c>
      <c r="H342" s="8">
        <v>311523400</v>
      </c>
      <c r="I342" s="31">
        <v>311907400</v>
      </c>
      <c r="J342" s="8">
        <v>10370000</v>
      </c>
      <c r="K342" s="8">
        <v>9980000</v>
      </c>
      <c r="L342" s="52"/>
      <c r="M342" s="6">
        <f t="shared" si="26"/>
        <v>-6000</v>
      </c>
      <c r="N342" s="21" t="str">
        <f t="shared" si="27"/>
        <v>Sobrante</v>
      </c>
      <c r="O342" s="9" t="s">
        <v>838</v>
      </c>
      <c r="P342" s="36">
        <v>1095930956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s="36" customFormat="1" x14ac:dyDescent="0.35">
      <c r="A343" s="72">
        <v>91</v>
      </c>
      <c r="B343" s="28">
        <v>5148</v>
      </c>
      <c r="C343" s="18" t="str">
        <f>VLOOKUP(B343,'Lista MF'!B:C,2,0)</f>
        <v>BELLTECH</v>
      </c>
      <c r="D343" s="36" t="s">
        <v>6</v>
      </c>
      <c r="E343" s="29">
        <v>46093</v>
      </c>
      <c r="F343" s="29">
        <v>46092</v>
      </c>
      <c r="G343" s="45" t="s">
        <v>538</v>
      </c>
      <c r="H343" s="8">
        <v>474899700</v>
      </c>
      <c r="I343" s="31">
        <v>452386550</v>
      </c>
      <c r="J343" s="8">
        <v>3360000</v>
      </c>
      <c r="K343" s="8">
        <v>15000000</v>
      </c>
      <c r="L343" s="52"/>
      <c r="M343" s="6">
        <f t="shared" si="26"/>
        <v>-10873150</v>
      </c>
      <c r="N343" s="21" t="str">
        <f t="shared" si="27"/>
        <v>Sobrante</v>
      </c>
      <c r="O343" s="9" t="s">
        <v>838</v>
      </c>
      <c r="P343" s="36">
        <v>1067844638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s="36" customFormat="1" x14ac:dyDescent="0.35">
      <c r="A344" s="72">
        <v>806</v>
      </c>
      <c r="B344" s="28">
        <v>5156</v>
      </c>
      <c r="C344" s="18" t="str">
        <f>VLOOKUP(B344,'Lista MF'!B:C,2,0)</f>
        <v>BELLTECH</v>
      </c>
      <c r="D344" s="36" t="s">
        <v>6</v>
      </c>
      <c r="E344" s="29">
        <v>46093</v>
      </c>
      <c r="F344" s="29">
        <v>46092</v>
      </c>
      <c r="G344" s="45" t="s">
        <v>821</v>
      </c>
      <c r="H344" s="8">
        <v>59166300</v>
      </c>
      <c r="I344" s="31">
        <v>64432300</v>
      </c>
      <c r="J344" s="8">
        <v>12750000</v>
      </c>
      <c r="K344" s="8">
        <v>3308000</v>
      </c>
      <c r="L344" s="52"/>
      <c r="M344" s="6">
        <f t="shared" si="26"/>
        <v>-4176000</v>
      </c>
      <c r="N344" s="21" t="str">
        <f t="shared" si="27"/>
        <v>Sobrante</v>
      </c>
      <c r="O344" s="9" t="s">
        <v>838</v>
      </c>
      <c r="P344" s="36">
        <v>7335993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s="36" customFormat="1" x14ac:dyDescent="0.35">
      <c r="A345" s="72">
        <v>750</v>
      </c>
      <c r="B345" s="28">
        <v>5157</v>
      </c>
      <c r="C345" s="18" t="str">
        <f>VLOOKUP(B345,'Lista MF'!B:C,2,0)</f>
        <v>BELLTECH</v>
      </c>
      <c r="D345" s="36" t="s">
        <v>6</v>
      </c>
      <c r="E345" s="29">
        <v>46093</v>
      </c>
      <c r="F345" s="29">
        <v>46092</v>
      </c>
      <c r="G345" s="45" t="s">
        <v>822</v>
      </c>
      <c r="H345" s="8">
        <v>156805850</v>
      </c>
      <c r="I345" s="31">
        <v>145853050</v>
      </c>
      <c r="J345" s="8">
        <v>4880000</v>
      </c>
      <c r="K345" s="8">
        <v>20922800</v>
      </c>
      <c r="L345" s="52">
        <v>1929550</v>
      </c>
      <c r="M345" s="6">
        <f t="shared" si="26"/>
        <v>3160450</v>
      </c>
      <c r="N345" s="21" t="str">
        <f t="shared" si="27"/>
        <v>Faltante</v>
      </c>
      <c r="O345" s="13" t="s">
        <v>840</v>
      </c>
      <c r="P345" s="36">
        <v>31529631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s="36" customFormat="1" x14ac:dyDescent="0.35">
      <c r="A346" s="72">
        <v>253</v>
      </c>
      <c r="B346" s="28">
        <v>5176</v>
      </c>
      <c r="C346" s="18" t="str">
        <f>VLOOKUP(B346,'Lista MF'!B:C,2,0)</f>
        <v>BELLTECH</v>
      </c>
      <c r="D346" s="36" t="s">
        <v>6</v>
      </c>
      <c r="E346" s="29">
        <v>46093</v>
      </c>
      <c r="F346" s="29">
        <v>46092</v>
      </c>
      <c r="G346" s="45" t="s">
        <v>572</v>
      </c>
      <c r="H346" s="8">
        <v>247521750</v>
      </c>
      <c r="I346" s="31">
        <v>234089750</v>
      </c>
      <c r="J346" s="8">
        <v>0</v>
      </c>
      <c r="K346" s="8">
        <v>4490000</v>
      </c>
      <c r="L346" s="52">
        <v>-6902000</v>
      </c>
      <c r="M346" s="6">
        <f t="shared" si="26"/>
        <v>-2040000</v>
      </c>
      <c r="N346" s="21" t="str">
        <f t="shared" si="27"/>
        <v>Sobrante</v>
      </c>
      <c r="O346" s="9" t="s">
        <v>838</v>
      </c>
      <c r="P346" s="36">
        <v>1017241432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s="36" customFormat="1" x14ac:dyDescent="0.35">
      <c r="A347" s="72">
        <v>198</v>
      </c>
      <c r="B347" s="28">
        <v>5179</v>
      </c>
      <c r="C347" s="18" t="str">
        <f>VLOOKUP(B347,'Lista MF'!B:C,2,0)</f>
        <v>BELLTECH</v>
      </c>
      <c r="D347" s="36" t="s">
        <v>6</v>
      </c>
      <c r="E347" s="29">
        <v>46093</v>
      </c>
      <c r="F347" s="29">
        <v>46092</v>
      </c>
      <c r="G347" s="45" t="s">
        <v>823</v>
      </c>
      <c r="H347" s="8">
        <v>161929700</v>
      </c>
      <c r="I347" s="31">
        <v>173903700</v>
      </c>
      <c r="J347" s="8">
        <v>6300000</v>
      </c>
      <c r="K347" s="8">
        <v>201000</v>
      </c>
      <c r="L347" s="52">
        <v>5875000</v>
      </c>
      <c r="M347" s="6">
        <f t="shared" si="26"/>
        <v>0</v>
      </c>
      <c r="N347" s="21" t="str">
        <f t="shared" si="27"/>
        <v>Cuadrado</v>
      </c>
      <c r="O347" s="4" t="s">
        <v>841</v>
      </c>
      <c r="P347" s="36">
        <v>53031419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s="36" customFormat="1" x14ac:dyDescent="0.35">
      <c r="A348" s="72">
        <v>664</v>
      </c>
      <c r="B348" s="28">
        <v>5191</v>
      </c>
      <c r="C348" s="18" t="str">
        <f>VLOOKUP(B348,'Lista MF'!B:C,2,0)</f>
        <v>BELLTECH</v>
      </c>
      <c r="D348" s="36" t="s">
        <v>6</v>
      </c>
      <c r="E348" s="29">
        <v>46093</v>
      </c>
      <c r="F348" s="29">
        <v>46092</v>
      </c>
      <c r="G348" s="45" t="s">
        <v>720</v>
      </c>
      <c r="H348" s="8">
        <v>199055400</v>
      </c>
      <c r="I348" s="31">
        <v>223414550</v>
      </c>
      <c r="J348" s="8">
        <v>43480000</v>
      </c>
      <c r="K348" s="8">
        <v>75451000</v>
      </c>
      <c r="L348" s="52">
        <f>86306000</f>
        <v>86306000</v>
      </c>
      <c r="M348" s="6">
        <f t="shared" si="26"/>
        <v>-29975850</v>
      </c>
      <c r="N348" s="21" t="str">
        <f t="shared" si="27"/>
        <v>Sobrante</v>
      </c>
      <c r="O348" s="9" t="s">
        <v>838</v>
      </c>
      <c r="P348" s="36">
        <v>53052650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s="36" customFormat="1" x14ac:dyDescent="0.35">
      <c r="A349" s="72">
        <v>77</v>
      </c>
      <c r="B349" s="28">
        <v>5204</v>
      </c>
      <c r="C349" s="18" t="str">
        <f>VLOOKUP(B349,'Lista MF'!B:C,2,0)</f>
        <v>BELLTECH</v>
      </c>
      <c r="D349" s="36" t="s">
        <v>6</v>
      </c>
      <c r="E349" s="29">
        <v>46093</v>
      </c>
      <c r="F349" s="29">
        <v>46092</v>
      </c>
      <c r="G349" s="45" t="s">
        <v>537</v>
      </c>
      <c r="H349" s="8">
        <v>176326300</v>
      </c>
      <c r="I349" s="31">
        <v>162865300</v>
      </c>
      <c r="J349" s="8">
        <v>13450000</v>
      </c>
      <c r="K349" s="8">
        <v>22954000</v>
      </c>
      <c r="L349" s="52"/>
      <c r="M349" s="6">
        <f t="shared" si="26"/>
        <v>-3957000</v>
      </c>
      <c r="N349" s="21" t="str">
        <f t="shared" si="27"/>
        <v>Sobrante</v>
      </c>
      <c r="O349" s="9" t="s">
        <v>838</v>
      </c>
      <c r="P349" s="36">
        <v>94493031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s="36" customFormat="1" x14ac:dyDescent="0.35">
      <c r="A350" s="72">
        <v>793</v>
      </c>
      <c r="B350" s="28">
        <v>5216</v>
      </c>
      <c r="C350" s="18" t="str">
        <f>VLOOKUP(B350,'Lista MF'!B:C,2,0)</f>
        <v>BELLTECH</v>
      </c>
      <c r="D350" s="36" t="s">
        <v>6</v>
      </c>
      <c r="E350" s="29">
        <v>46093</v>
      </c>
      <c r="F350" s="29">
        <v>46092</v>
      </c>
      <c r="G350" s="45" t="s">
        <v>579</v>
      </c>
      <c r="H350" s="8">
        <v>233648900</v>
      </c>
      <c r="I350" s="31">
        <v>233187900</v>
      </c>
      <c r="J350" s="8">
        <v>8890000</v>
      </c>
      <c r="K350" s="8">
        <v>6322000</v>
      </c>
      <c r="L350" s="52"/>
      <c r="M350" s="6">
        <f t="shared" si="26"/>
        <v>-3029000</v>
      </c>
      <c r="N350" s="21" t="str">
        <f t="shared" si="27"/>
        <v>Sobrante</v>
      </c>
      <c r="O350" s="9" t="s">
        <v>838</v>
      </c>
      <c r="P350" s="36">
        <v>80218400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s="36" customFormat="1" x14ac:dyDescent="0.35">
      <c r="A351" s="72">
        <v>16</v>
      </c>
      <c r="B351" s="28">
        <v>5219</v>
      </c>
      <c r="C351" s="18" t="str">
        <f>VLOOKUP(B351,'Lista MF'!B:C,2,0)</f>
        <v>BELLTECH</v>
      </c>
      <c r="D351" s="36" t="s">
        <v>6</v>
      </c>
      <c r="E351" s="29">
        <v>46093</v>
      </c>
      <c r="F351" s="29">
        <v>46092</v>
      </c>
      <c r="G351" s="45" t="s">
        <v>607</v>
      </c>
      <c r="H351" s="8">
        <v>216062250</v>
      </c>
      <c r="I351" s="31">
        <v>227953400</v>
      </c>
      <c r="J351" s="8">
        <v>1190000</v>
      </c>
      <c r="K351" s="8">
        <v>2400000</v>
      </c>
      <c r="L351" s="52">
        <v>13101150</v>
      </c>
      <c r="M351" s="6">
        <f t="shared" si="26"/>
        <v>0</v>
      </c>
      <c r="N351" s="21" t="str">
        <f t="shared" si="27"/>
        <v>Cuadrado</v>
      </c>
      <c r="O351" s="4" t="s">
        <v>842</v>
      </c>
      <c r="P351" s="36">
        <v>1128405320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s="36" customFormat="1" x14ac:dyDescent="0.35">
      <c r="A352" s="72">
        <v>221</v>
      </c>
      <c r="B352" s="28">
        <v>5221</v>
      </c>
      <c r="C352" s="18" t="str">
        <f>VLOOKUP(B352,'Lista MF'!B:C,2,0)</f>
        <v>BELLTECH</v>
      </c>
      <c r="D352" s="36" t="s">
        <v>6</v>
      </c>
      <c r="E352" s="29">
        <v>46093</v>
      </c>
      <c r="F352" s="29">
        <v>46092</v>
      </c>
      <c r="G352" s="45" t="s">
        <v>824</v>
      </c>
      <c r="H352" s="8">
        <v>274694500</v>
      </c>
      <c r="I352" s="31">
        <v>273604500</v>
      </c>
      <c r="J352" s="8">
        <v>2400000</v>
      </c>
      <c r="K352" s="8">
        <v>0</v>
      </c>
      <c r="L352" s="52"/>
      <c r="M352" s="6">
        <f t="shared" si="26"/>
        <v>-3490000</v>
      </c>
      <c r="N352" s="21" t="str">
        <f t="shared" si="27"/>
        <v>Sobrante</v>
      </c>
      <c r="O352" s="9" t="s">
        <v>838</v>
      </c>
      <c r="P352" s="36">
        <v>52833254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s="36" customFormat="1" x14ac:dyDescent="0.35">
      <c r="A353" s="72">
        <v>946</v>
      </c>
      <c r="B353" s="28">
        <v>5225</v>
      </c>
      <c r="C353" s="18" t="str">
        <f>VLOOKUP(B353,'Lista MF'!B:C,2,0)</f>
        <v>BELLTECH</v>
      </c>
      <c r="D353" s="36" t="s">
        <v>6</v>
      </c>
      <c r="E353" s="29">
        <v>46093</v>
      </c>
      <c r="F353" s="29">
        <v>46092</v>
      </c>
      <c r="G353" s="45" t="s">
        <v>825</v>
      </c>
      <c r="H353" s="8">
        <v>205201950</v>
      </c>
      <c r="I353" s="31">
        <v>227981950</v>
      </c>
      <c r="J353" s="8">
        <v>25120000</v>
      </c>
      <c r="K353" s="8">
        <v>2220000</v>
      </c>
      <c r="L353" s="52"/>
      <c r="M353" s="6">
        <f t="shared" si="26"/>
        <v>-120000</v>
      </c>
      <c r="N353" s="21" t="str">
        <f t="shared" si="27"/>
        <v>Sobrante</v>
      </c>
      <c r="O353" s="9" t="s">
        <v>838</v>
      </c>
      <c r="P353" s="36">
        <v>20500181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s="36" customFormat="1" x14ac:dyDescent="0.35">
      <c r="A354" s="72">
        <v>678</v>
      </c>
      <c r="B354" s="28">
        <v>5227</v>
      </c>
      <c r="C354" s="18" t="str">
        <f>VLOOKUP(B354,'Lista MF'!B:C,2,0)</f>
        <v>BELLTECH</v>
      </c>
      <c r="D354" s="36" t="s">
        <v>6</v>
      </c>
      <c r="E354" s="29">
        <v>46093</v>
      </c>
      <c r="F354" s="29">
        <v>46092</v>
      </c>
      <c r="G354" s="45" t="s">
        <v>826</v>
      </c>
      <c r="H354" s="8">
        <v>54968400</v>
      </c>
      <c r="I354" s="31">
        <v>103002400</v>
      </c>
      <c r="J354" s="8">
        <v>13340000</v>
      </c>
      <c r="K354" s="8">
        <v>57275000</v>
      </c>
      <c r="L354" s="52">
        <v>91969000</v>
      </c>
      <c r="M354" s="6">
        <f t="shared" si="26"/>
        <v>0</v>
      </c>
      <c r="N354" s="21" t="str">
        <f t="shared" si="27"/>
        <v>Cuadrado</v>
      </c>
      <c r="O354" s="4" t="s">
        <v>590</v>
      </c>
      <c r="P354" s="36">
        <v>1102586250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s="36" customFormat="1" x14ac:dyDescent="0.35">
      <c r="A355" s="72">
        <v>820</v>
      </c>
      <c r="B355" s="28">
        <v>6174</v>
      </c>
      <c r="C355" s="18" t="str">
        <f>VLOOKUP(B355,'Lista MF'!B:C,2,0)</f>
        <v>BELLTECH</v>
      </c>
      <c r="D355" s="36" t="s">
        <v>6</v>
      </c>
      <c r="E355" s="29">
        <v>46093</v>
      </c>
      <c r="F355" s="29">
        <v>46092</v>
      </c>
      <c r="G355" s="45" t="s">
        <v>827</v>
      </c>
      <c r="H355" s="8">
        <v>208087100</v>
      </c>
      <c r="I355" s="31">
        <v>16700100</v>
      </c>
      <c r="J355" s="8">
        <v>24570000</v>
      </c>
      <c r="K355" s="8">
        <v>37264000</v>
      </c>
      <c r="L355" s="52">
        <f>-150000000-45393100</f>
        <v>-195393100</v>
      </c>
      <c r="M355" s="6">
        <f t="shared" si="26"/>
        <v>16700100</v>
      </c>
      <c r="N355" s="69" t="str">
        <f t="shared" si="27"/>
        <v>Faltante</v>
      </c>
      <c r="O355" s="4" t="s">
        <v>837</v>
      </c>
      <c r="P355" s="36">
        <v>1090400247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s="36" customFormat="1" x14ac:dyDescent="0.35">
      <c r="A356" s="72">
        <v>477</v>
      </c>
      <c r="B356" s="28">
        <v>6251</v>
      </c>
      <c r="C356" s="18" t="str">
        <f>VLOOKUP(B356,'Lista MF'!B:C,2,0)</f>
        <v>BELLTECH</v>
      </c>
      <c r="D356" s="36" t="s">
        <v>6</v>
      </c>
      <c r="E356" s="29">
        <v>46093</v>
      </c>
      <c r="F356" s="29">
        <v>46092</v>
      </c>
      <c r="G356" s="45" t="s">
        <v>828</v>
      </c>
      <c r="H356" s="8">
        <v>35598550</v>
      </c>
      <c r="I356" s="31">
        <v>34009050</v>
      </c>
      <c r="J356" s="8">
        <v>7800000</v>
      </c>
      <c r="K356" s="8">
        <v>9490000</v>
      </c>
      <c r="L356" s="52">
        <v>100500</v>
      </c>
      <c r="M356" s="6">
        <f t="shared" si="26"/>
        <v>0</v>
      </c>
      <c r="N356" s="21" t="str">
        <f t="shared" si="27"/>
        <v>Cuadrado</v>
      </c>
      <c r="O356" s="4" t="s">
        <v>843</v>
      </c>
      <c r="P356" s="36">
        <v>1140850613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s="36" customFormat="1" x14ac:dyDescent="0.35">
      <c r="A357" s="72">
        <v>337</v>
      </c>
      <c r="B357" s="28">
        <v>6253</v>
      </c>
      <c r="C357" s="18" t="str">
        <f>VLOOKUP(B357,'Lista MF'!B:C,2,0)</f>
        <v>BELLTECH</v>
      </c>
      <c r="D357" s="36" t="s">
        <v>6</v>
      </c>
      <c r="E357" s="29">
        <v>46093</v>
      </c>
      <c r="F357" s="29">
        <v>46092</v>
      </c>
      <c r="G357" s="45" t="s">
        <v>829</v>
      </c>
      <c r="H357" s="8">
        <v>205292550</v>
      </c>
      <c r="I357" s="31">
        <v>179881750</v>
      </c>
      <c r="J357" s="8">
        <v>32140000</v>
      </c>
      <c r="K357" s="8">
        <v>74651800</v>
      </c>
      <c r="L357" s="52"/>
      <c r="M357" s="6">
        <f t="shared" si="26"/>
        <v>17101000</v>
      </c>
      <c r="N357" s="21" t="str">
        <f t="shared" si="27"/>
        <v>Faltante</v>
      </c>
      <c r="O357" s="4" t="s">
        <v>622</v>
      </c>
      <c r="P357" s="36">
        <v>80386330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s="36" customFormat="1" x14ac:dyDescent="0.35">
      <c r="A358" s="72">
        <v>379</v>
      </c>
      <c r="B358" s="28">
        <v>6465</v>
      </c>
      <c r="C358" s="18" t="str">
        <f>VLOOKUP(B358,'Lista MF'!B:C,2,0)</f>
        <v>BELLTECH</v>
      </c>
      <c r="D358" s="36" t="s">
        <v>6</v>
      </c>
      <c r="E358" s="29">
        <v>46093</v>
      </c>
      <c r="F358" s="29">
        <v>46092</v>
      </c>
      <c r="G358" s="45" t="s">
        <v>686</v>
      </c>
      <c r="H358" s="8">
        <v>47484000</v>
      </c>
      <c r="I358" s="31">
        <v>146544950</v>
      </c>
      <c r="J358" s="8">
        <v>7320000</v>
      </c>
      <c r="K358" s="8">
        <v>44098050</v>
      </c>
      <c r="L358" s="52">
        <v>142319000</v>
      </c>
      <c r="M358" s="6">
        <f t="shared" si="26"/>
        <v>-6480000</v>
      </c>
      <c r="N358" s="21" t="str">
        <f t="shared" si="27"/>
        <v>Sobrante</v>
      </c>
      <c r="O358" s="9" t="s">
        <v>838</v>
      </c>
      <c r="P358" s="36">
        <v>1020440431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s="36" customFormat="1" x14ac:dyDescent="0.35">
      <c r="A359" s="72">
        <v>352</v>
      </c>
      <c r="B359" s="28">
        <v>6618</v>
      </c>
      <c r="C359" s="18" t="str">
        <f>VLOOKUP(B359,'Lista MF'!B:C,2,0)</f>
        <v>BELLTECH</v>
      </c>
      <c r="D359" s="36" t="s">
        <v>6</v>
      </c>
      <c r="E359" s="29">
        <v>46093</v>
      </c>
      <c r="F359" s="29">
        <v>46091</v>
      </c>
      <c r="G359" s="45" t="s">
        <v>568</v>
      </c>
      <c r="H359" s="8">
        <v>194220400</v>
      </c>
      <c r="I359" s="31">
        <v>181161000</v>
      </c>
      <c r="J359" s="8">
        <v>4520000</v>
      </c>
      <c r="K359" s="8">
        <v>27330000</v>
      </c>
      <c r="L359" s="52"/>
      <c r="M359" s="6">
        <f t="shared" si="26"/>
        <v>9750600</v>
      </c>
      <c r="N359" s="21" t="str">
        <f t="shared" si="27"/>
        <v>Faltante</v>
      </c>
      <c r="O359" s="13" t="s">
        <v>839</v>
      </c>
      <c r="P359" s="36">
        <v>28559006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s="36" customFormat="1" x14ac:dyDescent="0.35">
      <c r="A360" s="72">
        <v>96</v>
      </c>
      <c r="B360" s="28">
        <v>6735</v>
      </c>
      <c r="C360" s="18" t="str">
        <f>VLOOKUP(B360,'Lista MF'!B:C,2,0)</f>
        <v>BELLTECH</v>
      </c>
      <c r="D360" s="36" t="s">
        <v>6</v>
      </c>
      <c r="E360" s="29">
        <v>46093</v>
      </c>
      <c r="F360" s="29">
        <v>46092</v>
      </c>
      <c r="G360" s="45" t="s">
        <v>611</v>
      </c>
      <c r="H360" s="8">
        <v>246463750</v>
      </c>
      <c r="I360" s="31">
        <v>247037750</v>
      </c>
      <c r="J360" s="8">
        <v>22850000</v>
      </c>
      <c r="K360" s="8">
        <v>22720000</v>
      </c>
      <c r="L360" s="52"/>
      <c r="M360" s="6">
        <f t="shared" si="26"/>
        <v>444000</v>
      </c>
      <c r="N360" s="21" t="str">
        <f t="shared" si="27"/>
        <v>Faltante</v>
      </c>
      <c r="O360" s="13" t="s">
        <v>839</v>
      </c>
      <c r="P360" s="36">
        <v>39491642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s="36" customFormat="1" x14ac:dyDescent="0.35">
      <c r="A361" s="72">
        <v>677</v>
      </c>
      <c r="B361" s="28">
        <v>7124</v>
      </c>
      <c r="C361" s="18" t="str">
        <f>VLOOKUP(B361,'Lista MF'!B:C,2,0)</f>
        <v>DIEBOLD</v>
      </c>
      <c r="D361" s="36" t="s">
        <v>6</v>
      </c>
      <c r="E361" s="29">
        <v>46093</v>
      </c>
      <c r="F361" s="29">
        <v>46092</v>
      </c>
      <c r="G361" s="45" t="s">
        <v>830</v>
      </c>
      <c r="H361" s="8">
        <v>199097100</v>
      </c>
      <c r="I361" s="31">
        <v>200915700</v>
      </c>
      <c r="J361" s="8">
        <v>16040000</v>
      </c>
      <c r="K361" s="8">
        <v>15710000</v>
      </c>
      <c r="L361" s="52">
        <v>1488550</v>
      </c>
      <c r="M361" s="6">
        <f t="shared" si="26"/>
        <v>50</v>
      </c>
      <c r="N361" s="21" t="str">
        <f t="shared" si="27"/>
        <v>Faltante</v>
      </c>
      <c r="O361" s="13" t="s">
        <v>844</v>
      </c>
      <c r="P361" s="36">
        <v>1103101789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s="36" customFormat="1" x14ac:dyDescent="0.35">
      <c r="A362" s="72">
        <v>484</v>
      </c>
      <c r="B362" s="28">
        <v>7125</v>
      </c>
      <c r="C362" s="18" t="str">
        <f>VLOOKUP(B362,'Lista MF'!B:C,2,0)</f>
        <v>DIEBOLD</v>
      </c>
      <c r="D362" s="36" t="s">
        <v>6</v>
      </c>
      <c r="E362" s="29">
        <v>46093</v>
      </c>
      <c r="F362" s="29">
        <v>46092</v>
      </c>
      <c r="G362" s="45" t="s">
        <v>831</v>
      </c>
      <c r="H362" s="8">
        <v>253567650</v>
      </c>
      <c r="I362" s="31">
        <v>249657650</v>
      </c>
      <c r="J362" s="8">
        <v>1090000</v>
      </c>
      <c r="K362" s="8">
        <v>0</v>
      </c>
      <c r="L362" s="52"/>
      <c r="M362" s="6">
        <f t="shared" si="26"/>
        <v>-5000000</v>
      </c>
      <c r="N362" s="21" t="str">
        <f t="shared" si="27"/>
        <v>Sobrante</v>
      </c>
      <c r="O362" s="9" t="s">
        <v>838</v>
      </c>
      <c r="P362" s="36">
        <v>1052972256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s="36" customFormat="1" x14ac:dyDescent="0.35">
      <c r="A363" s="72">
        <v>41</v>
      </c>
      <c r="B363" s="28">
        <v>7341</v>
      </c>
      <c r="C363" s="18" t="str">
        <f>VLOOKUP(B363,'Lista MF'!B:C,2,0)</f>
        <v>DIEBOLD</v>
      </c>
      <c r="D363" s="36" t="s">
        <v>6</v>
      </c>
      <c r="E363" s="29">
        <v>46093</v>
      </c>
      <c r="F363" s="29">
        <v>46092</v>
      </c>
      <c r="G363" s="45" t="s">
        <v>832</v>
      </c>
      <c r="H363" s="8">
        <v>130250400</v>
      </c>
      <c r="I363" s="31">
        <v>211470400</v>
      </c>
      <c r="J363" s="8">
        <v>0</v>
      </c>
      <c r="K363" s="8">
        <v>0</v>
      </c>
      <c r="L363" s="52" t="s">
        <v>835</v>
      </c>
      <c r="M363" s="6" t="e">
        <f t="shared" si="26"/>
        <v>#VALUE!</v>
      </c>
      <c r="N363" s="21" t="e">
        <f t="shared" si="27"/>
        <v>#VALUE!</v>
      </c>
      <c r="O363" s="4" t="s">
        <v>590</v>
      </c>
      <c r="P363" s="36">
        <v>94508187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s="36" customFormat="1" x14ac:dyDescent="0.35">
      <c r="A364" s="72">
        <v>172</v>
      </c>
      <c r="B364" s="28">
        <v>7429</v>
      </c>
      <c r="C364" s="18" t="str">
        <f>VLOOKUP(B364,'Lista MF'!B:C,2,0)</f>
        <v>BELLTECH</v>
      </c>
      <c r="D364" s="36" t="s">
        <v>6</v>
      </c>
      <c r="E364" s="29">
        <v>46093</v>
      </c>
      <c r="F364" s="29">
        <v>46092</v>
      </c>
      <c r="G364" s="45" t="s">
        <v>548</v>
      </c>
      <c r="H364" s="8">
        <v>241706750</v>
      </c>
      <c r="I364" s="31">
        <v>243504250</v>
      </c>
      <c r="J364" s="8">
        <v>1800000</v>
      </c>
      <c r="K364" s="8">
        <v>0</v>
      </c>
      <c r="L364" s="52"/>
      <c r="M364" s="6">
        <f t="shared" si="26"/>
        <v>-2500</v>
      </c>
      <c r="N364" s="21" t="str">
        <f t="shared" si="27"/>
        <v>Sobrante</v>
      </c>
      <c r="O364" s="9" t="s">
        <v>838</v>
      </c>
      <c r="P364" s="36">
        <v>52156260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s="36" customFormat="1" x14ac:dyDescent="0.35">
      <c r="A365" s="72">
        <v>318</v>
      </c>
      <c r="B365" s="28">
        <v>7680</v>
      </c>
      <c r="C365" s="18" t="str">
        <f>VLOOKUP(B365,'Lista MF'!B:C,2,0)</f>
        <v>BELLTECH</v>
      </c>
      <c r="D365" s="36" t="s">
        <v>6</v>
      </c>
      <c r="E365" s="29">
        <v>46093</v>
      </c>
      <c r="F365" s="29">
        <v>46092</v>
      </c>
      <c r="G365" s="45" t="s">
        <v>833</v>
      </c>
      <c r="H365" s="8">
        <v>317454750</v>
      </c>
      <c r="I365" s="31">
        <v>328714750</v>
      </c>
      <c r="J365" s="8">
        <v>8980000</v>
      </c>
      <c r="K365" s="8">
        <v>0</v>
      </c>
      <c r="L365" s="52">
        <v>2280000</v>
      </c>
      <c r="M365" s="6">
        <f t="shared" si="26"/>
        <v>0</v>
      </c>
      <c r="N365" s="21" t="str">
        <f t="shared" si="27"/>
        <v>Cuadrado</v>
      </c>
      <c r="O365" s="4" t="s">
        <v>845</v>
      </c>
      <c r="P365" s="36">
        <v>1065862494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s="36" customFormat="1" x14ac:dyDescent="0.35">
      <c r="A366" s="72">
        <v>91</v>
      </c>
      <c r="B366" s="28">
        <v>7943</v>
      </c>
      <c r="C366" s="18" t="str">
        <f>VLOOKUP(B366,'Lista MF'!B:C,2,0)</f>
        <v>DIEBOLD</v>
      </c>
      <c r="D366" s="36" t="s">
        <v>99</v>
      </c>
      <c r="E366" s="29">
        <v>46093</v>
      </c>
      <c r="F366" s="29">
        <v>46092</v>
      </c>
      <c r="G366" s="45" t="s">
        <v>705</v>
      </c>
      <c r="H366" s="8">
        <v>267821450</v>
      </c>
      <c r="I366" s="31">
        <v>253664450</v>
      </c>
      <c r="J366" s="8">
        <v>0</v>
      </c>
      <c r="K366" s="8">
        <v>5002000</v>
      </c>
      <c r="L366" s="52">
        <v>-1874000</v>
      </c>
      <c r="M366" s="6">
        <f t="shared" si="26"/>
        <v>-7281000</v>
      </c>
      <c r="N366" s="21" t="str">
        <f t="shared" si="27"/>
        <v>Sobrante</v>
      </c>
      <c r="O366" s="9" t="s">
        <v>838</v>
      </c>
      <c r="P366" s="36">
        <v>1067844638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s="36" customFormat="1" x14ac:dyDescent="0.35">
      <c r="A367" s="72">
        <v>693</v>
      </c>
      <c r="B367" s="28">
        <v>7979</v>
      </c>
      <c r="C367" s="18" t="str">
        <f>VLOOKUP(B367,'Lista MF'!B:C,2,0)</f>
        <v>BELLTECH</v>
      </c>
      <c r="D367" s="36" t="s">
        <v>6</v>
      </c>
      <c r="E367" s="29">
        <v>46093</v>
      </c>
      <c r="F367" s="29">
        <v>46092</v>
      </c>
      <c r="G367" s="45" t="s">
        <v>569</v>
      </c>
      <c r="H367" s="8">
        <v>104759900</v>
      </c>
      <c r="I367" s="31">
        <v>89777050</v>
      </c>
      <c r="J367" s="8">
        <v>1000000</v>
      </c>
      <c r="K367" s="8">
        <v>15352850</v>
      </c>
      <c r="L367" s="52"/>
      <c r="M367" s="6">
        <f t="shared" si="26"/>
        <v>-630000</v>
      </c>
      <c r="N367" s="21" t="str">
        <f t="shared" si="27"/>
        <v>Sobrante</v>
      </c>
      <c r="O367" s="9" t="s">
        <v>838</v>
      </c>
      <c r="P367" s="36">
        <v>98557134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s="36" customFormat="1" x14ac:dyDescent="0.35">
      <c r="A368" s="72">
        <v>569</v>
      </c>
      <c r="B368" s="28">
        <v>8129</v>
      </c>
      <c r="C368" s="18" t="str">
        <f>VLOOKUP(B368,'Lista MF'!B:C,2,0)</f>
        <v>DIEBOLD</v>
      </c>
      <c r="D368" s="36" t="s">
        <v>99</v>
      </c>
      <c r="E368" s="29">
        <v>46093</v>
      </c>
      <c r="F368" s="29">
        <v>46092</v>
      </c>
      <c r="G368" s="45" t="s">
        <v>617</v>
      </c>
      <c r="H368" s="8">
        <v>244617900</v>
      </c>
      <c r="I368" s="31">
        <v>250763150</v>
      </c>
      <c r="J368" s="8">
        <v>6150000</v>
      </c>
      <c r="K368" s="8">
        <v>0</v>
      </c>
      <c r="L368" s="52"/>
      <c r="M368" s="6">
        <f t="shared" si="26"/>
        <v>-4750</v>
      </c>
      <c r="N368" s="21" t="str">
        <f t="shared" si="27"/>
        <v>Sobrante</v>
      </c>
      <c r="O368" s="9" t="s">
        <v>838</v>
      </c>
      <c r="P368" s="36">
        <v>10779993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s="36" customFormat="1" x14ac:dyDescent="0.35">
      <c r="A369" s="72">
        <v>291</v>
      </c>
      <c r="B369" s="28">
        <v>8139</v>
      </c>
      <c r="C369" s="18" t="str">
        <f>VLOOKUP(B369,'Lista MF'!B:C,2,0)</f>
        <v>DIEBOLD</v>
      </c>
      <c r="D369" s="36" t="s">
        <v>99</v>
      </c>
      <c r="E369" s="29">
        <v>46093</v>
      </c>
      <c r="F369" s="29">
        <v>46092</v>
      </c>
      <c r="G369" s="45" t="s">
        <v>567</v>
      </c>
      <c r="H369" s="8">
        <v>191207450</v>
      </c>
      <c r="I369" s="31">
        <v>190428450</v>
      </c>
      <c r="J369" s="8">
        <v>0</v>
      </c>
      <c r="K369" s="8">
        <v>650000</v>
      </c>
      <c r="L369" s="52"/>
      <c r="M369" s="6">
        <f t="shared" si="26"/>
        <v>-129000</v>
      </c>
      <c r="N369" s="21" t="str">
        <f t="shared" si="27"/>
        <v>Sobrante</v>
      </c>
      <c r="O369" s="9" t="s">
        <v>838</v>
      </c>
      <c r="P369" s="36">
        <v>1095930956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s="36" customFormat="1" x14ac:dyDescent="0.35">
      <c r="A370" s="72">
        <v>769</v>
      </c>
      <c r="B370" s="28">
        <v>8679</v>
      </c>
      <c r="C370" s="18" t="str">
        <f>VLOOKUP(B370,'Lista MF'!B:C,2,0)</f>
        <v>BELLTECH</v>
      </c>
      <c r="D370" s="36" t="s">
        <v>6</v>
      </c>
      <c r="E370" s="29">
        <v>46093</v>
      </c>
      <c r="F370" s="29">
        <v>46092</v>
      </c>
      <c r="G370" s="45" t="s">
        <v>563</v>
      </c>
      <c r="H370" s="8">
        <v>75467600</v>
      </c>
      <c r="I370" s="31">
        <v>62265600</v>
      </c>
      <c r="J370" s="8">
        <v>810000</v>
      </c>
      <c r="K370" s="8">
        <v>4080000</v>
      </c>
      <c r="L370" s="52"/>
      <c r="M370" s="6">
        <f t="shared" si="26"/>
        <v>-9932000</v>
      </c>
      <c r="N370" s="21" t="str">
        <f t="shared" si="27"/>
        <v>Sobrante</v>
      </c>
      <c r="O370" s="55" t="s">
        <v>622</v>
      </c>
      <c r="P370" s="36">
        <v>1129580385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s="36" customFormat="1" x14ac:dyDescent="0.35">
      <c r="A371" s="72">
        <v>85</v>
      </c>
      <c r="B371" s="28">
        <v>8974</v>
      </c>
      <c r="C371" s="18" t="str">
        <f>VLOOKUP(B371,'Lista MF'!B:C,2,0)</f>
        <v>BELLTECH</v>
      </c>
      <c r="D371" s="36" t="s">
        <v>6</v>
      </c>
      <c r="E371" s="29">
        <v>46093</v>
      </c>
      <c r="F371" s="29">
        <v>46092</v>
      </c>
      <c r="G371" s="45" t="s">
        <v>834</v>
      </c>
      <c r="H371" s="8">
        <v>185138700</v>
      </c>
      <c r="I371" s="31">
        <v>125304500</v>
      </c>
      <c r="J371" s="8">
        <v>11770000</v>
      </c>
      <c r="K371" s="8">
        <v>177784000</v>
      </c>
      <c r="L371" s="52">
        <v>106614000</v>
      </c>
      <c r="M371" s="6">
        <f t="shared" si="26"/>
        <v>-434200</v>
      </c>
      <c r="N371" s="21" t="str">
        <f t="shared" si="27"/>
        <v>Sobrante</v>
      </c>
      <c r="O371" s="9" t="s">
        <v>838</v>
      </c>
      <c r="P371" s="36">
        <v>1047413788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s="36" customFormat="1" x14ac:dyDescent="0.35">
      <c r="A372" s="72">
        <v>957</v>
      </c>
      <c r="B372" s="28">
        <v>9512</v>
      </c>
      <c r="C372" s="18" t="str">
        <f>VLOOKUP(B372,'Lista MF'!B:C,2,0)</f>
        <v>BELLTECH</v>
      </c>
      <c r="D372" s="36" t="s">
        <v>6</v>
      </c>
      <c r="E372" s="29">
        <v>46093</v>
      </c>
      <c r="F372" s="29">
        <v>46092</v>
      </c>
      <c r="G372" s="45" t="s">
        <v>701</v>
      </c>
      <c r="H372" s="8">
        <v>177716500</v>
      </c>
      <c r="I372" s="31">
        <v>169729500</v>
      </c>
      <c r="J372" s="8">
        <v>7910000</v>
      </c>
      <c r="K372" s="8">
        <v>15947000</v>
      </c>
      <c r="L372" s="52"/>
      <c r="M372" s="6">
        <f t="shared" si="26"/>
        <v>50000</v>
      </c>
      <c r="N372" s="21" t="str">
        <f t="shared" si="27"/>
        <v>Faltante</v>
      </c>
      <c r="O372" s="65" t="s">
        <v>271</v>
      </c>
      <c r="P372" s="36">
        <v>72290314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s="36" customFormat="1" x14ac:dyDescent="0.35">
      <c r="A373" s="72">
        <v>957</v>
      </c>
      <c r="B373" s="28">
        <v>9513</v>
      </c>
      <c r="C373" s="18" t="str">
        <f>VLOOKUP(B373,'Lista MF'!B:C,2,0)</f>
        <v>BELLTECH</v>
      </c>
      <c r="D373" s="36" t="s">
        <v>6</v>
      </c>
      <c r="E373" s="29">
        <v>46093</v>
      </c>
      <c r="F373" s="29">
        <v>46092</v>
      </c>
      <c r="G373" s="45" t="s">
        <v>764</v>
      </c>
      <c r="H373" s="8">
        <v>87742600</v>
      </c>
      <c r="I373" s="31">
        <v>63605900</v>
      </c>
      <c r="J373" s="8">
        <v>10600000</v>
      </c>
      <c r="K373" s="8">
        <v>35691000</v>
      </c>
      <c r="L373" s="52"/>
      <c r="M373" s="6">
        <f t="shared" si="26"/>
        <v>954300</v>
      </c>
      <c r="N373" s="21" t="str">
        <f t="shared" si="27"/>
        <v>Faltante</v>
      </c>
      <c r="O373" s="13" t="s">
        <v>839</v>
      </c>
      <c r="P373" s="36">
        <v>72290314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s="36" customFormat="1" x14ac:dyDescent="0.35">
      <c r="A374" s="72">
        <v>516</v>
      </c>
      <c r="B374" s="28">
        <v>9729</v>
      </c>
      <c r="C374" s="18" t="str">
        <f>VLOOKUP(B374,'Lista MF'!B:C,2,0)</f>
        <v>BELLTECH</v>
      </c>
      <c r="D374" s="36" t="s">
        <v>6</v>
      </c>
      <c r="E374" s="29">
        <v>46093</v>
      </c>
      <c r="F374" s="29">
        <v>46092</v>
      </c>
      <c r="G374" s="45" t="s">
        <v>638</v>
      </c>
      <c r="H374" s="8">
        <v>254974150</v>
      </c>
      <c r="I374" s="31">
        <v>307136750</v>
      </c>
      <c r="J374" s="8">
        <v>0</v>
      </c>
      <c r="K374" s="8">
        <v>0</v>
      </c>
      <c r="L374" s="52">
        <v>-1377400</v>
      </c>
      <c r="M374" s="6">
        <f t="shared" si="26"/>
        <v>53540000</v>
      </c>
      <c r="N374" s="21" t="str">
        <f t="shared" si="27"/>
        <v>Faltante</v>
      </c>
      <c r="O374" s="4" t="s">
        <v>622</v>
      </c>
      <c r="P374" s="36">
        <v>1102850956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s="36" customFormat="1" x14ac:dyDescent="0.35">
      <c r="A375" s="72">
        <v>481</v>
      </c>
      <c r="B375" s="28">
        <v>1010</v>
      </c>
      <c r="C375" s="18" t="str">
        <f>VLOOKUP(B375,'Lista MF'!B:C,2,0)</f>
        <v>BELLTECH</v>
      </c>
      <c r="D375" s="36" t="s">
        <v>6</v>
      </c>
      <c r="E375" s="29">
        <v>46093</v>
      </c>
      <c r="F375" s="29">
        <v>46092</v>
      </c>
      <c r="G375" s="45" t="s">
        <v>712</v>
      </c>
      <c r="H375" s="8">
        <v>205089950</v>
      </c>
      <c r="I375" s="31">
        <v>205089950</v>
      </c>
      <c r="J375" s="8">
        <v>0</v>
      </c>
      <c r="K375" s="8">
        <v>0</v>
      </c>
      <c r="L375" s="52"/>
      <c r="M375" s="6">
        <f t="shared" ref="M375:M385" si="28">I375-(H375+J375-K375)-L375</f>
        <v>0</v>
      </c>
      <c r="N375" s="21" t="str">
        <f t="shared" ref="N375:N385" si="29">IF(M375="","",IF(M375=0,"Cuadrado",IF(M375&gt;0,"Faltante","Sobrante")))</f>
        <v>Cuadrado</v>
      </c>
      <c r="O375" s="4" t="s">
        <v>590</v>
      </c>
      <c r="P375" s="36">
        <v>1143439387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s="36" customFormat="1" x14ac:dyDescent="0.35">
      <c r="A376" s="72">
        <v>795</v>
      </c>
      <c r="B376" s="28">
        <v>1029</v>
      </c>
      <c r="C376" s="18" t="str">
        <f>VLOOKUP(B376,'Lista MF'!B:C,2,0)</f>
        <v>BELLTECH</v>
      </c>
      <c r="D376" s="36" t="s">
        <v>6</v>
      </c>
      <c r="E376" s="29">
        <v>46093</v>
      </c>
      <c r="F376" s="29">
        <v>46092</v>
      </c>
      <c r="G376" s="45" t="s">
        <v>794</v>
      </c>
      <c r="H376" s="8">
        <v>118626650</v>
      </c>
      <c r="I376" s="31">
        <v>116766650</v>
      </c>
      <c r="J376" s="8">
        <v>6750000</v>
      </c>
      <c r="K376" s="8">
        <v>8610000</v>
      </c>
      <c r="L376" s="52"/>
      <c r="M376" s="6">
        <f t="shared" si="28"/>
        <v>0</v>
      </c>
      <c r="N376" s="21" t="str">
        <f t="shared" si="29"/>
        <v>Cuadrado</v>
      </c>
      <c r="O376" s="4" t="s">
        <v>590</v>
      </c>
      <c r="P376" s="36">
        <v>91274094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s="36" customFormat="1" x14ac:dyDescent="0.35">
      <c r="A377" s="72">
        <v>32</v>
      </c>
      <c r="B377" s="28">
        <v>5027</v>
      </c>
      <c r="C377" s="18" t="str">
        <f>VLOOKUP(B377,'Lista MF'!B:C,2,0)</f>
        <v>BELLTECH</v>
      </c>
      <c r="D377" s="36" t="s">
        <v>6</v>
      </c>
      <c r="E377" s="29">
        <v>46093</v>
      </c>
      <c r="F377" s="29">
        <v>46092</v>
      </c>
      <c r="G377" s="45" t="s">
        <v>636</v>
      </c>
      <c r="H377" s="8">
        <v>454630750</v>
      </c>
      <c r="I377" s="31">
        <v>454630750</v>
      </c>
      <c r="J377" s="8">
        <v>0</v>
      </c>
      <c r="K377" s="8">
        <v>0</v>
      </c>
      <c r="L377" s="52"/>
      <c r="M377" s="6">
        <f t="shared" si="28"/>
        <v>0</v>
      </c>
      <c r="N377" s="21" t="str">
        <f t="shared" si="29"/>
        <v>Cuadrado</v>
      </c>
      <c r="O377" s="4" t="s">
        <v>590</v>
      </c>
      <c r="P377" s="36">
        <v>79750158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s="36" customFormat="1" x14ac:dyDescent="0.35">
      <c r="A378" s="72">
        <v>517</v>
      </c>
      <c r="B378" s="28">
        <v>5053</v>
      </c>
      <c r="C378" s="18" t="str">
        <f>VLOOKUP(B378,'Lista MF'!B:C,2,0)</f>
        <v>BELLTECH</v>
      </c>
      <c r="D378" s="36" t="s">
        <v>6</v>
      </c>
      <c r="E378" s="29">
        <v>46093</v>
      </c>
      <c r="F378" s="29">
        <v>46092</v>
      </c>
      <c r="G378" s="45" t="s">
        <v>550</v>
      </c>
      <c r="H378" s="8">
        <v>241524550</v>
      </c>
      <c r="I378" s="31">
        <v>241524550</v>
      </c>
      <c r="J378" s="8">
        <v>0</v>
      </c>
      <c r="K378" s="8">
        <v>0</v>
      </c>
      <c r="L378" s="52"/>
      <c r="M378" s="6">
        <f t="shared" si="28"/>
        <v>0</v>
      </c>
      <c r="N378" s="21" t="str">
        <f t="shared" si="29"/>
        <v>Cuadrado</v>
      </c>
      <c r="O378" s="4" t="s">
        <v>590</v>
      </c>
      <c r="P378" s="36">
        <v>1083026284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s="36" customFormat="1" x14ac:dyDescent="0.35">
      <c r="A379" s="72">
        <v>115</v>
      </c>
      <c r="B379" s="28">
        <v>5080</v>
      </c>
      <c r="C379" s="18" t="str">
        <f>VLOOKUP(B379,'Lista MF'!B:C,2,0)</f>
        <v>BELLTECH</v>
      </c>
      <c r="D379" s="36" t="s">
        <v>6</v>
      </c>
      <c r="E379" s="29">
        <v>46093</v>
      </c>
      <c r="F379" s="29">
        <v>46092</v>
      </c>
      <c r="G379" s="45" t="s">
        <v>539</v>
      </c>
      <c r="H379" s="8">
        <v>307006600</v>
      </c>
      <c r="I379" s="31">
        <v>295086600</v>
      </c>
      <c r="J379" s="8">
        <v>180000</v>
      </c>
      <c r="K379" s="8">
        <v>12100000</v>
      </c>
      <c r="L379" s="52"/>
      <c r="M379" s="6">
        <f t="shared" si="28"/>
        <v>0</v>
      </c>
      <c r="N379" s="21" t="str">
        <f t="shared" si="29"/>
        <v>Cuadrado</v>
      </c>
      <c r="O379" s="4" t="s">
        <v>590</v>
      </c>
      <c r="P379" s="36">
        <v>42158306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s="36" customFormat="1" x14ac:dyDescent="0.35">
      <c r="A380" s="72">
        <v>318</v>
      </c>
      <c r="B380" s="28">
        <v>5136</v>
      </c>
      <c r="C380" s="18" t="str">
        <f>VLOOKUP(B380,'Lista MF'!B:C,2,0)</f>
        <v>BELLTECH</v>
      </c>
      <c r="D380" s="36" t="s">
        <v>6</v>
      </c>
      <c r="E380" s="29">
        <v>46093</v>
      </c>
      <c r="F380" s="29">
        <v>46092</v>
      </c>
      <c r="G380" s="45" t="s">
        <v>700</v>
      </c>
      <c r="H380" s="8">
        <v>394667050</v>
      </c>
      <c r="I380" s="31">
        <v>310297050</v>
      </c>
      <c r="J380" s="8">
        <v>2880000</v>
      </c>
      <c r="K380" s="8">
        <v>87250000</v>
      </c>
      <c r="L380" s="52"/>
      <c r="M380" s="6">
        <f t="shared" si="28"/>
        <v>0</v>
      </c>
      <c r="N380" s="21" t="str">
        <f t="shared" si="29"/>
        <v>Cuadrado</v>
      </c>
      <c r="O380" s="4" t="s">
        <v>590</v>
      </c>
      <c r="P380" s="36">
        <v>1065862494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s="36" customFormat="1" x14ac:dyDescent="0.35">
      <c r="A381" s="72">
        <v>725</v>
      </c>
      <c r="B381" s="28">
        <v>5166</v>
      </c>
      <c r="C381" s="18" t="str">
        <f>VLOOKUP(B381,'Lista MF'!B:C,2,0)</f>
        <v>BELLTECH</v>
      </c>
      <c r="D381" s="36" t="s">
        <v>6</v>
      </c>
      <c r="E381" s="29">
        <v>46093</v>
      </c>
      <c r="F381" s="29">
        <v>46092</v>
      </c>
      <c r="G381" s="45" t="s">
        <v>609</v>
      </c>
      <c r="H381" s="8">
        <v>249486000</v>
      </c>
      <c r="I381" s="31">
        <v>216256000</v>
      </c>
      <c r="J381" s="8">
        <v>770000</v>
      </c>
      <c r="K381" s="8">
        <v>34000000</v>
      </c>
      <c r="L381" s="52">
        <f>-40000+40000</f>
        <v>0</v>
      </c>
      <c r="M381" s="6">
        <f t="shared" si="28"/>
        <v>0</v>
      </c>
      <c r="N381" s="21" t="str">
        <f t="shared" si="29"/>
        <v>Cuadrado</v>
      </c>
      <c r="O381" s="4" t="s">
        <v>846</v>
      </c>
      <c r="P381" s="36">
        <v>1093220078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 s="36" customFormat="1" x14ac:dyDescent="0.35">
      <c r="A382" s="72">
        <v>302</v>
      </c>
      <c r="B382" s="28">
        <v>5170</v>
      </c>
      <c r="C382" s="18" t="str">
        <f>VLOOKUP(B382,'Lista MF'!B:C,2,0)</f>
        <v>BELLTECH</v>
      </c>
      <c r="D382" s="36" t="s">
        <v>6</v>
      </c>
      <c r="E382" s="29">
        <v>46093</v>
      </c>
      <c r="F382" s="29">
        <v>46092</v>
      </c>
      <c r="G382" s="45" t="s">
        <v>723</v>
      </c>
      <c r="H382" s="8">
        <v>165896900</v>
      </c>
      <c r="I382" s="31">
        <v>176856900</v>
      </c>
      <c r="J382" s="8">
        <v>11760000</v>
      </c>
      <c r="K382" s="8">
        <v>800000</v>
      </c>
      <c r="L382" s="52">
        <v>10000</v>
      </c>
      <c r="M382" s="6">
        <f t="shared" si="28"/>
        <v>-10000</v>
      </c>
      <c r="N382" s="21" t="str">
        <f t="shared" si="29"/>
        <v>Sobrante</v>
      </c>
      <c r="O382" s="9" t="s">
        <v>838</v>
      </c>
      <c r="P382" s="36">
        <v>1102374502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s="36" customFormat="1" x14ac:dyDescent="0.35">
      <c r="A383" s="72">
        <v>93</v>
      </c>
      <c r="B383" s="28">
        <v>7126</v>
      </c>
      <c r="C383" s="18" t="str">
        <f>VLOOKUP(B383,'Lista MF'!B:C,2,0)</f>
        <v>BELLTECH</v>
      </c>
      <c r="D383" s="36" t="s">
        <v>6</v>
      </c>
      <c r="E383" s="29">
        <v>46093</v>
      </c>
      <c r="F383" s="29">
        <v>46092</v>
      </c>
      <c r="G383" s="45" t="s">
        <v>759</v>
      </c>
      <c r="H383" s="8">
        <v>249527800</v>
      </c>
      <c r="I383" s="31">
        <v>231651150</v>
      </c>
      <c r="J383" s="8">
        <v>13790000</v>
      </c>
      <c r="K383" s="8">
        <v>31666650</v>
      </c>
      <c r="L383" s="52"/>
      <c r="M383" s="6">
        <f t="shared" si="28"/>
        <v>0</v>
      </c>
      <c r="N383" s="21" t="str">
        <f t="shared" si="29"/>
        <v>Cuadrado</v>
      </c>
      <c r="O383" s="4" t="s">
        <v>590</v>
      </c>
      <c r="P383" s="36">
        <v>1067931735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s="36" customFormat="1" x14ac:dyDescent="0.35">
      <c r="A384" s="72">
        <v>725</v>
      </c>
      <c r="B384" s="28">
        <v>8090</v>
      </c>
      <c r="C384" s="18" t="str">
        <f>VLOOKUP(B384,'Lista MF'!B:C,2,0)</f>
        <v>BELLTECH</v>
      </c>
      <c r="D384" s="36" t="s">
        <v>6</v>
      </c>
      <c r="E384" s="29">
        <v>46093</v>
      </c>
      <c r="F384" s="29">
        <v>46092</v>
      </c>
      <c r="G384" s="45" t="s">
        <v>734</v>
      </c>
      <c r="H384" s="8">
        <v>147875200</v>
      </c>
      <c r="I384" s="31">
        <v>145705200</v>
      </c>
      <c r="J384" s="8">
        <v>2380000</v>
      </c>
      <c r="K384" s="8">
        <v>4550000</v>
      </c>
      <c r="L384" s="52"/>
      <c r="M384" s="6">
        <f t="shared" si="28"/>
        <v>0</v>
      </c>
      <c r="N384" s="21" t="str">
        <f t="shared" si="29"/>
        <v>Cuadrado</v>
      </c>
      <c r="O384" s="4" t="s">
        <v>590</v>
      </c>
      <c r="P384" s="36">
        <v>1093220078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s="36" customFormat="1" x14ac:dyDescent="0.35">
      <c r="A385" s="72">
        <v>556</v>
      </c>
      <c r="B385" s="28">
        <v>8333</v>
      </c>
      <c r="C385" s="18" t="str">
        <f>VLOOKUP(B385,'Lista MF'!B:C,2,0)</f>
        <v>BELLTECH</v>
      </c>
      <c r="D385" s="36" t="s">
        <v>6</v>
      </c>
      <c r="E385" s="29">
        <v>46093</v>
      </c>
      <c r="F385" s="29">
        <v>46092</v>
      </c>
      <c r="G385" s="45" t="s">
        <v>611</v>
      </c>
      <c r="H385" s="8">
        <v>532663450</v>
      </c>
      <c r="I385" s="31">
        <v>521247450</v>
      </c>
      <c r="J385" s="8">
        <v>2340000</v>
      </c>
      <c r="K385" s="8">
        <v>13756000</v>
      </c>
      <c r="L385" s="52"/>
      <c r="M385" s="6">
        <f t="shared" si="28"/>
        <v>0</v>
      </c>
      <c r="N385" s="21" t="str">
        <f t="shared" si="29"/>
        <v>Cuadrado</v>
      </c>
      <c r="O385" s="4" t="s">
        <v>590</v>
      </c>
      <c r="P385" s="36">
        <v>39450196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spans="1:35" s="36" customFormat="1" x14ac:dyDescent="0.35">
      <c r="A386" s="72">
        <v>333</v>
      </c>
      <c r="B386" s="28">
        <v>442</v>
      </c>
      <c r="C386" s="18" t="str">
        <f>VLOOKUP(B386,'Lista MF'!B:C,2,0)</f>
        <v>DIEBOLD</v>
      </c>
      <c r="D386" s="36" t="s">
        <v>99</v>
      </c>
      <c r="E386" s="29">
        <v>46094</v>
      </c>
      <c r="F386" s="29">
        <v>46093</v>
      </c>
      <c r="G386" s="45" t="s">
        <v>691</v>
      </c>
      <c r="H386" s="8">
        <v>121666050</v>
      </c>
      <c r="I386" s="31">
        <v>221716600</v>
      </c>
      <c r="J386" s="8">
        <v>13930000</v>
      </c>
      <c r="K386" s="8">
        <v>87218000</v>
      </c>
      <c r="L386" s="52" t="s">
        <v>875</v>
      </c>
      <c r="M386" s="6" t="e">
        <f t="shared" ref="M386:M445" si="30">I386-(H386+J386-K386)-L386</f>
        <v>#VALUE!</v>
      </c>
      <c r="N386" s="21" t="e">
        <f t="shared" ref="N386:N445" si="31">IF(M386="","",IF(M386=0,"Cuadrado",IF(M386&gt;0,"Faltante","Sobrante")))</f>
        <v>#VALUE!</v>
      </c>
      <c r="O386" s="13" t="s">
        <v>879</v>
      </c>
      <c r="P386" s="36">
        <v>1036606819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spans="1:35" s="36" customFormat="1" x14ac:dyDescent="0.35">
      <c r="A387" s="72">
        <v>331</v>
      </c>
      <c r="B387" s="28">
        <v>574</v>
      </c>
      <c r="C387" s="18" t="str">
        <f>VLOOKUP(B387,'Lista MF'!B:C,2,0)</f>
        <v>BELLTECH</v>
      </c>
      <c r="D387" s="36" t="s">
        <v>6</v>
      </c>
      <c r="E387" s="29">
        <v>46094</v>
      </c>
      <c r="F387" s="29">
        <v>46093</v>
      </c>
      <c r="G387" s="45" t="s">
        <v>847</v>
      </c>
      <c r="H387" s="8">
        <v>172377600</v>
      </c>
      <c r="I387" s="31">
        <v>121317000</v>
      </c>
      <c r="J387" s="8">
        <v>9690000</v>
      </c>
      <c r="K387" s="8">
        <v>21919000</v>
      </c>
      <c r="L387" s="52"/>
      <c r="M387" s="6">
        <f t="shared" si="30"/>
        <v>-38831600</v>
      </c>
      <c r="N387" s="21" t="str">
        <f t="shared" si="31"/>
        <v>Sobrante</v>
      </c>
      <c r="O387" s="9" t="s">
        <v>880</v>
      </c>
      <c r="P387" s="36">
        <v>32244978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spans="1:35" s="36" customFormat="1" x14ac:dyDescent="0.35">
      <c r="A388" s="72">
        <v>907</v>
      </c>
      <c r="B388" s="28">
        <v>4830</v>
      </c>
      <c r="C388" s="18" t="str">
        <f>VLOOKUP(B388,'Lista MF'!B:C,2,0)</f>
        <v>BELLTECH</v>
      </c>
      <c r="D388" s="36" t="s">
        <v>6</v>
      </c>
      <c r="E388" s="29">
        <v>46094</v>
      </c>
      <c r="F388" s="29">
        <v>46093</v>
      </c>
      <c r="G388" s="45" t="s">
        <v>848</v>
      </c>
      <c r="H388" s="8">
        <v>247178100</v>
      </c>
      <c r="I388" s="31">
        <v>153400650</v>
      </c>
      <c r="J388" s="8">
        <v>18240000</v>
      </c>
      <c r="K388" s="8">
        <v>114317450</v>
      </c>
      <c r="L388" s="52">
        <f>1170000+1130000</f>
        <v>2300000</v>
      </c>
      <c r="M388" s="6">
        <f t="shared" si="30"/>
        <v>0</v>
      </c>
      <c r="N388" s="21" t="str">
        <f t="shared" si="31"/>
        <v>Cuadrado</v>
      </c>
      <c r="O388" s="4" t="s">
        <v>883</v>
      </c>
      <c r="P388" s="36">
        <v>71339401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spans="1:35" s="36" customFormat="1" x14ac:dyDescent="0.35">
      <c r="A389" s="72">
        <v>59</v>
      </c>
      <c r="B389" s="28">
        <v>5002</v>
      </c>
      <c r="C389" s="18" t="str">
        <f>VLOOKUP(B389,'Lista MF'!B:C,2,0)</f>
        <v>BELLTECH</v>
      </c>
      <c r="D389" s="36" t="s">
        <v>6</v>
      </c>
      <c r="E389" s="29">
        <v>46094</v>
      </c>
      <c r="F389" s="29">
        <v>46093</v>
      </c>
      <c r="G389" s="45" t="s">
        <v>792</v>
      </c>
      <c r="H389" s="8">
        <v>266439600</v>
      </c>
      <c r="I389" s="31">
        <v>274699650</v>
      </c>
      <c r="J389" s="8">
        <v>15350000</v>
      </c>
      <c r="K389" s="8">
        <v>340000</v>
      </c>
      <c r="L389" s="52"/>
      <c r="M389" s="6">
        <f t="shared" ref="M389:M391" si="32">I389-(H389+J389-K389)-L389</f>
        <v>-6749950</v>
      </c>
      <c r="N389" s="21" t="str">
        <f t="shared" ref="N389:N391" si="33">IF(M389="","",IF(M389=0,"Cuadrado",IF(M389&gt;0,"Faltante","Sobrante")))</f>
        <v>Sobrante</v>
      </c>
      <c r="O389" s="9" t="s">
        <v>880</v>
      </c>
      <c r="P389" s="36">
        <v>1060652821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spans="1:35" s="36" customFormat="1" x14ac:dyDescent="0.35">
      <c r="A390" s="72">
        <v>907</v>
      </c>
      <c r="B390" s="28">
        <v>5019</v>
      </c>
      <c r="C390" s="18" t="str">
        <f>VLOOKUP(B390,'Lista MF'!B:C,2,0)</f>
        <v>BELLTECH</v>
      </c>
      <c r="D390" s="36" t="s">
        <v>6</v>
      </c>
      <c r="E390" s="29">
        <v>46094</v>
      </c>
      <c r="F390" s="29">
        <v>46093</v>
      </c>
      <c r="G390" s="45" t="s">
        <v>849</v>
      </c>
      <c r="H390" s="8">
        <v>251036450</v>
      </c>
      <c r="I390" s="31">
        <v>251376400</v>
      </c>
      <c r="J390" s="8">
        <v>14480000</v>
      </c>
      <c r="K390" s="8">
        <v>17090000</v>
      </c>
      <c r="L390" s="52">
        <f>10000+1340000+1599950</f>
        <v>2949950</v>
      </c>
      <c r="M390" s="6">
        <f t="shared" si="32"/>
        <v>0</v>
      </c>
      <c r="N390" s="21" t="str">
        <f t="shared" si="33"/>
        <v>Cuadrado</v>
      </c>
      <c r="O390" s="4" t="s">
        <v>882</v>
      </c>
      <c r="P390" s="36">
        <v>71339401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spans="1:35" s="36" customFormat="1" x14ac:dyDescent="0.35">
      <c r="A391" s="72">
        <v>882</v>
      </c>
      <c r="B391" s="28">
        <v>5020</v>
      </c>
      <c r="C391" s="18" t="str">
        <f>VLOOKUP(B391,'Lista MF'!B:C,2,0)</f>
        <v>BELLTECH</v>
      </c>
      <c r="D391" s="36" t="s">
        <v>6</v>
      </c>
      <c r="E391" s="29">
        <v>46094</v>
      </c>
      <c r="F391" s="29">
        <v>46093</v>
      </c>
      <c r="G391" s="45" t="s">
        <v>583</v>
      </c>
      <c r="H391" s="8">
        <v>182972850</v>
      </c>
      <c r="I391" s="31">
        <v>183721250</v>
      </c>
      <c r="J391" s="8">
        <v>8140000</v>
      </c>
      <c r="K391" s="8">
        <v>7189400</v>
      </c>
      <c r="L391" s="52"/>
      <c r="M391" s="6">
        <f t="shared" si="32"/>
        <v>-202200</v>
      </c>
      <c r="N391" s="21" t="str">
        <f t="shared" si="33"/>
        <v>Sobrante</v>
      </c>
      <c r="O391" s="9" t="s">
        <v>880</v>
      </c>
      <c r="P391" s="36">
        <v>33369487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spans="1:35" s="36" customFormat="1" x14ac:dyDescent="0.35">
      <c r="A392" s="72">
        <v>824</v>
      </c>
      <c r="B392" s="28">
        <v>5040</v>
      </c>
      <c r="C392" s="18" t="str">
        <f>VLOOKUP(B392,'Lista MF'!B:C,2,0)</f>
        <v>BELLTECH</v>
      </c>
      <c r="D392" s="36" t="s">
        <v>6</v>
      </c>
      <c r="E392" s="29">
        <v>46094</v>
      </c>
      <c r="F392" s="29">
        <v>46093</v>
      </c>
      <c r="G392" s="45" t="s">
        <v>850</v>
      </c>
      <c r="H392" s="8">
        <v>95376650</v>
      </c>
      <c r="I392" s="31">
        <v>219004650</v>
      </c>
      <c r="J392" s="8">
        <v>19940000</v>
      </c>
      <c r="K392" s="8">
        <v>40741000</v>
      </c>
      <c r="L392" s="52">
        <v>146629000</v>
      </c>
      <c r="M392" s="6">
        <f t="shared" si="30"/>
        <v>-2200000</v>
      </c>
      <c r="N392" s="21" t="str">
        <f t="shared" si="31"/>
        <v>Sobrante</v>
      </c>
      <c r="O392" s="9" t="s">
        <v>880</v>
      </c>
      <c r="P392" s="36">
        <v>88259624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spans="1:35" s="36" customFormat="1" x14ac:dyDescent="0.35">
      <c r="A393" s="72">
        <v>879</v>
      </c>
      <c r="B393" s="28">
        <v>5045</v>
      </c>
      <c r="C393" s="18" t="str">
        <f>VLOOKUP(B393,'Lista MF'!B:C,2,0)</f>
        <v>BELLTECH</v>
      </c>
      <c r="D393" s="36" t="s">
        <v>6</v>
      </c>
      <c r="E393" s="29">
        <v>46094</v>
      </c>
      <c r="F393" s="29">
        <v>46093</v>
      </c>
      <c r="G393" s="45" t="s">
        <v>851</v>
      </c>
      <c r="H393" s="8">
        <v>199026700</v>
      </c>
      <c r="I393" s="31">
        <v>285448950</v>
      </c>
      <c r="J393" s="8">
        <v>14230000</v>
      </c>
      <c r="K393" s="8">
        <v>208977750</v>
      </c>
      <c r="L393" s="52">
        <f>-5695000+298765000</f>
        <v>293070000</v>
      </c>
      <c r="M393" s="6">
        <f t="shared" si="30"/>
        <v>-11900000</v>
      </c>
      <c r="N393" s="21" t="str">
        <f t="shared" si="31"/>
        <v>Sobrante</v>
      </c>
      <c r="O393" s="9" t="s">
        <v>880</v>
      </c>
      <c r="P393" s="36">
        <v>1085303632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spans="1:35" s="36" customFormat="1" x14ac:dyDescent="0.35">
      <c r="A394" s="72">
        <v>723</v>
      </c>
      <c r="B394" s="28">
        <v>5046</v>
      </c>
      <c r="C394" s="18" t="str">
        <f>VLOOKUP(B394,'Lista MF'!B:C,2,0)</f>
        <v>BELLTECH</v>
      </c>
      <c r="D394" s="36" t="s">
        <v>6</v>
      </c>
      <c r="E394" s="29">
        <v>46094</v>
      </c>
      <c r="F394" s="29">
        <v>46093</v>
      </c>
      <c r="G394" s="45" t="s">
        <v>852</v>
      </c>
      <c r="H394" s="8">
        <v>97589500</v>
      </c>
      <c r="I394" s="31">
        <v>-28651950</v>
      </c>
      <c r="J394" s="8">
        <v>11550000</v>
      </c>
      <c r="K394" s="8">
        <v>66259000</v>
      </c>
      <c r="L394" s="52">
        <v>-20000000</v>
      </c>
      <c r="M394" s="6">
        <f t="shared" si="30"/>
        <v>-51532450</v>
      </c>
      <c r="N394" s="21" t="str">
        <f t="shared" si="31"/>
        <v>Sobrante</v>
      </c>
      <c r="O394" s="9" t="s">
        <v>880</v>
      </c>
      <c r="P394" s="36">
        <v>1088273268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spans="1:35" s="36" customFormat="1" x14ac:dyDescent="0.35">
      <c r="A395" s="72">
        <v>261</v>
      </c>
      <c r="B395" s="28">
        <v>5048</v>
      </c>
      <c r="C395" s="18" t="str">
        <f>VLOOKUP(B395,'Lista MF'!B:C,2,0)</f>
        <v>BELLTECH</v>
      </c>
      <c r="D395" s="36" t="s">
        <v>6</v>
      </c>
      <c r="E395" s="29">
        <v>46094</v>
      </c>
      <c r="F395" s="29">
        <v>46093</v>
      </c>
      <c r="G395" s="45" t="s">
        <v>853</v>
      </c>
      <c r="H395" s="8">
        <v>285540550</v>
      </c>
      <c r="I395" s="31">
        <v>281433550</v>
      </c>
      <c r="J395" s="8">
        <v>490000</v>
      </c>
      <c r="K395" s="8">
        <v>4587000</v>
      </c>
      <c r="L395" s="52"/>
      <c r="M395" s="6">
        <f t="shared" si="30"/>
        <v>-10000</v>
      </c>
      <c r="N395" s="21" t="str">
        <f t="shared" si="31"/>
        <v>Sobrante</v>
      </c>
      <c r="O395" s="9" t="s">
        <v>880</v>
      </c>
      <c r="P395" s="36">
        <v>34327627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spans="1:35" s="36" customFormat="1" x14ac:dyDescent="0.35">
      <c r="A396" s="72">
        <v>916</v>
      </c>
      <c r="B396" s="28">
        <v>5052</v>
      </c>
      <c r="C396" s="18" t="str">
        <f>VLOOKUP(B396,'Lista MF'!B:C,2,0)</f>
        <v>BELLTECH</v>
      </c>
      <c r="D396" s="36" t="s">
        <v>6</v>
      </c>
      <c r="E396" s="29">
        <v>46094</v>
      </c>
      <c r="F396" s="29">
        <v>46093</v>
      </c>
      <c r="G396" s="45" t="s">
        <v>854</v>
      </c>
      <c r="H396" s="8">
        <v>164187650</v>
      </c>
      <c r="I396" s="31">
        <v>164089650</v>
      </c>
      <c r="J396" s="8">
        <v>0</v>
      </c>
      <c r="K396" s="8">
        <v>0</v>
      </c>
      <c r="L396" s="52"/>
      <c r="M396" s="6">
        <f t="shared" si="30"/>
        <v>-98000</v>
      </c>
      <c r="N396" s="21" t="str">
        <f t="shared" si="31"/>
        <v>Sobrante</v>
      </c>
      <c r="O396" s="9" t="s">
        <v>880</v>
      </c>
      <c r="P396" s="36">
        <v>1082887437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spans="1:35" s="36" customFormat="1" x14ac:dyDescent="0.35">
      <c r="A397" s="72">
        <v>652</v>
      </c>
      <c r="B397" s="28">
        <v>5070</v>
      </c>
      <c r="C397" s="18" t="str">
        <f>VLOOKUP(B397,'Lista MF'!B:C,2,0)</f>
        <v>BELLTECH</v>
      </c>
      <c r="D397" s="36" t="s">
        <v>6</v>
      </c>
      <c r="E397" s="29">
        <v>46094</v>
      </c>
      <c r="F397" s="29">
        <v>46093</v>
      </c>
      <c r="G397" s="45" t="s">
        <v>757</v>
      </c>
      <c r="H397" s="8">
        <v>169534650</v>
      </c>
      <c r="I397" s="31">
        <v>168891300</v>
      </c>
      <c r="J397" s="8">
        <v>30440000</v>
      </c>
      <c r="K397" s="8">
        <v>31824600</v>
      </c>
      <c r="L397" s="52"/>
      <c r="M397" s="6">
        <f t="shared" si="30"/>
        <v>741250</v>
      </c>
      <c r="N397" s="21" t="str">
        <f t="shared" si="31"/>
        <v>Faltante</v>
      </c>
      <c r="O397" s="65" t="s">
        <v>271</v>
      </c>
      <c r="P397" s="36">
        <v>1010190714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spans="1:35" s="36" customFormat="1" x14ac:dyDescent="0.35">
      <c r="A398" s="72">
        <v>265</v>
      </c>
      <c r="B398" s="28">
        <v>5083</v>
      </c>
      <c r="C398" s="18" t="str">
        <f>VLOOKUP(B398,'Lista MF'!B:C,2,0)</f>
        <v>BELLTECH</v>
      </c>
      <c r="D398" s="36" t="s">
        <v>6</v>
      </c>
      <c r="E398" s="29">
        <v>46094</v>
      </c>
      <c r="F398" s="29">
        <v>46093</v>
      </c>
      <c r="G398" s="45" t="s">
        <v>654</v>
      </c>
      <c r="H398" s="8">
        <v>168718750</v>
      </c>
      <c r="I398" s="31">
        <v>163720750</v>
      </c>
      <c r="J398" s="8">
        <v>10140000</v>
      </c>
      <c r="K398" s="8">
        <v>15135000</v>
      </c>
      <c r="L398" s="52"/>
      <c r="M398" s="6">
        <f t="shared" si="30"/>
        <v>-3000</v>
      </c>
      <c r="N398" s="21" t="str">
        <f t="shared" si="31"/>
        <v>Sobrante</v>
      </c>
      <c r="O398" s="9" t="s">
        <v>880</v>
      </c>
      <c r="P398" s="36">
        <v>1107081130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spans="1:35" s="36" customFormat="1" x14ac:dyDescent="0.35">
      <c r="A399" s="72">
        <v>197</v>
      </c>
      <c r="B399" s="28">
        <v>5084</v>
      </c>
      <c r="C399" s="18" t="str">
        <f>VLOOKUP(B399,'Lista MF'!B:C,2,0)</f>
        <v>BELLTECH</v>
      </c>
      <c r="D399" s="36" t="s">
        <v>6</v>
      </c>
      <c r="E399" s="29">
        <v>46094</v>
      </c>
      <c r="F399" s="29">
        <v>46093</v>
      </c>
      <c r="G399" s="45" t="s">
        <v>744</v>
      </c>
      <c r="H399" s="8">
        <v>126202900</v>
      </c>
      <c r="I399" s="31">
        <v>335703700</v>
      </c>
      <c r="J399" s="8">
        <v>8820000</v>
      </c>
      <c r="K399" s="8">
        <v>123940200</v>
      </c>
      <c r="L399" s="52">
        <v>326401000</v>
      </c>
      <c r="M399" s="6">
        <f t="shared" si="30"/>
        <v>-1780000</v>
      </c>
      <c r="N399" s="21" t="str">
        <f t="shared" si="31"/>
        <v>Sobrante</v>
      </c>
      <c r="O399" s="9" t="s">
        <v>880</v>
      </c>
      <c r="P399" s="36">
        <v>1065652660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spans="1:35" s="36" customFormat="1" x14ac:dyDescent="0.35">
      <c r="A400" s="72">
        <v>634</v>
      </c>
      <c r="B400" s="28">
        <v>5087</v>
      </c>
      <c r="C400" s="18" t="str">
        <f>VLOOKUP(B400,'Lista MF'!B:C,2,0)</f>
        <v>BELLTECH</v>
      </c>
      <c r="D400" s="36" t="s">
        <v>6</v>
      </c>
      <c r="E400" s="29">
        <v>46094</v>
      </c>
      <c r="F400" s="29">
        <v>46093</v>
      </c>
      <c r="G400" s="45" t="s">
        <v>733</v>
      </c>
      <c r="H400" s="8">
        <v>184957000</v>
      </c>
      <c r="I400" s="31">
        <v>200857000</v>
      </c>
      <c r="J400" s="8">
        <v>19380000</v>
      </c>
      <c r="K400" s="8">
        <v>6550000</v>
      </c>
      <c r="L400" s="52">
        <f>-2200000+1920000+1150000+2200000</f>
        <v>3070000</v>
      </c>
      <c r="M400" s="6">
        <f>I400-(H400+J400-K400)-L400</f>
        <v>0</v>
      </c>
      <c r="N400" s="21" t="str">
        <f t="shared" si="31"/>
        <v>Cuadrado</v>
      </c>
      <c r="O400" s="4" t="s">
        <v>884</v>
      </c>
      <c r="P400" s="36">
        <v>1032424944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spans="1:35" s="36" customFormat="1" x14ac:dyDescent="0.35">
      <c r="A401" s="72">
        <v>88</v>
      </c>
      <c r="B401" s="28">
        <v>5111</v>
      </c>
      <c r="C401" s="18" t="str">
        <f>VLOOKUP(B401,'Lista MF'!B:C,2,0)</f>
        <v>BELLTECH</v>
      </c>
      <c r="D401" s="36" t="s">
        <v>6</v>
      </c>
      <c r="E401" s="29">
        <v>46094</v>
      </c>
      <c r="F401" s="29">
        <v>46093</v>
      </c>
      <c r="G401" s="45" t="s">
        <v>855</v>
      </c>
      <c r="H401" s="8">
        <v>373087100</v>
      </c>
      <c r="I401" s="31">
        <v>381382100</v>
      </c>
      <c r="J401" s="8">
        <v>8090000</v>
      </c>
      <c r="K401" s="8">
        <v>0</v>
      </c>
      <c r="L401" s="52"/>
      <c r="M401" s="6">
        <f t="shared" si="30"/>
        <v>205000</v>
      </c>
      <c r="N401" s="21" t="str">
        <f t="shared" si="31"/>
        <v>Faltante</v>
      </c>
      <c r="O401" s="4" t="s">
        <v>622</v>
      </c>
      <c r="P401" s="36">
        <v>27697484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spans="1:35" s="36" customFormat="1" x14ac:dyDescent="0.35">
      <c r="A402" s="72">
        <v>291</v>
      </c>
      <c r="B402" s="28">
        <v>5114</v>
      </c>
      <c r="C402" s="18" t="str">
        <f>VLOOKUP(B402,'Lista MF'!B:C,2,0)</f>
        <v>BELLTECH</v>
      </c>
      <c r="D402" s="36" t="s">
        <v>6</v>
      </c>
      <c r="E402" s="29">
        <v>46094</v>
      </c>
      <c r="F402" s="29">
        <v>46093</v>
      </c>
      <c r="G402" s="45" t="s">
        <v>578</v>
      </c>
      <c r="H402" s="8">
        <v>117934000</v>
      </c>
      <c r="I402" s="31">
        <v>120999000</v>
      </c>
      <c r="J402" s="8">
        <v>9680000</v>
      </c>
      <c r="K402" s="8">
        <v>4609000</v>
      </c>
      <c r="L402" s="52">
        <v>-6000</v>
      </c>
      <c r="M402" s="6">
        <f t="shared" si="30"/>
        <v>-2000000</v>
      </c>
      <c r="N402" s="21" t="str">
        <f t="shared" si="31"/>
        <v>Sobrante</v>
      </c>
      <c r="O402" s="9" t="s">
        <v>880</v>
      </c>
      <c r="P402" s="36">
        <v>1095930956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spans="1:35" s="36" customFormat="1" x14ac:dyDescent="0.35">
      <c r="A403" s="72">
        <v>76</v>
      </c>
      <c r="B403" s="28">
        <v>5126</v>
      </c>
      <c r="C403" s="18" t="str">
        <f>VLOOKUP(B403,'Lista MF'!B:C,2,0)</f>
        <v>BELLTECH</v>
      </c>
      <c r="D403" s="36" t="s">
        <v>6</v>
      </c>
      <c r="E403" s="29">
        <v>46094</v>
      </c>
      <c r="F403" s="29">
        <v>46093</v>
      </c>
      <c r="G403" s="45" t="s">
        <v>856</v>
      </c>
      <c r="H403" s="8">
        <v>98635700</v>
      </c>
      <c r="I403" s="31">
        <v>106975700</v>
      </c>
      <c r="J403" s="8">
        <v>24850000</v>
      </c>
      <c r="K403" s="8">
        <v>16853000</v>
      </c>
      <c r="L403" s="52">
        <v>343000</v>
      </c>
      <c r="M403" s="6">
        <f t="shared" si="30"/>
        <v>0</v>
      </c>
      <c r="N403" s="21" t="str">
        <f t="shared" si="31"/>
        <v>Cuadrado</v>
      </c>
      <c r="O403" s="4" t="s">
        <v>590</v>
      </c>
      <c r="P403" s="36">
        <v>7688705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spans="1:35" s="36" customFormat="1" x14ac:dyDescent="0.35">
      <c r="A404" s="72">
        <v>829</v>
      </c>
      <c r="B404" s="28">
        <v>5137</v>
      </c>
      <c r="C404" s="18" t="str">
        <f>VLOOKUP(B404,'Lista MF'!B:C,2,0)</f>
        <v>BELLTECH</v>
      </c>
      <c r="D404" s="36" t="s">
        <v>6</v>
      </c>
      <c r="E404" s="29">
        <v>46094</v>
      </c>
      <c r="F404" s="29">
        <v>46093</v>
      </c>
      <c r="G404" s="45" t="s">
        <v>824</v>
      </c>
      <c r="H404" s="8">
        <v>167145500</v>
      </c>
      <c r="I404" s="31">
        <v>139165000</v>
      </c>
      <c r="J404" s="8">
        <v>1290000</v>
      </c>
      <c r="K404" s="8">
        <v>17770000</v>
      </c>
      <c r="L404" s="52">
        <v>-3910500</v>
      </c>
      <c r="M404" s="6">
        <f t="shared" si="30"/>
        <v>-7590000</v>
      </c>
      <c r="N404" s="21" t="str">
        <f t="shared" si="31"/>
        <v>Sobrante</v>
      </c>
      <c r="O404" s="9" t="s">
        <v>880</v>
      </c>
      <c r="P404" s="36">
        <v>31306454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spans="1:35" s="36" customFormat="1" x14ac:dyDescent="0.35">
      <c r="A405" s="72">
        <v>258</v>
      </c>
      <c r="B405" s="28">
        <v>5155</v>
      </c>
      <c r="C405" s="18" t="str">
        <f>VLOOKUP(B405,'Lista MF'!B:C,2,0)</f>
        <v>BELLTECH</v>
      </c>
      <c r="D405" s="36" t="s">
        <v>6</v>
      </c>
      <c r="E405" s="29">
        <v>46094</v>
      </c>
      <c r="F405" s="29">
        <v>46093</v>
      </c>
      <c r="G405" s="45" t="s">
        <v>857</v>
      </c>
      <c r="H405" s="8">
        <v>219171850</v>
      </c>
      <c r="I405" s="31">
        <v>213369650</v>
      </c>
      <c r="J405" s="8">
        <v>0</v>
      </c>
      <c r="K405" s="8">
        <v>0</v>
      </c>
      <c r="L405" s="52"/>
      <c r="M405" s="6">
        <f t="shared" si="30"/>
        <v>-5802200</v>
      </c>
      <c r="N405" s="21" t="str">
        <f t="shared" si="31"/>
        <v>Sobrante</v>
      </c>
      <c r="O405" s="9" t="s">
        <v>880</v>
      </c>
      <c r="P405" s="36">
        <v>1049625867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spans="1:35" s="36" customFormat="1" x14ac:dyDescent="0.35">
      <c r="A406" s="72">
        <v>70</v>
      </c>
      <c r="B406" s="28">
        <v>5164</v>
      </c>
      <c r="C406" s="18" t="str">
        <f>VLOOKUP(B406,'Lista MF'!B:C,2,0)</f>
        <v>BELLTECH</v>
      </c>
      <c r="D406" s="36" t="s">
        <v>6</v>
      </c>
      <c r="E406" s="29">
        <v>46094</v>
      </c>
      <c r="F406" s="29">
        <v>46093</v>
      </c>
      <c r="G406" s="45" t="s">
        <v>754</v>
      </c>
      <c r="H406" s="8">
        <v>61802150</v>
      </c>
      <c r="I406" s="31">
        <v>143882150</v>
      </c>
      <c r="J406" s="8">
        <v>10760000</v>
      </c>
      <c r="K406" s="8">
        <v>18060000</v>
      </c>
      <c r="L406" s="52">
        <f>108155000-15000000</f>
        <v>93155000</v>
      </c>
      <c r="M406" s="6">
        <f t="shared" si="30"/>
        <v>-3775000</v>
      </c>
      <c r="N406" s="21" t="str">
        <f t="shared" si="31"/>
        <v>Sobrante</v>
      </c>
      <c r="O406" s="9" t="s">
        <v>880</v>
      </c>
      <c r="P406" s="36">
        <v>1053770486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spans="1:35" s="36" customFormat="1" x14ac:dyDescent="0.35">
      <c r="A407" s="72">
        <v>420</v>
      </c>
      <c r="B407" s="28">
        <v>5173</v>
      </c>
      <c r="C407" s="18" t="str">
        <f>VLOOKUP(B407,'Lista MF'!B:C,2,0)</f>
        <v>BELLTECH</v>
      </c>
      <c r="D407" s="36" t="s">
        <v>6</v>
      </c>
      <c r="E407" s="29">
        <v>46094</v>
      </c>
      <c r="F407" s="29">
        <v>46093</v>
      </c>
      <c r="G407" s="45" t="s">
        <v>858</v>
      </c>
      <c r="H407" s="8">
        <v>117980200</v>
      </c>
      <c r="I407" s="31">
        <v>115825200</v>
      </c>
      <c r="J407" s="8">
        <v>3370000</v>
      </c>
      <c r="K407" s="8">
        <v>3380000</v>
      </c>
      <c r="L407" s="52"/>
      <c r="M407" s="6">
        <f t="shared" si="30"/>
        <v>-2145000</v>
      </c>
      <c r="N407" s="21" t="str">
        <f t="shared" si="31"/>
        <v>Sobrante</v>
      </c>
      <c r="O407" s="9" t="s">
        <v>880</v>
      </c>
      <c r="P407" s="36">
        <v>1020436470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spans="1:35" s="36" customFormat="1" x14ac:dyDescent="0.35">
      <c r="A408" s="72">
        <v>198</v>
      </c>
      <c r="B408" s="28">
        <v>5179</v>
      </c>
      <c r="C408" s="18" t="str">
        <f>VLOOKUP(B408,'Lista MF'!B:C,2,0)</f>
        <v>BELLTECH</v>
      </c>
      <c r="D408" s="36" t="s">
        <v>6</v>
      </c>
      <c r="E408" s="29">
        <v>46094</v>
      </c>
      <c r="F408" s="29">
        <v>46093</v>
      </c>
      <c r="G408" s="45" t="s">
        <v>859</v>
      </c>
      <c r="H408" s="8">
        <v>178003800</v>
      </c>
      <c r="I408" s="31">
        <v>185488800</v>
      </c>
      <c r="J408" s="8">
        <v>9620000</v>
      </c>
      <c r="K408" s="8">
        <v>8389950</v>
      </c>
      <c r="L408" s="52">
        <f>5875000+379950</f>
        <v>6254950</v>
      </c>
      <c r="M408" s="6">
        <f t="shared" si="30"/>
        <v>0</v>
      </c>
      <c r="N408" s="21" t="str">
        <f t="shared" si="31"/>
        <v>Cuadrado</v>
      </c>
      <c r="O408" s="4" t="s">
        <v>885</v>
      </c>
      <c r="P408" s="36">
        <v>53031419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spans="1:35" s="36" customFormat="1" x14ac:dyDescent="0.35">
      <c r="A409" s="72">
        <v>383</v>
      </c>
      <c r="B409" s="28">
        <v>5194</v>
      </c>
      <c r="C409" s="18" t="str">
        <f>VLOOKUP(B409,'Lista MF'!B:C,2,0)</f>
        <v>BELLTECH</v>
      </c>
      <c r="D409" s="36" t="s">
        <v>6</v>
      </c>
      <c r="E409" s="29">
        <v>46094</v>
      </c>
      <c r="F409" s="29">
        <v>46093</v>
      </c>
      <c r="G409" s="45" t="s">
        <v>860</v>
      </c>
      <c r="H409" s="8">
        <v>128733000</v>
      </c>
      <c r="I409" s="31">
        <v>9909000</v>
      </c>
      <c r="J409" s="8">
        <v>2550000</v>
      </c>
      <c r="K409" s="8">
        <v>5100000</v>
      </c>
      <c r="L409" s="52"/>
      <c r="M409" s="6">
        <f t="shared" si="30"/>
        <v>-116274000</v>
      </c>
      <c r="N409" s="87" t="str">
        <f t="shared" si="31"/>
        <v>Sobrante</v>
      </c>
      <c r="O409" s="9" t="s">
        <v>880</v>
      </c>
      <c r="P409" s="36">
        <v>1073160492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spans="1:35" s="36" customFormat="1" x14ac:dyDescent="0.35">
      <c r="A410" s="72">
        <v>816</v>
      </c>
      <c r="B410" s="28">
        <v>5205</v>
      </c>
      <c r="C410" s="18" t="str">
        <f>VLOOKUP(B410,'Lista MF'!B:C,2,0)</f>
        <v>BELLTECH</v>
      </c>
      <c r="D410" s="36" t="s">
        <v>6</v>
      </c>
      <c r="E410" s="29">
        <v>46094</v>
      </c>
      <c r="F410" s="29">
        <v>46093</v>
      </c>
      <c r="G410" s="45" t="s">
        <v>786</v>
      </c>
      <c r="H410" s="8">
        <v>102244950</v>
      </c>
      <c r="I410" s="31">
        <v>86572850</v>
      </c>
      <c r="J410" s="8">
        <v>580000</v>
      </c>
      <c r="K410" s="8">
        <v>13500000</v>
      </c>
      <c r="L410" s="52"/>
      <c r="M410" s="6">
        <f t="shared" si="30"/>
        <v>-2752100</v>
      </c>
      <c r="N410" s="21" t="str">
        <f t="shared" si="31"/>
        <v>Sobrante</v>
      </c>
      <c r="O410" s="9" t="s">
        <v>880</v>
      </c>
      <c r="P410" s="36">
        <v>60396209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spans="1:35" s="36" customFormat="1" x14ac:dyDescent="0.35">
      <c r="A411" s="72">
        <v>455</v>
      </c>
      <c r="B411" s="28">
        <v>5206</v>
      </c>
      <c r="C411" s="18" t="str">
        <f>VLOOKUP(B411,'Lista MF'!B:C,2,0)</f>
        <v>BELLTECH</v>
      </c>
      <c r="D411" s="36" t="s">
        <v>6</v>
      </c>
      <c r="E411" s="29">
        <v>46094</v>
      </c>
      <c r="F411" s="29">
        <v>46093</v>
      </c>
      <c r="G411" s="45" t="s">
        <v>587</v>
      </c>
      <c r="H411" s="8">
        <v>191508150</v>
      </c>
      <c r="I411" s="31">
        <v>173237600</v>
      </c>
      <c r="J411" s="8">
        <v>2070000</v>
      </c>
      <c r="K411" s="8">
        <v>17940000</v>
      </c>
      <c r="L411" s="52"/>
      <c r="M411" s="6">
        <f t="shared" si="30"/>
        <v>-2400550</v>
      </c>
      <c r="N411" s="21" t="str">
        <f t="shared" si="31"/>
        <v>Sobrante</v>
      </c>
      <c r="O411" s="9" t="s">
        <v>880</v>
      </c>
      <c r="P411" s="36">
        <v>1083896352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spans="1:35" s="36" customFormat="1" x14ac:dyDescent="0.35">
      <c r="A412" s="72">
        <v>16</v>
      </c>
      <c r="B412" s="28">
        <v>5219</v>
      </c>
      <c r="C412" s="18" t="str">
        <f>VLOOKUP(B412,'Lista MF'!B:C,2,0)</f>
        <v>BELLTECH</v>
      </c>
      <c r="D412" s="36" t="s">
        <v>6</v>
      </c>
      <c r="E412" s="29">
        <v>46094</v>
      </c>
      <c r="F412" s="29">
        <v>46093</v>
      </c>
      <c r="G412" s="45" t="s">
        <v>802</v>
      </c>
      <c r="H412" s="8">
        <v>128031250</v>
      </c>
      <c r="I412" s="31">
        <v>134121400</v>
      </c>
      <c r="J412" s="8">
        <v>6440000</v>
      </c>
      <c r="K412" s="8">
        <v>13451000</v>
      </c>
      <c r="L412" s="52">
        <v>13101150</v>
      </c>
      <c r="M412" s="6">
        <f t="shared" si="30"/>
        <v>0</v>
      </c>
      <c r="N412" s="21" t="str">
        <f t="shared" si="31"/>
        <v>Cuadrado</v>
      </c>
      <c r="O412" s="4" t="s">
        <v>590</v>
      </c>
      <c r="P412" s="36">
        <v>1128405320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spans="1:35" s="36" customFormat="1" x14ac:dyDescent="0.35">
      <c r="A413" s="72">
        <v>844</v>
      </c>
      <c r="B413" s="28">
        <v>6169</v>
      </c>
      <c r="C413" s="18" t="str">
        <f>VLOOKUP(B413,'Lista MF'!B:C,2,0)</f>
        <v>BELLTECH</v>
      </c>
      <c r="D413" s="36" t="s">
        <v>6</v>
      </c>
      <c r="E413" s="29">
        <v>46094</v>
      </c>
      <c r="F413" s="29">
        <v>46093</v>
      </c>
      <c r="G413" s="45" t="s">
        <v>861</v>
      </c>
      <c r="H413" s="8">
        <v>60723800</v>
      </c>
      <c r="I413" s="31">
        <v>70080600</v>
      </c>
      <c r="J413" s="8">
        <v>34430000</v>
      </c>
      <c r="K413" s="8">
        <v>38075000</v>
      </c>
      <c r="L413" s="52" t="s">
        <v>878</v>
      </c>
      <c r="M413" s="6" t="e">
        <f t="shared" si="30"/>
        <v>#VALUE!</v>
      </c>
      <c r="N413" s="21" t="e">
        <f t="shared" si="31"/>
        <v>#VALUE!</v>
      </c>
      <c r="O413" s="9" t="s">
        <v>880</v>
      </c>
      <c r="P413" s="36">
        <v>1121898145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spans="1:35" s="36" customFormat="1" x14ac:dyDescent="0.35">
      <c r="A414" s="72">
        <v>820</v>
      </c>
      <c r="B414" s="28">
        <v>6174</v>
      </c>
      <c r="C414" s="18" t="str">
        <f>VLOOKUP(B414,'Lista MF'!B:C,2,0)</f>
        <v>BELLTECH</v>
      </c>
      <c r="D414" s="36" t="s">
        <v>6</v>
      </c>
      <c r="E414" s="29">
        <v>46094</v>
      </c>
      <c r="F414" s="29">
        <v>46093</v>
      </c>
      <c r="G414" s="45" t="s">
        <v>595</v>
      </c>
      <c r="H414" s="8">
        <v>210582100</v>
      </c>
      <c r="I414" s="31">
        <v>230572200</v>
      </c>
      <c r="J414" s="8">
        <v>5340000</v>
      </c>
      <c r="K414" s="8">
        <v>2050000</v>
      </c>
      <c r="L414" s="52">
        <v>55699000</v>
      </c>
      <c r="M414" s="6">
        <f t="shared" si="30"/>
        <v>-38998900</v>
      </c>
      <c r="N414" s="21" t="str">
        <f t="shared" si="31"/>
        <v>Sobrante</v>
      </c>
      <c r="O414" s="9" t="s">
        <v>880</v>
      </c>
      <c r="P414" s="36">
        <v>1090400247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spans="1:35" s="36" customFormat="1" x14ac:dyDescent="0.35">
      <c r="A415" s="72">
        <v>688</v>
      </c>
      <c r="B415" s="28">
        <v>6209</v>
      </c>
      <c r="C415" s="18" t="str">
        <f>VLOOKUP(B415,'Lista MF'!B:C,2,0)</f>
        <v>DIEBOLD</v>
      </c>
      <c r="D415" s="36" t="s">
        <v>6</v>
      </c>
      <c r="E415" s="29">
        <v>46094</v>
      </c>
      <c r="F415" s="29">
        <v>46093</v>
      </c>
      <c r="G415" s="45" t="s">
        <v>655</v>
      </c>
      <c r="H415" s="8">
        <v>270578200</v>
      </c>
      <c r="I415" s="31">
        <v>223172200</v>
      </c>
      <c r="J415" s="8">
        <v>37190000</v>
      </c>
      <c r="K415" s="8">
        <v>69596000</v>
      </c>
      <c r="L415" s="52">
        <v>-15000000</v>
      </c>
      <c r="M415" s="6">
        <f t="shared" si="30"/>
        <v>0</v>
      </c>
      <c r="N415" s="21" t="str">
        <f t="shared" si="31"/>
        <v>Cuadrado</v>
      </c>
      <c r="O415" s="4" t="s">
        <v>590</v>
      </c>
      <c r="P415" s="36">
        <v>1010183662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spans="1:35" s="36" customFormat="1" x14ac:dyDescent="0.35">
      <c r="A416" s="72">
        <v>74</v>
      </c>
      <c r="B416" s="28">
        <v>6215</v>
      </c>
      <c r="C416" s="18" t="str">
        <f>VLOOKUP(B416,'Lista MF'!B:C,2,0)</f>
        <v>DIEBOLD</v>
      </c>
      <c r="D416" s="36" t="s">
        <v>99</v>
      </c>
      <c r="E416" s="29">
        <v>46094</v>
      </c>
      <c r="F416" s="29">
        <v>46093</v>
      </c>
      <c r="G416" s="45" t="s">
        <v>828</v>
      </c>
      <c r="H416" s="8">
        <v>106897450</v>
      </c>
      <c r="I416" s="31">
        <v>88349450</v>
      </c>
      <c r="J416" s="8">
        <v>1000000</v>
      </c>
      <c r="K416" s="8">
        <v>15150000</v>
      </c>
      <c r="L416" s="52">
        <v>-1693000</v>
      </c>
      <c r="M416" s="6">
        <f t="shared" si="30"/>
        <v>-2705000</v>
      </c>
      <c r="N416" s="21" t="str">
        <f t="shared" si="31"/>
        <v>Sobrante</v>
      </c>
      <c r="O416" s="9" t="s">
        <v>880</v>
      </c>
      <c r="P416" s="36">
        <v>59314706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spans="1:35" s="36" customFormat="1" x14ac:dyDescent="0.35">
      <c r="A417" s="72">
        <v>236</v>
      </c>
      <c r="B417" s="28">
        <v>6242</v>
      </c>
      <c r="C417" s="18" t="str">
        <f>VLOOKUP(B417,'Lista MF'!B:C,2,0)</f>
        <v>BELLTECH</v>
      </c>
      <c r="D417" s="36" t="s">
        <v>6</v>
      </c>
      <c r="E417" s="29">
        <v>46094</v>
      </c>
      <c r="F417" s="29">
        <v>46093</v>
      </c>
      <c r="G417" s="45" t="s">
        <v>635</v>
      </c>
      <c r="H417" s="8">
        <v>210004600</v>
      </c>
      <c r="I417" s="31">
        <v>249923600</v>
      </c>
      <c r="J417" s="8">
        <v>0</v>
      </c>
      <c r="K417" s="8">
        <v>0</v>
      </c>
      <c r="L417" s="52"/>
      <c r="M417" s="6">
        <f t="shared" si="30"/>
        <v>39919000</v>
      </c>
      <c r="N417" s="21" t="str">
        <f t="shared" si="31"/>
        <v>Faltante</v>
      </c>
      <c r="O417" s="4" t="s">
        <v>622</v>
      </c>
      <c r="P417" s="36">
        <v>71369714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spans="1:35" s="36" customFormat="1" x14ac:dyDescent="0.35">
      <c r="A418" s="72">
        <v>79</v>
      </c>
      <c r="B418" s="28">
        <v>6245</v>
      </c>
      <c r="C418" s="18" t="str">
        <f>VLOOKUP(B418,'Lista MF'!B:C,2,0)</f>
        <v>BELLTECH</v>
      </c>
      <c r="D418" s="36" t="s">
        <v>6</v>
      </c>
      <c r="E418" s="29">
        <v>46094</v>
      </c>
      <c r="F418" s="29">
        <v>46093</v>
      </c>
      <c r="G418" s="45" t="s">
        <v>862</v>
      </c>
      <c r="H418" s="8">
        <v>3189950</v>
      </c>
      <c r="I418" s="31">
        <v>375845000</v>
      </c>
      <c r="J418" s="8">
        <v>0</v>
      </c>
      <c r="K418" s="8">
        <v>6025000</v>
      </c>
      <c r="L418" s="52">
        <v>383680000</v>
      </c>
      <c r="M418" s="6">
        <f t="shared" si="30"/>
        <v>-4999950</v>
      </c>
      <c r="N418" s="21" t="str">
        <f t="shared" si="31"/>
        <v>Sobrante</v>
      </c>
      <c r="O418" s="9" t="s">
        <v>880</v>
      </c>
      <c r="P418" s="36">
        <v>79772242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spans="1:35" s="36" customFormat="1" x14ac:dyDescent="0.35">
      <c r="A419" s="72">
        <v>78</v>
      </c>
      <c r="B419" s="28">
        <v>6246</v>
      </c>
      <c r="C419" s="18" t="str">
        <f>VLOOKUP(B419,'Lista MF'!B:C,2,0)</f>
        <v>BELLTECH</v>
      </c>
      <c r="D419" s="36" t="s">
        <v>6</v>
      </c>
      <c r="E419" s="29">
        <v>46094</v>
      </c>
      <c r="F419" s="29">
        <v>46093</v>
      </c>
      <c r="G419" s="45" t="s">
        <v>649</v>
      </c>
      <c r="H419" s="8">
        <v>240659850</v>
      </c>
      <c r="I419" s="31">
        <v>247209850</v>
      </c>
      <c r="J419" s="8">
        <v>990000</v>
      </c>
      <c r="K419" s="8">
        <v>0</v>
      </c>
      <c r="L419" s="52">
        <f>-1260000+2590000+2970000+1260000</f>
        <v>5560000</v>
      </c>
      <c r="M419" s="6">
        <f t="shared" si="30"/>
        <v>0</v>
      </c>
      <c r="N419" s="21" t="str">
        <f t="shared" si="31"/>
        <v>Cuadrado</v>
      </c>
      <c r="O419" s="4" t="s">
        <v>886</v>
      </c>
      <c r="P419" s="36">
        <v>1098657131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spans="1:35" s="36" customFormat="1" x14ac:dyDescent="0.35">
      <c r="A420" s="72">
        <v>524</v>
      </c>
      <c r="B420" s="28">
        <v>6336</v>
      </c>
      <c r="C420" s="18" t="str">
        <f>VLOOKUP(B420,'Lista MF'!B:C,2,0)</f>
        <v>BELLTECH</v>
      </c>
      <c r="D420" s="36" t="s">
        <v>6</v>
      </c>
      <c r="E420" s="29">
        <v>46094</v>
      </c>
      <c r="F420" s="29">
        <v>46093</v>
      </c>
      <c r="G420" s="45" t="s">
        <v>863</v>
      </c>
      <c r="H420" s="8">
        <v>28358950</v>
      </c>
      <c r="I420" s="31">
        <v>28462950</v>
      </c>
      <c r="J420" s="8">
        <v>500000</v>
      </c>
      <c r="K420" s="8">
        <v>400000</v>
      </c>
      <c r="L420" s="52"/>
      <c r="M420" s="6">
        <f t="shared" si="30"/>
        <v>4000</v>
      </c>
      <c r="N420" s="21" t="str">
        <f t="shared" si="31"/>
        <v>Faltante</v>
      </c>
      <c r="O420" s="13" t="s">
        <v>879</v>
      </c>
      <c r="P420" s="36">
        <v>1004211532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spans="1:35" s="36" customFormat="1" x14ac:dyDescent="0.35">
      <c r="A421" s="72">
        <v>237</v>
      </c>
      <c r="B421" s="28">
        <v>6467</v>
      </c>
      <c r="C421" s="18" t="str">
        <f>VLOOKUP(B421,'Lista MF'!B:C,2,0)</f>
        <v>BELLTECH</v>
      </c>
      <c r="D421" s="36" t="s">
        <v>6</v>
      </c>
      <c r="E421" s="29">
        <v>46094</v>
      </c>
      <c r="F421" s="29">
        <v>46093</v>
      </c>
      <c r="G421" s="45" t="s">
        <v>585</v>
      </c>
      <c r="H421" s="8">
        <v>116595550</v>
      </c>
      <c r="I421" s="31">
        <v>117060550</v>
      </c>
      <c r="J421" s="8">
        <v>710000</v>
      </c>
      <c r="K421" s="8">
        <v>400000</v>
      </c>
      <c r="L421" s="52">
        <f>20000+135000</f>
        <v>155000</v>
      </c>
      <c r="M421" s="6">
        <f t="shared" si="30"/>
        <v>0</v>
      </c>
      <c r="N421" s="21" t="str">
        <f t="shared" si="31"/>
        <v>Cuadrado</v>
      </c>
      <c r="O421" s="4" t="s">
        <v>887</v>
      </c>
      <c r="P421" s="36">
        <v>1016078081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spans="1:35" s="36" customFormat="1" x14ac:dyDescent="0.35">
      <c r="A422" s="72">
        <v>352</v>
      </c>
      <c r="B422" s="28">
        <v>6618</v>
      </c>
      <c r="C422" s="18" t="str">
        <f>VLOOKUP(B422,'Lista MF'!B:C,2,0)</f>
        <v>BELLTECH</v>
      </c>
      <c r="D422" s="36" t="s">
        <v>6</v>
      </c>
      <c r="E422" s="29">
        <v>46094</v>
      </c>
      <c r="F422" s="29">
        <v>46093</v>
      </c>
      <c r="G422" s="45" t="s">
        <v>864</v>
      </c>
      <c r="H422" s="8">
        <v>252384600</v>
      </c>
      <c r="I422" s="31">
        <v>261196200</v>
      </c>
      <c r="J422" s="8">
        <v>42950000</v>
      </c>
      <c r="K422" s="8">
        <v>43885000</v>
      </c>
      <c r="L422" s="52">
        <v>9750600</v>
      </c>
      <c r="M422" s="6">
        <f t="shared" si="30"/>
        <v>-4000</v>
      </c>
      <c r="N422" s="21" t="str">
        <f t="shared" si="31"/>
        <v>Sobrante</v>
      </c>
      <c r="O422" s="9" t="s">
        <v>880</v>
      </c>
      <c r="P422" s="36">
        <v>28559006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spans="1:35" s="36" customFormat="1" x14ac:dyDescent="0.35">
      <c r="A423" s="72">
        <v>138</v>
      </c>
      <c r="B423" s="28">
        <v>6628</v>
      </c>
      <c r="C423" s="18" t="str">
        <f>VLOOKUP(B423,'Lista MF'!B:C,2,0)</f>
        <v>DIEBOLD</v>
      </c>
      <c r="D423" s="36" t="s">
        <v>6</v>
      </c>
      <c r="E423" s="29">
        <v>46094</v>
      </c>
      <c r="F423" s="29">
        <v>46093</v>
      </c>
      <c r="G423" s="45" t="s">
        <v>865</v>
      </c>
      <c r="H423" s="8">
        <v>316378600</v>
      </c>
      <c r="I423" s="31">
        <v>316913600</v>
      </c>
      <c r="J423" s="8">
        <v>5900000</v>
      </c>
      <c r="K423" s="8">
        <v>5364000</v>
      </c>
      <c r="L423" s="52"/>
      <c r="M423" s="6">
        <f t="shared" si="30"/>
        <v>-1000</v>
      </c>
      <c r="N423" s="21" t="str">
        <f t="shared" si="31"/>
        <v>Sobrante</v>
      </c>
      <c r="O423" s="9" t="s">
        <v>880</v>
      </c>
      <c r="P423" s="36">
        <v>1023884092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spans="1:35" s="36" customFormat="1" x14ac:dyDescent="0.35">
      <c r="A424" s="72">
        <v>613</v>
      </c>
      <c r="B424" s="28">
        <v>6713</v>
      </c>
      <c r="C424" s="18" t="str">
        <f>VLOOKUP(B424,'Lista MF'!B:C,2,0)</f>
        <v>DIEBOLD</v>
      </c>
      <c r="D424" s="36" t="s">
        <v>99</v>
      </c>
      <c r="E424" s="29">
        <v>46094</v>
      </c>
      <c r="F424" s="29">
        <v>46093</v>
      </c>
      <c r="G424" s="45" t="s">
        <v>629</v>
      </c>
      <c r="H424" s="8">
        <v>209794550</v>
      </c>
      <c r="I424" s="31">
        <v>209539550</v>
      </c>
      <c r="J424" s="8">
        <v>250000</v>
      </c>
      <c r="K424" s="8">
        <v>1302000</v>
      </c>
      <c r="L424" s="52">
        <v>797000</v>
      </c>
      <c r="M424" s="6">
        <f t="shared" si="30"/>
        <v>0</v>
      </c>
      <c r="N424" s="21" t="str">
        <f t="shared" si="31"/>
        <v>Cuadrado</v>
      </c>
      <c r="O424" s="4" t="s">
        <v>888</v>
      </c>
      <c r="P424" s="36">
        <v>1040325060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spans="1:35" s="36" customFormat="1" x14ac:dyDescent="0.35">
      <c r="A425" s="72">
        <v>20</v>
      </c>
      <c r="B425" s="28">
        <v>6839</v>
      </c>
      <c r="C425" s="18" t="str">
        <f>VLOOKUP(B425,'Lista MF'!B:C,2,0)</f>
        <v>BELLTECH</v>
      </c>
      <c r="D425" s="36" t="s">
        <v>6</v>
      </c>
      <c r="E425" s="29">
        <v>46094</v>
      </c>
      <c r="F425" s="29">
        <v>46093</v>
      </c>
      <c r="G425" s="45" t="s">
        <v>565</v>
      </c>
      <c r="H425" s="8">
        <v>22358800</v>
      </c>
      <c r="I425" s="31">
        <v>85371800</v>
      </c>
      <c r="J425" s="8">
        <v>51740000</v>
      </c>
      <c r="K425" s="8">
        <v>23245000</v>
      </c>
      <c r="L425" s="52">
        <f>-1770000+60568000-30000000+1770000+700000+290000+1770000</f>
        <v>33328000</v>
      </c>
      <c r="M425" s="6">
        <f t="shared" si="30"/>
        <v>1190000</v>
      </c>
      <c r="N425" s="21" t="str">
        <f t="shared" si="31"/>
        <v>Faltante</v>
      </c>
      <c r="O425" s="75" t="s">
        <v>895</v>
      </c>
      <c r="P425" s="36">
        <v>91232943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spans="1:35" s="36" customFormat="1" x14ac:dyDescent="0.35">
      <c r="A426" s="72">
        <v>536</v>
      </c>
      <c r="B426" s="28">
        <v>6927</v>
      </c>
      <c r="C426" s="18" t="str">
        <f>VLOOKUP(B426,'Lista MF'!B:C,2,0)</f>
        <v>DIEBOLD</v>
      </c>
      <c r="D426" s="36" t="s">
        <v>6</v>
      </c>
      <c r="E426" s="29">
        <v>46094</v>
      </c>
      <c r="F426" s="29">
        <v>46093</v>
      </c>
      <c r="G426" s="45" t="s">
        <v>781</v>
      </c>
      <c r="H426" s="8">
        <v>369829900</v>
      </c>
      <c r="I426" s="31">
        <v>315219000</v>
      </c>
      <c r="J426" s="8">
        <v>20580000</v>
      </c>
      <c r="K426" s="8">
        <v>76314900</v>
      </c>
      <c r="L426" s="52">
        <v>1124000</v>
      </c>
      <c r="M426" s="6">
        <f t="shared" si="30"/>
        <v>0</v>
      </c>
      <c r="N426" s="21" t="str">
        <f t="shared" si="31"/>
        <v>Cuadrado</v>
      </c>
      <c r="O426" s="4" t="s">
        <v>889</v>
      </c>
      <c r="P426" s="36">
        <v>35891536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spans="1:35" s="36" customFormat="1" x14ac:dyDescent="0.35">
      <c r="A427" s="72">
        <v>549</v>
      </c>
      <c r="B427" s="28">
        <v>7123</v>
      </c>
      <c r="C427" s="18" t="str">
        <f>VLOOKUP(B427,'Lista MF'!B:C,2,0)</f>
        <v>BELLTECH</v>
      </c>
      <c r="D427" s="36" t="s">
        <v>6</v>
      </c>
      <c r="E427" s="29">
        <v>46094</v>
      </c>
      <c r="F427" s="29">
        <v>46093</v>
      </c>
      <c r="G427" s="45" t="s">
        <v>866</v>
      </c>
      <c r="H427" s="8">
        <v>228423750</v>
      </c>
      <c r="I427" s="31">
        <v>281353750</v>
      </c>
      <c r="J427" s="8">
        <v>26110000</v>
      </c>
      <c r="K427" s="8">
        <v>12659000</v>
      </c>
      <c r="L427" s="52"/>
      <c r="M427" s="6">
        <f t="shared" si="30"/>
        <v>39479000</v>
      </c>
      <c r="N427" s="21" t="str">
        <f t="shared" si="31"/>
        <v>Faltante</v>
      </c>
      <c r="O427" s="65" t="s">
        <v>271</v>
      </c>
      <c r="P427" s="36">
        <v>39428454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spans="1:35" s="36" customFormat="1" x14ac:dyDescent="0.35">
      <c r="A428" s="72">
        <v>385</v>
      </c>
      <c r="B428" s="28">
        <v>7139</v>
      </c>
      <c r="C428" s="18" t="str">
        <f>VLOOKUP(B428,'Lista MF'!B:C,2,0)</f>
        <v>BELLTECH</v>
      </c>
      <c r="D428" s="36" t="s">
        <v>6</v>
      </c>
      <c r="E428" s="29">
        <v>46094</v>
      </c>
      <c r="F428" s="29">
        <v>46093</v>
      </c>
      <c r="G428" s="45" t="s">
        <v>816</v>
      </c>
      <c r="H428" s="8">
        <v>224195550</v>
      </c>
      <c r="I428" s="31">
        <v>243190550</v>
      </c>
      <c r="J428" s="8">
        <v>12440000</v>
      </c>
      <c r="K428" s="8">
        <v>7160000</v>
      </c>
      <c r="L428" s="52">
        <v>13715000</v>
      </c>
      <c r="M428" s="6">
        <f t="shared" si="30"/>
        <v>0</v>
      </c>
      <c r="N428" s="21" t="str">
        <f t="shared" si="31"/>
        <v>Cuadrado</v>
      </c>
      <c r="O428" s="4" t="s">
        <v>890</v>
      </c>
      <c r="P428" s="36">
        <v>1077970238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spans="1:35" s="36" customFormat="1" x14ac:dyDescent="0.35">
      <c r="A429" s="72">
        <v>7</v>
      </c>
      <c r="B429" s="28">
        <v>7812</v>
      </c>
      <c r="C429" s="18" t="str">
        <f>VLOOKUP(B429,'Lista MF'!B:C,2,0)</f>
        <v>DIEBOLD</v>
      </c>
      <c r="D429" s="36" t="s">
        <v>99</v>
      </c>
      <c r="E429" s="29">
        <v>46094</v>
      </c>
      <c r="F429" s="29">
        <v>46093</v>
      </c>
      <c r="G429" s="45" t="s">
        <v>867</v>
      </c>
      <c r="H429" s="8">
        <v>79467200</v>
      </c>
      <c r="I429" s="31">
        <v>72091200</v>
      </c>
      <c r="J429" s="8">
        <v>6330000</v>
      </c>
      <c r="K429" s="8">
        <v>24166000</v>
      </c>
      <c r="L429" s="52" t="s">
        <v>876</v>
      </c>
      <c r="M429" s="6" t="e">
        <f t="shared" si="30"/>
        <v>#VALUE!</v>
      </c>
      <c r="N429" s="21" t="e">
        <f t="shared" si="31"/>
        <v>#VALUE!</v>
      </c>
      <c r="O429" s="13" t="s">
        <v>879</v>
      </c>
      <c r="P429" s="36">
        <v>1020460907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spans="1:35" s="36" customFormat="1" x14ac:dyDescent="0.35">
      <c r="A430" s="72">
        <v>693</v>
      </c>
      <c r="B430" s="28">
        <v>7979</v>
      </c>
      <c r="C430" s="18" t="str">
        <f>VLOOKUP(B430,'Lista MF'!B:C,2,0)</f>
        <v>BELLTECH</v>
      </c>
      <c r="D430" s="36" t="s">
        <v>6</v>
      </c>
      <c r="E430" s="29">
        <v>46094</v>
      </c>
      <c r="F430" s="29">
        <v>46093</v>
      </c>
      <c r="G430" s="45" t="s">
        <v>559</v>
      </c>
      <c r="H430" s="8">
        <v>191976900</v>
      </c>
      <c r="I430" s="31">
        <v>150361900</v>
      </c>
      <c r="J430" s="8">
        <v>5800000</v>
      </c>
      <c r="K430" s="8">
        <v>46785000</v>
      </c>
      <c r="L430" s="52">
        <v>-630000</v>
      </c>
      <c r="M430" s="6">
        <f t="shared" si="30"/>
        <v>0</v>
      </c>
      <c r="N430" s="21" t="str">
        <f t="shared" si="31"/>
        <v>Cuadrado</v>
      </c>
      <c r="O430" s="4" t="s">
        <v>590</v>
      </c>
      <c r="P430" s="36">
        <v>98557134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spans="1:35" s="36" customFormat="1" x14ac:dyDescent="0.35">
      <c r="A431" s="72">
        <v>554</v>
      </c>
      <c r="B431" s="28">
        <v>8294</v>
      </c>
      <c r="C431" s="18" t="str">
        <f>VLOOKUP(B431,'Lista MF'!B:C,2,0)</f>
        <v>BELLTECH</v>
      </c>
      <c r="D431" s="36" t="s">
        <v>6</v>
      </c>
      <c r="E431" s="29">
        <v>46094</v>
      </c>
      <c r="F431" s="29">
        <v>46093</v>
      </c>
      <c r="G431" s="45" t="s">
        <v>723</v>
      </c>
      <c r="H431" s="8">
        <v>325339250</v>
      </c>
      <c r="I431" s="31">
        <v>330089750</v>
      </c>
      <c r="J431" s="8">
        <v>1280000</v>
      </c>
      <c r="K431" s="8">
        <v>0</v>
      </c>
      <c r="L431" s="52">
        <f>1140000+2330500</f>
        <v>3470500</v>
      </c>
      <c r="M431" s="6">
        <f t="shared" si="30"/>
        <v>0</v>
      </c>
      <c r="N431" s="21" t="str">
        <f t="shared" si="31"/>
        <v>Cuadrado</v>
      </c>
      <c r="O431" s="4" t="s">
        <v>891</v>
      </c>
      <c r="P431" s="36">
        <v>1143151164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spans="1:35" s="36" customFormat="1" x14ac:dyDescent="0.35">
      <c r="A432" s="72">
        <v>554</v>
      </c>
      <c r="B432" s="28">
        <v>8295</v>
      </c>
      <c r="C432" s="18" t="str">
        <f>VLOOKUP(B432,'Lista MF'!B:C,2,0)</f>
        <v>BELLTECH</v>
      </c>
      <c r="D432" s="36" t="s">
        <v>6</v>
      </c>
      <c r="E432" s="29">
        <v>46094</v>
      </c>
      <c r="F432" s="29">
        <v>46093</v>
      </c>
      <c r="G432" s="45" t="s">
        <v>540</v>
      </c>
      <c r="H432" s="8">
        <v>252268800</v>
      </c>
      <c r="I432" s="31">
        <v>229308450</v>
      </c>
      <c r="J432" s="8">
        <v>2050000</v>
      </c>
      <c r="K432" s="8">
        <v>24060000</v>
      </c>
      <c r="L432" s="52"/>
      <c r="M432" s="6">
        <f t="shared" si="30"/>
        <v>-950350</v>
      </c>
      <c r="N432" s="21" t="str">
        <f t="shared" si="31"/>
        <v>Sobrante</v>
      </c>
      <c r="O432" s="9" t="s">
        <v>880</v>
      </c>
      <c r="P432" s="36">
        <v>1143151164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spans="1:35" s="36" customFormat="1" x14ac:dyDescent="0.35">
      <c r="A433" s="72">
        <v>236</v>
      </c>
      <c r="B433" s="28">
        <v>8497</v>
      </c>
      <c r="C433" s="18" t="str">
        <f>VLOOKUP(B433,'Lista MF'!B:C,2,0)</f>
        <v>BELLTECH</v>
      </c>
      <c r="D433" s="36" t="s">
        <v>6</v>
      </c>
      <c r="E433" s="29">
        <v>46094</v>
      </c>
      <c r="F433" s="29">
        <v>46093</v>
      </c>
      <c r="G433" s="45" t="s">
        <v>740</v>
      </c>
      <c r="H433" s="8">
        <v>208888300</v>
      </c>
      <c r="I433" s="31">
        <v>166352300</v>
      </c>
      <c r="J433" s="8">
        <v>21070000</v>
      </c>
      <c r="K433" s="8">
        <v>59548000</v>
      </c>
      <c r="L433" s="52"/>
      <c r="M433" s="6">
        <f t="shared" si="30"/>
        <v>-4058000</v>
      </c>
      <c r="N433" s="21" t="str">
        <f t="shared" si="31"/>
        <v>Sobrante</v>
      </c>
      <c r="O433" s="9" t="s">
        <v>880</v>
      </c>
      <c r="P433" s="36">
        <v>71369714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spans="1:35" s="36" customFormat="1" x14ac:dyDescent="0.35">
      <c r="A434" s="72">
        <v>78</v>
      </c>
      <c r="B434" s="28">
        <v>8594</v>
      </c>
      <c r="C434" s="18" t="str">
        <f>VLOOKUP(B434,'Lista MF'!B:C,2,0)</f>
        <v>BELLTECH</v>
      </c>
      <c r="D434" s="36" t="s">
        <v>6</v>
      </c>
      <c r="E434" s="29">
        <v>46094</v>
      </c>
      <c r="F434" s="29">
        <v>46093</v>
      </c>
      <c r="G434" s="45" t="s">
        <v>868</v>
      </c>
      <c r="H434" s="8">
        <v>194525150</v>
      </c>
      <c r="I434" s="31">
        <v>185085150</v>
      </c>
      <c r="J434" s="8">
        <v>510000</v>
      </c>
      <c r="K434" s="8">
        <v>12149950</v>
      </c>
      <c r="L434" s="52">
        <f>-210000+2202000+207950</f>
        <v>2199950</v>
      </c>
      <c r="M434" s="6">
        <f t="shared" si="30"/>
        <v>0</v>
      </c>
      <c r="N434" s="21" t="str">
        <f t="shared" si="31"/>
        <v>Cuadrado</v>
      </c>
      <c r="O434" s="4" t="s">
        <v>892</v>
      </c>
      <c r="P434" s="36">
        <v>1098657131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spans="1:35" s="36" customFormat="1" x14ac:dyDescent="0.35">
      <c r="A435" s="72">
        <v>866</v>
      </c>
      <c r="B435" s="28">
        <v>8662</v>
      </c>
      <c r="C435" s="18" t="str">
        <f>VLOOKUP(B435,'Lista MF'!B:C,2,0)</f>
        <v>BELLTECH</v>
      </c>
      <c r="D435" s="36" t="s">
        <v>6</v>
      </c>
      <c r="E435" s="29">
        <v>46094</v>
      </c>
      <c r="F435" s="29">
        <v>46093</v>
      </c>
      <c r="G435" s="45" t="s">
        <v>587</v>
      </c>
      <c r="H435" s="8">
        <v>268806450</v>
      </c>
      <c r="I435" s="31">
        <v>277320450</v>
      </c>
      <c r="J435" s="8">
        <v>9220000</v>
      </c>
      <c r="K435" s="8">
        <v>25000</v>
      </c>
      <c r="L435" s="52"/>
      <c r="M435" s="6">
        <f t="shared" si="30"/>
        <v>-681000</v>
      </c>
      <c r="N435" s="21" t="str">
        <f t="shared" si="31"/>
        <v>Sobrante</v>
      </c>
      <c r="O435" s="9" t="s">
        <v>880</v>
      </c>
      <c r="P435" s="36">
        <v>1113674245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spans="1:35" s="36" customFormat="1" x14ac:dyDescent="0.35">
      <c r="A436" s="72">
        <v>721</v>
      </c>
      <c r="B436" s="28">
        <v>8897</v>
      </c>
      <c r="C436" s="18" t="str">
        <f>VLOOKUP(B436,'Lista MF'!B:C,2,0)</f>
        <v>DIEBOLD</v>
      </c>
      <c r="D436" s="36" t="s">
        <v>99</v>
      </c>
      <c r="E436" s="29">
        <v>46094</v>
      </c>
      <c r="F436" s="29">
        <v>46093</v>
      </c>
      <c r="G436" s="45" t="s">
        <v>867</v>
      </c>
      <c r="H436" s="8">
        <v>264876000</v>
      </c>
      <c r="I436" s="31">
        <v>249931500</v>
      </c>
      <c r="J436" s="8">
        <v>5030000</v>
      </c>
      <c r="K436" s="8">
        <v>20927000</v>
      </c>
      <c r="L436" s="52"/>
      <c r="M436" s="6">
        <f t="shared" si="30"/>
        <v>952500</v>
      </c>
      <c r="N436" s="21" t="str">
        <f t="shared" si="31"/>
        <v>Faltante</v>
      </c>
      <c r="O436" s="13" t="s">
        <v>879</v>
      </c>
      <c r="P436" s="36">
        <v>1088262262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spans="1:35" s="36" customFormat="1" x14ac:dyDescent="0.35">
      <c r="A437" s="72">
        <v>20</v>
      </c>
      <c r="B437" s="28">
        <v>8927</v>
      </c>
      <c r="C437" s="18" t="str">
        <f>VLOOKUP(B437,'Lista MF'!B:C,2,0)</f>
        <v>BELLTECH</v>
      </c>
      <c r="D437" s="36" t="s">
        <v>6</v>
      </c>
      <c r="E437" s="29">
        <v>46094</v>
      </c>
      <c r="F437" s="29">
        <v>46093</v>
      </c>
      <c r="G437" s="45" t="s">
        <v>599</v>
      </c>
      <c r="H437" s="8">
        <v>38107450</v>
      </c>
      <c r="I437" s="31">
        <v>45006550</v>
      </c>
      <c r="J437" s="8">
        <v>46590000</v>
      </c>
      <c r="K437" s="8">
        <v>10961900</v>
      </c>
      <c r="L437" s="52">
        <f>-40000000+12701000</f>
        <v>-27299000</v>
      </c>
      <c r="M437" s="6">
        <f t="shared" si="30"/>
        <v>-1430000</v>
      </c>
      <c r="N437" s="21" t="str">
        <f t="shared" si="31"/>
        <v>Sobrante</v>
      </c>
      <c r="O437" s="9" t="s">
        <v>880</v>
      </c>
      <c r="P437" s="36">
        <v>91232943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spans="1:35" s="36" customFormat="1" x14ac:dyDescent="0.35">
      <c r="A438" s="72">
        <v>536</v>
      </c>
      <c r="B438" s="28">
        <v>8988</v>
      </c>
      <c r="C438" s="18" t="str">
        <f>VLOOKUP(B438,'Lista MF'!B:C,2,0)</f>
        <v>DIEBOLD</v>
      </c>
      <c r="D438" s="36" t="s">
        <v>99</v>
      </c>
      <c r="E438" s="29">
        <v>46094</v>
      </c>
      <c r="F438" s="29">
        <v>46093</v>
      </c>
      <c r="G438" s="45" t="s">
        <v>869</v>
      </c>
      <c r="H438" s="8">
        <v>221348850</v>
      </c>
      <c r="I438" s="31">
        <v>163462950</v>
      </c>
      <c r="J438" s="8">
        <v>26220000</v>
      </c>
      <c r="K438" s="8">
        <v>83992100</v>
      </c>
      <c r="L438" s="52"/>
      <c r="M438" s="6">
        <f t="shared" si="30"/>
        <v>-113800</v>
      </c>
      <c r="N438" s="21" t="str">
        <f t="shared" si="31"/>
        <v>Sobrante</v>
      </c>
      <c r="O438" s="9" t="s">
        <v>880</v>
      </c>
      <c r="P438" s="36">
        <v>35891536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spans="1:35" s="36" customFormat="1" x14ac:dyDescent="0.35">
      <c r="A439" s="72">
        <v>20</v>
      </c>
      <c r="B439" s="28">
        <v>9204</v>
      </c>
      <c r="C439" s="18" t="str">
        <f>VLOOKUP(B439,'Lista MF'!B:C,2,0)</f>
        <v>BELLTECH</v>
      </c>
      <c r="D439" s="36" t="s">
        <v>6</v>
      </c>
      <c r="E439" s="29">
        <v>46094</v>
      </c>
      <c r="F439" s="29">
        <v>46093</v>
      </c>
      <c r="G439" s="45" t="s">
        <v>586</v>
      </c>
      <c r="H439" s="8">
        <v>84670650</v>
      </c>
      <c r="I439" s="31">
        <v>23463350</v>
      </c>
      <c r="J439" s="8">
        <v>30000000</v>
      </c>
      <c r="K439" s="8">
        <v>12906000</v>
      </c>
      <c r="L439" s="52">
        <f>-50000000-30000000+1245000</f>
        <v>-78755000</v>
      </c>
      <c r="M439" s="6">
        <f t="shared" si="30"/>
        <v>453700</v>
      </c>
      <c r="N439" s="21" t="str">
        <f t="shared" si="31"/>
        <v>Faltante</v>
      </c>
      <c r="O439" s="75" t="s">
        <v>271</v>
      </c>
      <c r="P439" s="36">
        <v>91232943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spans="1:35" s="36" customFormat="1" x14ac:dyDescent="0.35">
      <c r="A440" s="72">
        <v>845</v>
      </c>
      <c r="B440" s="28">
        <v>9232</v>
      </c>
      <c r="C440" s="18" t="str">
        <f>VLOOKUP(B440,'Lista MF'!B:C,2,0)</f>
        <v>BELLTECH</v>
      </c>
      <c r="D440" s="36" t="s">
        <v>6</v>
      </c>
      <c r="E440" s="29">
        <v>46094</v>
      </c>
      <c r="F440" s="29">
        <v>46093</v>
      </c>
      <c r="G440" s="45" t="s">
        <v>621</v>
      </c>
      <c r="H440" s="8">
        <v>22717200</v>
      </c>
      <c r="I440" s="31">
        <v>104947200</v>
      </c>
      <c r="J440" s="8">
        <v>23260000</v>
      </c>
      <c r="K440" s="8">
        <v>39110000</v>
      </c>
      <c r="L440" s="52">
        <v>98080000</v>
      </c>
      <c r="M440" s="6">
        <f t="shared" si="30"/>
        <v>0</v>
      </c>
      <c r="N440" s="21" t="str">
        <f t="shared" si="31"/>
        <v>Cuadrado</v>
      </c>
      <c r="O440" s="4" t="s">
        <v>590</v>
      </c>
      <c r="P440" s="36">
        <v>1081413503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spans="1:35" s="36" customFormat="1" x14ac:dyDescent="0.35">
      <c r="A441" s="72">
        <v>367</v>
      </c>
      <c r="B441" s="28">
        <v>9580</v>
      </c>
      <c r="C441" s="18" t="str">
        <f>VLOOKUP(B441,'Lista MF'!B:C,2,0)</f>
        <v>BELLTECH</v>
      </c>
      <c r="D441" s="36" t="s">
        <v>6</v>
      </c>
      <c r="E441" s="29">
        <v>46094</v>
      </c>
      <c r="F441" s="29">
        <v>46093</v>
      </c>
      <c r="G441" s="45" t="s">
        <v>870</v>
      </c>
      <c r="H441" s="8">
        <v>80296800</v>
      </c>
      <c r="I441" s="31">
        <v>90454800</v>
      </c>
      <c r="J441" s="8">
        <v>10350000</v>
      </c>
      <c r="K441" s="8">
        <v>102000</v>
      </c>
      <c r="L441" s="52"/>
      <c r="M441" s="6">
        <f t="shared" si="30"/>
        <v>-90000</v>
      </c>
      <c r="N441" s="21" t="str">
        <f t="shared" si="31"/>
        <v>Sobrante</v>
      </c>
      <c r="O441" s="9" t="s">
        <v>880</v>
      </c>
      <c r="P441" s="36">
        <v>1120360426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spans="1:35" s="36" customFormat="1" x14ac:dyDescent="0.35">
      <c r="A442" s="72">
        <v>229</v>
      </c>
      <c r="B442" s="28">
        <v>9605</v>
      </c>
      <c r="C442" s="18" t="str">
        <f>VLOOKUP(B442,'Lista MF'!B:C,2,0)</f>
        <v>BELLTECH</v>
      </c>
      <c r="D442" s="36" t="s">
        <v>6</v>
      </c>
      <c r="E442" s="29">
        <v>46094</v>
      </c>
      <c r="F442" s="29">
        <v>46093</v>
      </c>
      <c r="G442" s="45" t="s">
        <v>871</v>
      </c>
      <c r="H442" s="8">
        <v>150535100</v>
      </c>
      <c r="I442" s="31">
        <v>48733100</v>
      </c>
      <c r="J442" s="8">
        <v>26740000</v>
      </c>
      <c r="K442" s="8">
        <v>51602000</v>
      </c>
      <c r="L442" s="52"/>
      <c r="M442" s="6">
        <f t="shared" si="30"/>
        <v>-76940000</v>
      </c>
      <c r="N442" s="21" t="str">
        <f t="shared" si="31"/>
        <v>Sobrante</v>
      </c>
      <c r="O442" s="9" t="s">
        <v>880</v>
      </c>
      <c r="P442" s="36">
        <v>79653318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spans="1:35" s="36" customFormat="1" x14ac:dyDescent="0.35">
      <c r="A443" s="72">
        <v>551</v>
      </c>
      <c r="B443" s="28">
        <v>9644</v>
      </c>
      <c r="C443" s="18" t="str">
        <f>VLOOKUP(B443,'Lista MF'!B:C,2,0)</f>
        <v>BELLTECH</v>
      </c>
      <c r="D443" s="36" t="s">
        <v>6</v>
      </c>
      <c r="E443" s="29">
        <v>46094</v>
      </c>
      <c r="F443" s="29">
        <v>46093</v>
      </c>
      <c r="G443" s="45" t="s">
        <v>872</v>
      </c>
      <c r="H443" s="8">
        <v>88807200</v>
      </c>
      <c r="I443" s="31">
        <v>62034200</v>
      </c>
      <c r="J443" s="8">
        <v>39040000</v>
      </c>
      <c r="K443" s="8">
        <v>50934000</v>
      </c>
      <c r="L443" s="52"/>
      <c r="M443" s="6">
        <f t="shared" si="30"/>
        <v>-14879000</v>
      </c>
      <c r="N443" s="21" t="str">
        <f t="shared" si="31"/>
        <v>Sobrante</v>
      </c>
      <c r="O443" s="9" t="s">
        <v>880</v>
      </c>
      <c r="P443" s="36">
        <v>1152213498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spans="1:35" s="36" customFormat="1" x14ac:dyDescent="0.35">
      <c r="A444" s="72">
        <v>849</v>
      </c>
      <c r="B444" s="28">
        <v>9725</v>
      </c>
      <c r="C444" s="18" t="str">
        <f>VLOOKUP(B444,'Lista MF'!B:C,2,0)</f>
        <v>BELLTECH</v>
      </c>
      <c r="D444" s="36" t="s">
        <v>6</v>
      </c>
      <c r="E444" s="29">
        <v>46094</v>
      </c>
      <c r="F444" s="29">
        <v>46093</v>
      </c>
      <c r="G444" s="45" t="s">
        <v>703</v>
      </c>
      <c r="H444" s="8">
        <v>163977200</v>
      </c>
      <c r="I444" s="31">
        <v>162247200</v>
      </c>
      <c r="J444" s="8">
        <v>6300000</v>
      </c>
      <c r="K444" s="8">
        <v>8000000</v>
      </c>
      <c r="L444" s="52"/>
      <c r="M444" s="6">
        <f t="shared" si="30"/>
        <v>-30000</v>
      </c>
      <c r="N444" s="21" t="str">
        <f t="shared" si="31"/>
        <v>Sobrante</v>
      </c>
      <c r="O444" s="9" t="s">
        <v>880</v>
      </c>
      <c r="P444" s="36">
        <v>86063461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spans="1:35" s="36" customFormat="1" x14ac:dyDescent="0.35">
      <c r="A445" s="72">
        <v>499</v>
      </c>
      <c r="B445" s="28">
        <v>9811</v>
      </c>
      <c r="C445" s="18" t="str">
        <f>VLOOKUP(B445,'Lista MF'!B:C,2,0)</f>
        <v>BELLTECH</v>
      </c>
      <c r="D445" s="36" t="s">
        <v>6</v>
      </c>
      <c r="E445" s="29">
        <v>46094</v>
      </c>
      <c r="F445" s="29">
        <v>46093</v>
      </c>
      <c r="G445" s="45" t="s">
        <v>873</v>
      </c>
      <c r="H445" s="8">
        <v>80532100</v>
      </c>
      <c r="I445" s="31">
        <v>-15330600</v>
      </c>
      <c r="J445" s="8">
        <v>4320000</v>
      </c>
      <c r="K445" s="8">
        <v>83649950</v>
      </c>
      <c r="L445" s="52"/>
      <c r="M445" s="6">
        <f t="shared" si="30"/>
        <v>-16532750</v>
      </c>
      <c r="N445" s="21" t="str">
        <f t="shared" si="31"/>
        <v>Sobrante</v>
      </c>
      <c r="O445" s="9" t="s">
        <v>880</v>
      </c>
      <c r="P445" s="36">
        <v>71337474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spans="1:35" s="36" customFormat="1" x14ac:dyDescent="0.35">
      <c r="A446" s="72">
        <v>377</v>
      </c>
      <c r="B446" s="28">
        <v>1508</v>
      </c>
      <c r="C446" s="18" t="str">
        <f>VLOOKUP(B446,'Lista MF'!B:C,2,0)</f>
        <v>DIEBOLD</v>
      </c>
      <c r="D446" s="36" t="s">
        <v>99</v>
      </c>
      <c r="E446" s="29">
        <v>46094</v>
      </c>
      <c r="F446" s="29">
        <v>46093</v>
      </c>
      <c r="G446" s="45" t="s">
        <v>816</v>
      </c>
      <c r="H446" s="8">
        <v>134245200</v>
      </c>
      <c r="I446" s="31">
        <v>138635200</v>
      </c>
      <c r="J446" s="8">
        <v>5360000</v>
      </c>
      <c r="K446" s="8">
        <v>970000</v>
      </c>
      <c r="L446" s="52"/>
      <c r="M446" s="6">
        <f t="shared" ref="M446:M458" si="34">I446-(H446+J446-K446)-L446</f>
        <v>0</v>
      </c>
      <c r="N446" s="21" t="str">
        <f t="shared" ref="N446:N458" si="35">IF(M446="","",IF(M446=0,"Cuadrado",IF(M446&gt;0,"Faltante","Sobrante")))</f>
        <v>Cuadrado</v>
      </c>
      <c r="O446" s="4" t="s">
        <v>590</v>
      </c>
      <c r="P446" s="36">
        <v>71384768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spans="1:35" s="36" customFormat="1" x14ac:dyDescent="0.35">
      <c r="A447" s="72">
        <v>333</v>
      </c>
      <c r="B447" s="28">
        <v>5076</v>
      </c>
      <c r="C447" s="18" t="str">
        <f>VLOOKUP(B447,'Lista MF'!B:C,2,0)</f>
        <v>BELLTECH</v>
      </c>
      <c r="D447" s="36" t="s">
        <v>6</v>
      </c>
      <c r="E447" s="29">
        <v>46094</v>
      </c>
      <c r="F447" s="29">
        <v>46093</v>
      </c>
      <c r="G447" s="45" t="s">
        <v>596</v>
      </c>
      <c r="H447" s="8">
        <v>257385600</v>
      </c>
      <c r="I447" s="31">
        <v>180594550</v>
      </c>
      <c r="J447" s="8">
        <v>12160000</v>
      </c>
      <c r="K447" s="8">
        <v>88951050</v>
      </c>
      <c r="L447" s="52"/>
      <c r="M447" s="6">
        <f t="shared" si="34"/>
        <v>0</v>
      </c>
      <c r="N447" s="21" t="str">
        <f t="shared" si="35"/>
        <v>Cuadrado</v>
      </c>
      <c r="O447" s="4" t="s">
        <v>590</v>
      </c>
      <c r="P447" s="36">
        <v>1036606819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spans="1:35" s="36" customFormat="1" x14ac:dyDescent="0.35">
      <c r="A448" s="72">
        <v>115</v>
      </c>
      <c r="B448" s="28">
        <v>5080</v>
      </c>
      <c r="C448" s="18" t="str">
        <f>VLOOKUP(B448,'Lista MF'!B:C,2,0)</f>
        <v>BELLTECH</v>
      </c>
      <c r="D448" s="36" t="s">
        <v>6</v>
      </c>
      <c r="E448" s="29">
        <v>46094</v>
      </c>
      <c r="F448" s="29">
        <v>46093</v>
      </c>
      <c r="G448" s="45" t="s">
        <v>547</v>
      </c>
      <c r="H448" s="8">
        <v>116914600</v>
      </c>
      <c r="I448" s="31">
        <v>112384600</v>
      </c>
      <c r="J448" s="8">
        <v>100000</v>
      </c>
      <c r="K448" s="8">
        <v>4630000</v>
      </c>
      <c r="L448" s="52"/>
      <c r="M448" s="6">
        <f t="shared" si="34"/>
        <v>0</v>
      </c>
      <c r="N448" s="21" t="str">
        <f t="shared" si="35"/>
        <v>Cuadrado</v>
      </c>
      <c r="O448" s="4" t="s">
        <v>590</v>
      </c>
      <c r="P448" s="36">
        <v>42158306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spans="1:35" s="36" customFormat="1" x14ac:dyDescent="0.35">
      <c r="A449" s="72">
        <v>743</v>
      </c>
      <c r="B449" s="28">
        <v>5106</v>
      </c>
      <c r="C449" s="18" t="str">
        <f>VLOOKUP(B449,'Lista MF'!B:C,2,0)</f>
        <v>BELLTECH</v>
      </c>
      <c r="D449" s="36" t="s">
        <v>6</v>
      </c>
      <c r="E449" s="29">
        <v>46094</v>
      </c>
      <c r="F449" s="29">
        <v>46093</v>
      </c>
      <c r="G449" s="45" t="s">
        <v>783</v>
      </c>
      <c r="H449" s="8">
        <v>92463350</v>
      </c>
      <c r="I449" s="31">
        <v>58595050</v>
      </c>
      <c r="J449" s="8">
        <v>8350000</v>
      </c>
      <c r="K449" s="8">
        <v>42218300</v>
      </c>
      <c r="L449" s="52"/>
      <c r="M449" s="6">
        <f t="shared" si="34"/>
        <v>0</v>
      </c>
      <c r="N449" s="21" t="str">
        <f t="shared" si="35"/>
        <v>Cuadrado</v>
      </c>
      <c r="O449" s="4" t="s">
        <v>590</v>
      </c>
      <c r="P449" s="36">
        <v>79887183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spans="1:35" s="36" customFormat="1" x14ac:dyDescent="0.35">
      <c r="A450" s="72">
        <v>674</v>
      </c>
      <c r="B450" s="28">
        <v>5200</v>
      </c>
      <c r="C450" s="18" t="str">
        <f>VLOOKUP(B450,'Lista MF'!B:C,2,0)</f>
        <v>BELLTECH</v>
      </c>
      <c r="D450" s="36" t="s">
        <v>6</v>
      </c>
      <c r="E450" s="29">
        <v>46094</v>
      </c>
      <c r="F450" s="29">
        <v>46093</v>
      </c>
      <c r="G450" s="45" t="s">
        <v>786</v>
      </c>
      <c r="H450" s="8">
        <v>144812250</v>
      </c>
      <c r="I450" s="31">
        <v>148132250</v>
      </c>
      <c r="J450" s="8">
        <v>3420000</v>
      </c>
      <c r="K450" s="8">
        <v>100000</v>
      </c>
      <c r="L450" s="52">
        <f>-710000+710000</f>
        <v>0</v>
      </c>
      <c r="M450" s="6">
        <f t="shared" si="34"/>
        <v>0</v>
      </c>
      <c r="N450" s="21" t="str">
        <f t="shared" si="35"/>
        <v>Cuadrado</v>
      </c>
      <c r="O450" s="4" t="s">
        <v>893</v>
      </c>
      <c r="P450" s="36">
        <v>79813088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spans="1:35" s="36" customFormat="1" x14ac:dyDescent="0.35">
      <c r="A451" s="72">
        <v>606</v>
      </c>
      <c r="B451" s="28">
        <v>5201</v>
      </c>
      <c r="C451" s="18" t="str">
        <f>VLOOKUP(B451,'Lista MF'!B:C,2,0)</f>
        <v>BELLTECH</v>
      </c>
      <c r="D451" s="36" t="s">
        <v>6</v>
      </c>
      <c r="E451" s="29">
        <v>46094</v>
      </c>
      <c r="F451" s="29">
        <v>46093</v>
      </c>
      <c r="G451" s="45" t="s">
        <v>858</v>
      </c>
      <c r="H451" s="8">
        <v>350567400</v>
      </c>
      <c r="I451" s="31">
        <v>351577400</v>
      </c>
      <c r="J451" s="8">
        <v>1010000</v>
      </c>
      <c r="K451" s="8">
        <v>0</v>
      </c>
      <c r="L451" s="52"/>
      <c r="M451" s="6">
        <f t="shared" si="34"/>
        <v>0</v>
      </c>
      <c r="N451" s="21" t="str">
        <f t="shared" si="35"/>
        <v>Cuadrado</v>
      </c>
      <c r="O451" s="4" t="s">
        <v>590</v>
      </c>
      <c r="P451" s="36">
        <v>33368879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spans="1:35" s="36" customFormat="1" x14ac:dyDescent="0.35">
      <c r="A452" s="72">
        <v>371</v>
      </c>
      <c r="B452" s="28">
        <v>6718</v>
      </c>
      <c r="C452" s="18" t="str">
        <f>VLOOKUP(B452,'Lista MF'!B:C,2,0)</f>
        <v>BELLTECH</v>
      </c>
      <c r="D452" s="36" t="s">
        <v>6</v>
      </c>
      <c r="E452" s="29">
        <v>46094</v>
      </c>
      <c r="F452" s="29">
        <v>46093</v>
      </c>
      <c r="G452" s="45" t="s">
        <v>598</v>
      </c>
      <c r="H452" s="8">
        <v>414348050</v>
      </c>
      <c r="I452" s="31">
        <v>257777150</v>
      </c>
      <c r="J452" s="8">
        <v>2650000</v>
      </c>
      <c r="K452" s="8">
        <v>159220900</v>
      </c>
      <c r="L452" s="52">
        <f>-3180000+3180000</f>
        <v>0</v>
      </c>
      <c r="M452" s="6">
        <f t="shared" si="34"/>
        <v>0</v>
      </c>
      <c r="N452" s="21" t="str">
        <f t="shared" si="35"/>
        <v>Cuadrado</v>
      </c>
      <c r="O452" s="4" t="s">
        <v>894</v>
      </c>
      <c r="P452" s="36">
        <v>39279278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spans="1:35" s="36" customFormat="1" x14ac:dyDescent="0.35">
      <c r="A453" s="72">
        <v>233</v>
      </c>
      <c r="B453" s="28">
        <v>7212</v>
      </c>
      <c r="C453" s="18" t="str">
        <f>VLOOKUP(B453,'Lista MF'!B:C,2,0)</f>
        <v>BELLTECH</v>
      </c>
      <c r="D453" s="36" t="s">
        <v>6</v>
      </c>
      <c r="E453" s="29">
        <v>46094</v>
      </c>
      <c r="F453" s="29">
        <v>46093</v>
      </c>
      <c r="G453" s="45" t="s">
        <v>874</v>
      </c>
      <c r="H453" s="8">
        <v>121284400</v>
      </c>
      <c r="I453" s="31">
        <v>129786400</v>
      </c>
      <c r="J453" s="8">
        <v>12440000</v>
      </c>
      <c r="K453" s="8">
        <v>3938000</v>
      </c>
      <c r="L453" s="52"/>
      <c r="M453" s="6">
        <f t="shared" si="34"/>
        <v>0</v>
      </c>
      <c r="N453" s="21" t="str">
        <f t="shared" si="35"/>
        <v>Cuadrado</v>
      </c>
      <c r="O453" s="4" t="s">
        <v>590</v>
      </c>
      <c r="P453" s="36">
        <v>80271480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spans="1:35" s="36" customFormat="1" x14ac:dyDescent="0.35">
      <c r="A454" s="72">
        <v>848</v>
      </c>
      <c r="B454" s="28">
        <v>7374</v>
      </c>
      <c r="C454" s="18" t="str">
        <f>VLOOKUP(B454,'Lista MF'!B:C,2,0)</f>
        <v>DIEBOLD</v>
      </c>
      <c r="D454" s="36" t="s">
        <v>99</v>
      </c>
      <c r="E454" s="29">
        <v>46094</v>
      </c>
      <c r="F454" s="29">
        <v>46093</v>
      </c>
      <c r="G454" s="45" t="s">
        <v>562</v>
      </c>
      <c r="H454" s="8">
        <v>121382500</v>
      </c>
      <c r="I454" s="31">
        <v>121982500</v>
      </c>
      <c r="J454" s="8">
        <v>1100000</v>
      </c>
      <c r="K454" s="8">
        <v>500000</v>
      </c>
      <c r="L454" s="52"/>
      <c r="M454" s="6">
        <f t="shared" si="34"/>
        <v>0</v>
      </c>
      <c r="N454" s="21" t="str">
        <f t="shared" si="35"/>
        <v>Cuadrado</v>
      </c>
      <c r="O454" s="4" t="s">
        <v>590</v>
      </c>
      <c r="P454" s="36">
        <v>29877107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spans="1:35" s="36" customFormat="1" x14ac:dyDescent="0.35">
      <c r="A455" s="72">
        <v>728</v>
      </c>
      <c r="B455" s="28">
        <v>8586</v>
      </c>
      <c r="C455" s="18" t="str">
        <f>VLOOKUP(B455,'Lista MF'!B:C,2,0)</f>
        <v>BELLTECH</v>
      </c>
      <c r="D455" s="36" t="s">
        <v>6</v>
      </c>
      <c r="E455" s="29">
        <v>46094</v>
      </c>
      <c r="F455" s="29">
        <v>46093</v>
      </c>
      <c r="G455" s="45" t="s">
        <v>789</v>
      </c>
      <c r="H455" s="8">
        <v>402213650</v>
      </c>
      <c r="I455" s="31">
        <v>402213650</v>
      </c>
      <c r="J455" s="8">
        <v>0</v>
      </c>
      <c r="K455" s="8">
        <v>0</v>
      </c>
      <c r="L455" s="52"/>
      <c r="M455" s="6">
        <f t="shared" si="34"/>
        <v>0</v>
      </c>
      <c r="N455" s="21" t="str">
        <f t="shared" si="35"/>
        <v>Cuadrado</v>
      </c>
      <c r="O455" s="4" t="s">
        <v>590</v>
      </c>
      <c r="P455" s="36">
        <v>1112783690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spans="1:35" s="36" customFormat="1" x14ac:dyDescent="0.35">
      <c r="A456" s="72">
        <v>728</v>
      </c>
      <c r="B456" s="28">
        <v>8587</v>
      </c>
      <c r="C456" s="18" t="str">
        <f>VLOOKUP(B456,'Lista MF'!B:C,2,0)</f>
        <v>BELLTECH</v>
      </c>
      <c r="D456" s="36" t="s">
        <v>6</v>
      </c>
      <c r="E456" s="29">
        <v>46094</v>
      </c>
      <c r="F456" s="29">
        <v>46093</v>
      </c>
      <c r="G456" s="45" t="s">
        <v>630</v>
      </c>
      <c r="H456" s="8">
        <v>186042750</v>
      </c>
      <c r="I456" s="31">
        <v>186692750</v>
      </c>
      <c r="J456" s="8">
        <v>650000</v>
      </c>
      <c r="K456" s="8">
        <v>0</v>
      </c>
      <c r="L456" s="52"/>
      <c r="M456" s="6">
        <f t="shared" si="34"/>
        <v>0</v>
      </c>
      <c r="N456" s="21" t="str">
        <f t="shared" si="35"/>
        <v>Cuadrado</v>
      </c>
      <c r="O456" s="4" t="s">
        <v>590</v>
      </c>
      <c r="P456" s="36">
        <v>1112783690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spans="1:35" s="36" customFormat="1" x14ac:dyDescent="0.35">
      <c r="A457" s="72">
        <v>451</v>
      </c>
      <c r="B457" s="28">
        <v>9434</v>
      </c>
      <c r="C457" s="18" t="str">
        <f>VLOOKUP(B457,'Lista MF'!B:C,2,0)</f>
        <v>BELLTECH</v>
      </c>
      <c r="D457" s="36" t="s">
        <v>6</v>
      </c>
      <c r="E457" s="29">
        <v>46094</v>
      </c>
      <c r="F457" s="29">
        <v>46093</v>
      </c>
      <c r="G457" s="45" t="s">
        <v>604</v>
      </c>
      <c r="H457" s="8">
        <v>27158350</v>
      </c>
      <c r="I457" s="31">
        <v>40528350</v>
      </c>
      <c r="J457" s="8">
        <v>13370000</v>
      </c>
      <c r="K457" s="8">
        <v>0</v>
      </c>
      <c r="L457" s="52"/>
      <c r="M457" s="6">
        <f t="shared" si="34"/>
        <v>0</v>
      </c>
      <c r="N457" s="21" t="str">
        <f t="shared" si="35"/>
        <v>Cuadrado</v>
      </c>
      <c r="O457" s="4" t="s">
        <v>590</v>
      </c>
      <c r="P457" s="36">
        <v>1123206969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spans="1:35" s="36" customFormat="1" x14ac:dyDescent="0.35">
      <c r="A458" s="72">
        <v>876</v>
      </c>
      <c r="B458" s="28">
        <v>9682</v>
      </c>
      <c r="C458" s="18" t="str">
        <f>VLOOKUP(B458,'Lista MF'!B:C,2,0)</f>
        <v>BELLTECH</v>
      </c>
      <c r="D458" s="36" t="s">
        <v>6</v>
      </c>
      <c r="E458" s="29">
        <v>46094</v>
      </c>
      <c r="F458" s="29">
        <v>46093</v>
      </c>
      <c r="G458" s="45" t="s">
        <v>573</v>
      </c>
      <c r="H458" s="8">
        <v>133251450</v>
      </c>
      <c r="I458" s="31">
        <v>108061450</v>
      </c>
      <c r="J458" s="8">
        <v>9460000</v>
      </c>
      <c r="K458" s="8">
        <v>34650000</v>
      </c>
      <c r="L458" s="52"/>
      <c r="M458" s="6">
        <f t="shared" si="34"/>
        <v>0</v>
      </c>
      <c r="N458" s="21" t="str">
        <f t="shared" si="35"/>
        <v>Cuadrado</v>
      </c>
      <c r="O458" s="4" t="s">
        <v>590</v>
      </c>
      <c r="P458" s="36">
        <v>1002032451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spans="1:35" s="36" customFormat="1" x14ac:dyDescent="0.35">
      <c r="A459" s="72">
        <v>348</v>
      </c>
      <c r="B459" s="28">
        <v>192</v>
      </c>
      <c r="C459" s="18" t="str">
        <f>VLOOKUP(B459,'Lista MF'!B:C,2,0)</f>
        <v>BELLTECH</v>
      </c>
      <c r="D459" s="36" t="s">
        <v>6</v>
      </c>
      <c r="E459" s="29">
        <v>46097</v>
      </c>
      <c r="F459" s="29">
        <v>46094</v>
      </c>
      <c r="G459" s="45" t="s">
        <v>896</v>
      </c>
      <c r="H459" s="8">
        <v>331471800</v>
      </c>
      <c r="I459" s="31">
        <v>237963800</v>
      </c>
      <c r="J459" s="8">
        <v>16150000</v>
      </c>
      <c r="K459" s="8">
        <v>105999950</v>
      </c>
      <c r="L459" s="52"/>
      <c r="M459" s="6">
        <f t="shared" ref="M459:M488" si="36">I459-(H459+J459-K459)-L459</f>
        <v>-3658050</v>
      </c>
      <c r="N459" s="21" t="str">
        <f t="shared" ref="N459:N488" si="37">IF(M459="","",IF(M459=0,"Cuadrado",IF(M459&gt;0,"Faltante","Sobrante")))</f>
        <v>Sobrante</v>
      </c>
      <c r="O459" s="9" t="s">
        <v>914</v>
      </c>
      <c r="P459" s="36">
        <v>1123633014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spans="1:35" s="36" customFormat="1" x14ac:dyDescent="0.35">
      <c r="A460" s="72">
        <v>879</v>
      </c>
      <c r="B460" s="28">
        <v>5045</v>
      </c>
      <c r="C460" s="18" t="str">
        <f>VLOOKUP(B460,'Lista MF'!B:C,2,0)</f>
        <v>BELLTECH</v>
      </c>
      <c r="D460" s="36" t="s">
        <v>6</v>
      </c>
      <c r="E460" s="29">
        <v>46097</v>
      </c>
      <c r="F460" s="29">
        <v>46094</v>
      </c>
      <c r="G460" s="45" t="s">
        <v>897</v>
      </c>
      <c r="H460" s="8">
        <v>135333700</v>
      </c>
      <c r="I460" s="31">
        <v>60514700</v>
      </c>
      <c r="J460" s="8">
        <v>10220000</v>
      </c>
      <c r="K460" s="8">
        <v>199399000</v>
      </c>
      <c r="L460" s="52">
        <f>-11900000+133645000-7385000</f>
        <v>114360000</v>
      </c>
      <c r="M460" s="6">
        <f t="shared" si="36"/>
        <v>0</v>
      </c>
      <c r="N460" s="21" t="str">
        <f t="shared" si="37"/>
        <v>Cuadrado</v>
      </c>
      <c r="O460" s="4" t="s">
        <v>590</v>
      </c>
      <c r="P460" s="36">
        <v>1085303632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spans="1:35" s="36" customFormat="1" x14ac:dyDescent="0.35">
      <c r="A461" s="72">
        <v>769</v>
      </c>
      <c r="B461" s="28">
        <v>5051</v>
      </c>
      <c r="C461" s="18" t="str">
        <f>VLOOKUP(B461,'Lista MF'!B:C,2,0)</f>
        <v>BELLTECH</v>
      </c>
      <c r="D461" s="36" t="s">
        <v>6</v>
      </c>
      <c r="E461" s="29">
        <v>46097</v>
      </c>
      <c r="F461" s="29">
        <v>46094</v>
      </c>
      <c r="G461" s="45" t="s">
        <v>570</v>
      </c>
      <c r="H461" s="8">
        <v>135121800</v>
      </c>
      <c r="I461" s="31">
        <v>94259800</v>
      </c>
      <c r="J461" s="8">
        <v>890000</v>
      </c>
      <c r="K461" s="8">
        <v>41872000</v>
      </c>
      <c r="L461" s="52">
        <f>-490000+610000</f>
        <v>120000</v>
      </c>
      <c r="M461" s="6">
        <f t="shared" si="36"/>
        <v>0</v>
      </c>
      <c r="N461" s="21" t="str">
        <f t="shared" si="37"/>
        <v>Cuadrado</v>
      </c>
      <c r="O461" s="4" t="s">
        <v>915</v>
      </c>
      <c r="P461" s="36">
        <v>1129580385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spans="1:35" s="36" customFormat="1" x14ac:dyDescent="0.35">
      <c r="A462" s="72">
        <v>24</v>
      </c>
      <c r="B462" s="28">
        <v>5066</v>
      </c>
      <c r="C462" s="18" t="str">
        <f>VLOOKUP(B462,'Lista MF'!B:C,2,0)</f>
        <v>BELLTECH</v>
      </c>
      <c r="D462" s="36" t="s">
        <v>6</v>
      </c>
      <c r="E462" s="29">
        <v>46097</v>
      </c>
      <c r="F462" s="29">
        <v>46094</v>
      </c>
      <c r="G462" s="45" t="s">
        <v>898</v>
      </c>
      <c r="H462" s="8">
        <v>207331300</v>
      </c>
      <c r="I462" s="31">
        <v>172009900</v>
      </c>
      <c r="J462" s="8">
        <v>18130000</v>
      </c>
      <c r="K462" s="8">
        <v>53976400</v>
      </c>
      <c r="L462" s="52">
        <f>150000+220000+155000</f>
        <v>525000</v>
      </c>
      <c r="M462" s="6">
        <f t="shared" si="36"/>
        <v>0</v>
      </c>
      <c r="N462" s="21" t="str">
        <f t="shared" si="37"/>
        <v>Cuadrado</v>
      </c>
      <c r="O462" s="4" t="s">
        <v>916</v>
      </c>
      <c r="P462" s="36">
        <v>39447263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spans="1:35" s="36" customFormat="1" x14ac:dyDescent="0.35">
      <c r="A463" s="72">
        <v>789</v>
      </c>
      <c r="B463" s="28">
        <v>5118</v>
      </c>
      <c r="C463" s="18" t="str">
        <f>VLOOKUP(B463,'Lista MF'!B:C,2,0)</f>
        <v>BELLTECH</v>
      </c>
      <c r="D463" s="36" t="s">
        <v>6</v>
      </c>
      <c r="E463" s="29">
        <v>46097</v>
      </c>
      <c r="F463" s="29">
        <v>46094</v>
      </c>
      <c r="G463" s="45" t="s">
        <v>781</v>
      </c>
      <c r="H463" s="8">
        <v>268698800</v>
      </c>
      <c r="I463" s="31">
        <v>141932800</v>
      </c>
      <c r="J463" s="8">
        <v>25990000</v>
      </c>
      <c r="K463" s="8">
        <v>142716000</v>
      </c>
      <c r="L463" s="52"/>
      <c r="M463" s="6">
        <f t="shared" ref="M463:M464" si="38">I463-(H463+J463-K463)-L463</f>
        <v>-10040000</v>
      </c>
      <c r="N463" s="21" t="str">
        <f t="shared" ref="N463:N464" si="39">IF(M463="","",IF(M463=0,"Cuadrado",IF(M463&gt;0,"Faltante","Sobrante")))</f>
        <v>Sobrante</v>
      </c>
      <c r="O463" s="9" t="s">
        <v>914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spans="1:35" s="36" customFormat="1" x14ac:dyDescent="0.35">
      <c r="A464" s="72">
        <v>667</v>
      </c>
      <c r="B464" s="28">
        <v>5167</v>
      </c>
      <c r="C464" s="18" t="str">
        <f>VLOOKUP(B464,'Lista MF'!B:C,2,0)</f>
        <v>BELLTECH</v>
      </c>
      <c r="D464" s="36" t="s">
        <v>6</v>
      </c>
      <c r="E464" s="29">
        <v>46097</v>
      </c>
      <c r="F464" s="29">
        <v>46093</v>
      </c>
      <c r="G464" s="45" t="s">
        <v>862</v>
      </c>
      <c r="H464" s="8">
        <v>323195550</v>
      </c>
      <c r="I464" s="31">
        <v>323415550</v>
      </c>
      <c r="J464" s="8">
        <v>0</v>
      </c>
      <c r="K464" s="8">
        <v>0</v>
      </c>
      <c r="L464" s="52">
        <v>220000</v>
      </c>
      <c r="M464" s="6">
        <f t="shared" si="38"/>
        <v>0</v>
      </c>
      <c r="N464" s="21" t="str">
        <f t="shared" si="39"/>
        <v>Cuadrado</v>
      </c>
      <c r="O464" s="4" t="s">
        <v>917</v>
      </c>
      <c r="P464" s="36">
        <v>79953058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spans="1:35" s="36" customFormat="1" x14ac:dyDescent="0.35">
      <c r="A465" s="72">
        <v>698</v>
      </c>
      <c r="B465" s="28">
        <v>5187</v>
      </c>
      <c r="C465" s="18" t="str">
        <f>VLOOKUP(B465,'Lista MF'!B:C,2,0)</f>
        <v>BELLTECH</v>
      </c>
      <c r="D465" s="36" t="s">
        <v>6</v>
      </c>
      <c r="E465" s="29">
        <v>46097</v>
      </c>
      <c r="F465" s="29">
        <v>46094</v>
      </c>
      <c r="G465" s="45" t="s">
        <v>847</v>
      </c>
      <c r="H465" s="8">
        <v>190586250</v>
      </c>
      <c r="I465" s="31">
        <v>189606750</v>
      </c>
      <c r="J465" s="8">
        <v>1820000</v>
      </c>
      <c r="K465" s="8">
        <v>2800000</v>
      </c>
      <c r="L465" s="52"/>
      <c r="M465" s="6">
        <f t="shared" ref="M465:M466" si="40">I465-(H465+J465-K465)-L465</f>
        <v>500</v>
      </c>
      <c r="N465" s="21" t="str">
        <f t="shared" ref="N465:N466" si="41">IF(M465="","",IF(M465=0,"Cuadrado",IF(M465&gt;0,"Faltante","Sobrante")))</f>
        <v>Faltante</v>
      </c>
      <c r="O465" s="13" t="s">
        <v>913</v>
      </c>
      <c r="P465" s="36">
        <v>80177355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spans="1:35" s="36" customFormat="1" x14ac:dyDescent="0.35">
      <c r="A466" s="72">
        <v>674</v>
      </c>
      <c r="B466" s="28">
        <v>5200</v>
      </c>
      <c r="C466" s="18" t="str">
        <f>VLOOKUP(B466,'Lista MF'!B:C,2,0)</f>
        <v>BELLTECH</v>
      </c>
      <c r="D466" s="36" t="s">
        <v>6</v>
      </c>
      <c r="E466" s="29">
        <v>46097</v>
      </c>
      <c r="F466" s="29">
        <v>46094</v>
      </c>
      <c r="G466" s="45" t="s">
        <v>899</v>
      </c>
      <c r="H466" s="8">
        <v>116721250</v>
      </c>
      <c r="I466" s="31">
        <v>110741250</v>
      </c>
      <c r="J466" s="8">
        <v>3960000</v>
      </c>
      <c r="K466" s="8">
        <v>9650000</v>
      </c>
      <c r="L466" s="52">
        <v>710000</v>
      </c>
      <c r="M466" s="6">
        <f t="shared" si="40"/>
        <v>-1000000</v>
      </c>
      <c r="N466" s="21" t="str">
        <f t="shared" si="41"/>
        <v>Sobrante</v>
      </c>
      <c r="O466" s="9" t="s">
        <v>914</v>
      </c>
      <c r="P466" s="36">
        <v>5200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spans="1:35" s="36" customFormat="1" x14ac:dyDescent="0.35">
      <c r="A467" s="72">
        <v>178</v>
      </c>
      <c r="B467" s="28">
        <v>6218</v>
      </c>
      <c r="C467" s="18" t="str">
        <f>VLOOKUP(B467,'Lista MF'!B:C,2,0)</f>
        <v>BELLTECH</v>
      </c>
      <c r="D467" s="36" t="s">
        <v>6</v>
      </c>
      <c r="E467" s="29">
        <v>46097</v>
      </c>
      <c r="F467" s="29">
        <v>46094</v>
      </c>
      <c r="G467" s="45" t="s">
        <v>562</v>
      </c>
      <c r="H467" s="8">
        <v>289070150</v>
      </c>
      <c r="I467" s="31">
        <v>284740150</v>
      </c>
      <c r="J467" s="8">
        <v>4000000</v>
      </c>
      <c r="K467" s="8">
        <v>8400000</v>
      </c>
      <c r="L467" s="52">
        <f>-100000+50000+20000+100000</f>
        <v>70000</v>
      </c>
      <c r="M467" s="6">
        <f t="shared" ref="M467" si="42">I467-(H467+J467-K467)-L467</f>
        <v>0</v>
      </c>
      <c r="N467" s="21" t="str">
        <f t="shared" ref="N467" si="43">IF(M467="","",IF(M467=0,"Cuadrado",IF(M467&gt;0,"Faltante","Sobrante")))</f>
        <v>Cuadrado</v>
      </c>
      <c r="O467" s="4" t="s">
        <v>918</v>
      </c>
      <c r="P467" s="36">
        <v>79516051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spans="1:35" s="36" customFormat="1" x14ac:dyDescent="0.35">
      <c r="A468" s="72">
        <v>78</v>
      </c>
      <c r="B468" s="28">
        <v>6246</v>
      </c>
      <c r="C468" s="18" t="str">
        <f>VLOOKUP(B468,'Lista MF'!B:C,2,0)</f>
        <v>BELLTECH</v>
      </c>
      <c r="D468" s="36" t="s">
        <v>6</v>
      </c>
      <c r="E468" s="29">
        <v>46097</v>
      </c>
      <c r="F468" s="29">
        <v>46094</v>
      </c>
      <c r="G468" s="45" t="s">
        <v>900</v>
      </c>
      <c r="H468" s="8">
        <v>216413850</v>
      </c>
      <c r="I468" s="31">
        <v>183337250</v>
      </c>
      <c r="J468" s="8">
        <v>13610000</v>
      </c>
      <c r="K468" s="8">
        <v>53106600</v>
      </c>
      <c r="L468" s="52">
        <f>2590000+1260000+2970000</f>
        <v>6820000</v>
      </c>
      <c r="M468" s="6">
        <f t="shared" si="36"/>
        <v>-400000</v>
      </c>
      <c r="N468" s="21" t="str">
        <f t="shared" si="37"/>
        <v>Sobrante</v>
      </c>
      <c r="O468" s="9" t="s">
        <v>914</v>
      </c>
      <c r="P468" s="36">
        <v>1098657131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spans="1:35" s="36" customFormat="1" x14ac:dyDescent="0.35">
      <c r="A469" s="72">
        <v>337</v>
      </c>
      <c r="B469" s="28">
        <v>6253</v>
      </c>
      <c r="C469" s="18" t="str">
        <f>VLOOKUP(B469,'Lista MF'!B:C,2,0)</f>
        <v>BELLTECH</v>
      </c>
      <c r="D469" s="36" t="s">
        <v>6</v>
      </c>
      <c r="E469" s="29">
        <v>46097</v>
      </c>
      <c r="F469" s="29">
        <v>46094</v>
      </c>
      <c r="G469" s="45" t="s">
        <v>901</v>
      </c>
      <c r="H469" s="8">
        <v>183608600</v>
      </c>
      <c r="I469" s="31">
        <v>217906300</v>
      </c>
      <c r="J469" s="8">
        <v>22440000</v>
      </c>
      <c r="K469" s="8">
        <v>15243300</v>
      </c>
      <c r="L469" s="52"/>
      <c r="M469" s="6">
        <f t="shared" si="36"/>
        <v>27101000</v>
      </c>
      <c r="N469" s="21" t="str">
        <f t="shared" si="37"/>
        <v>Faltante</v>
      </c>
      <c r="O469" s="13" t="s">
        <v>913</v>
      </c>
      <c r="P469" s="36">
        <v>80386330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spans="1:35" s="36" customFormat="1" x14ac:dyDescent="0.35">
      <c r="A470" s="72">
        <v>348</v>
      </c>
      <c r="B470" s="28">
        <v>6724</v>
      </c>
      <c r="C470" s="18" t="str">
        <f>VLOOKUP(B470,'Lista MF'!B:C,2,0)</f>
        <v>DIEBOLD</v>
      </c>
      <c r="D470" s="36" t="s">
        <v>99</v>
      </c>
      <c r="E470" s="29">
        <v>46097</v>
      </c>
      <c r="F470" s="29">
        <v>46094</v>
      </c>
      <c r="G470" s="45" t="s">
        <v>902</v>
      </c>
      <c r="H470" s="8">
        <v>206070900</v>
      </c>
      <c r="I470" s="31">
        <v>172242100</v>
      </c>
      <c r="J470" s="8">
        <v>2370000</v>
      </c>
      <c r="K470" s="8">
        <v>36080400</v>
      </c>
      <c r="L470" s="52">
        <f>-1916400+1798000</f>
        <v>-118400</v>
      </c>
      <c r="M470" s="6">
        <f t="shared" si="36"/>
        <v>0</v>
      </c>
      <c r="N470" s="21" t="str">
        <f t="shared" si="37"/>
        <v>Cuadrado</v>
      </c>
      <c r="O470" s="4" t="s">
        <v>919</v>
      </c>
      <c r="P470" s="36">
        <v>1123633014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spans="1:35" s="36" customFormat="1" x14ac:dyDescent="0.35">
      <c r="A471" s="72">
        <v>741</v>
      </c>
      <c r="B471" s="28">
        <v>6843</v>
      </c>
      <c r="C471" s="18" t="str">
        <f>VLOOKUP(B471,'Lista MF'!B:C,2,0)</f>
        <v>DIEBOLD</v>
      </c>
      <c r="D471" s="36" t="s">
        <v>99</v>
      </c>
      <c r="E471" s="29">
        <v>46097</v>
      </c>
      <c r="F471" s="29">
        <v>46094</v>
      </c>
      <c r="G471" s="45" t="s">
        <v>903</v>
      </c>
      <c r="H471" s="8">
        <v>173666500</v>
      </c>
      <c r="I471" s="31">
        <v>185201500</v>
      </c>
      <c r="J471" s="8">
        <v>13390000</v>
      </c>
      <c r="K471" s="8">
        <v>1460000</v>
      </c>
      <c r="L471" s="52"/>
      <c r="M471" s="6">
        <f t="shared" si="36"/>
        <v>-395000</v>
      </c>
      <c r="N471" s="21" t="str">
        <f t="shared" si="37"/>
        <v>Sobrante</v>
      </c>
      <c r="O471" s="9" t="s">
        <v>914</v>
      </c>
      <c r="P471" s="36">
        <v>1130637714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spans="1:35" s="36" customFormat="1" x14ac:dyDescent="0.35">
      <c r="A472" s="72">
        <v>385</v>
      </c>
      <c r="B472" s="28">
        <v>7139</v>
      </c>
      <c r="C472" s="18" t="str">
        <f>VLOOKUP(B472,'Lista MF'!B:C,2,0)</f>
        <v>BELLTECH</v>
      </c>
      <c r="D472" s="36" t="s">
        <v>6</v>
      </c>
      <c r="E472" s="29">
        <v>46097</v>
      </c>
      <c r="F472" s="29">
        <v>46094</v>
      </c>
      <c r="G472" s="45" t="s">
        <v>564</v>
      </c>
      <c r="H472" s="8">
        <v>164563250</v>
      </c>
      <c r="I472" s="31">
        <v>161822250</v>
      </c>
      <c r="J472" s="8">
        <v>38310000</v>
      </c>
      <c r="K472" s="8">
        <v>46141000</v>
      </c>
      <c r="L472" s="52">
        <v>13715000</v>
      </c>
      <c r="M472" s="6">
        <f t="shared" si="36"/>
        <v>-8625000</v>
      </c>
      <c r="N472" s="21" t="str">
        <f t="shared" si="37"/>
        <v>Sobrante</v>
      </c>
      <c r="O472" s="9" t="s">
        <v>914</v>
      </c>
      <c r="P472" s="36">
        <v>1077970238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spans="1:35" s="36" customFormat="1" x14ac:dyDescent="0.35">
      <c r="A473" s="72">
        <v>389</v>
      </c>
      <c r="B473" s="28">
        <v>7327</v>
      </c>
      <c r="C473" s="18" t="str">
        <f>VLOOKUP(B473,'Lista MF'!B:C,2,0)</f>
        <v>BELLTECH</v>
      </c>
      <c r="D473" s="36" t="s">
        <v>6</v>
      </c>
      <c r="E473" s="29">
        <v>46097</v>
      </c>
      <c r="F473" s="29">
        <v>46094</v>
      </c>
      <c r="G473" s="45" t="s">
        <v>785</v>
      </c>
      <c r="H473" s="8">
        <v>167849800</v>
      </c>
      <c r="I473" s="31">
        <v>170587550</v>
      </c>
      <c r="J473" s="8">
        <v>2720000</v>
      </c>
      <c r="K473" s="8">
        <v>0</v>
      </c>
      <c r="L473" s="52"/>
      <c r="M473" s="6">
        <f t="shared" si="36"/>
        <v>17750</v>
      </c>
      <c r="N473" s="21" t="str">
        <f t="shared" si="37"/>
        <v>Faltante</v>
      </c>
      <c r="O473" s="13" t="s">
        <v>913</v>
      </c>
      <c r="P473" s="36">
        <v>14319846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spans="1:35" s="36" customFormat="1" x14ac:dyDescent="0.35">
      <c r="A474" s="72">
        <v>453</v>
      </c>
      <c r="B474" s="28">
        <v>8018</v>
      </c>
      <c r="C474" s="18" t="str">
        <f>VLOOKUP(B474,'Lista MF'!B:C,2,0)</f>
        <v>BELLTECH</v>
      </c>
      <c r="D474" s="36" t="s">
        <v>6</v>
      </c>
      <c r="E474" s="29">
        <v>46097</v>
      </c>
      <c r="F474" s="29">
        <v>46094</v>
      </c>
      <c r="G474" s="45" t="s">
        <v>612</v>
      </c>
      <c r="H474" s="8">
        <v>398032150</v>
      </c>
      <c r="I474" s="31">
        <v>411702150</v>
      </c>
      <c r="J474" s="8">
        <v>620000</v>
      </c>
      <c r="K474" s="8">
        <v>2100000</v>
      </c>
      <c r="L474" s="52">
        <v>15150000</v>
      </c>
      <c r="M474" s="6">
        <f t="shared" si="36"/>
        <v>0</v>
      </c>
      <c r="N474" s="21" t="str">
        <f t="shared" si="37"/>
        <v>Cuadrado</v>
      </c>
      <c r="O474" s="4" t="s">
        <v>920</v>
      </c>
      <c r="P474" s="36">
        <v>1083897578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spans="1:35" s="36" customFormat="1" x14ac:dyDescent="0.35">
      <c r="A475" s="72">
        <v>453</v>
      </c>
      <c r="B475" s="28">
        <v>8019</v>
      </c>
      <c r="C475" s="18" t="str">
        <f>VLOOKUP(B475,'Lista MF'!B:C,2,0)</f>
        <v>BELLTECH</v>
      </c>
      <c r="D475" s="36" t="s">
        <v>6</v>
      </c>
      <c r="E475" s="29">
        <v>46097</v>
      </c>
      <c r="F475" s="29">
        <v>46094</v>
      </c>
      <c r="G475" s="45" t="s">
        <v>904</v>
      </c>
      <c r="H475" s="8">
        <v>214523100</v>
      </c>
      <c r="I475" s="31">
        <v>218440600</v>
      </c>
      <c r="J475" s="8">
        <v>0</v>
      </c>
      <c r="K475" s="8">
        <v>0</v>
      </c>
      <c r="L475" s="52">
        <f>646500+1276000+1995000</f>
        <v>3917500</v>
      </c>
      <c r="M475" s="6">
        <f t="shared" si="36"/>
        <v>0</v>
      </c>
      <c r="N475" s="21" t="str">
        <f t="shared" si="37"/>
        <v>Cuadrado</v>
      </c>
      <c r="O475" s="4" t="s">
        <v>921</v>
      </c>
      <c r="P475" s="36">
        <v>1083897578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spans="1:35" s="36" customFormat="1" x14ac:dyDescent="0.35">
      <c r="A476" s="72">
        <v>556</v>
      </c>
      <c r="B476" s="28">
        <v>8333</v>
      </c>
      <c r="C476" s="18" t="str">
        <f>VLOOKUP(B476,'Lista MF'!B:C,2,0)</f>
        <v>BELLTECH</v>
      </c>
      <c r="D476" s="36" t="s">
        <v>6</v>
      </c>
      <c r="E476" s="29">
        <v>46097</v>
      </c>
      <c r="F476" s="29">
        <v>46094</v>
      </c>
      <c r="G476" s="45" t="s">
        <v>905</v>
      </c>
      <c r="H476" s="8">
        <v>335832450</v>
      </c>
      <c r="I476" s="31">
        <v>326064500</v>
      </c>
      <c r="J476" s="8">
        <v>6820000</v>
      </c>
      <c r="K476" s="8">
        <v>16583500</v>
      </c>
      <c r="L476" s="52"/>
      <c r="M476" s="6">
        <f t="shared" si="36"/>
        <v>-4450</v>
      </c>
      <c r="N476" s="21" t="str">
        <f t="shared" si="37"/>
        <v>Sobrante</v>
      </c>
      <c r="O476" s="9" t="s">
        <v>914</v>
      </c>
      <c r="P476" s="36">
        <v>39450196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spans="1:35" s="36" customFormat="1" x14ac:dyDescent="0.35">
      <c r="A477" s="72">
        <v>769</v>
      </c>
      <c r="B477" s="28">
        <v>8679</v>
      </c>
      <c r="C477" s="18" t="str">
        <f>VLOOKUP(B477,'Lista MF'!B:C,2,0)</f>
        <v>BELLTECH</v>
      </c>
      <c r="D477" s="36" t="s">
        <v>6</v>
      </c>
      <c r="E477" s="29">
        <v>46097</v>
      </c>
      <c r="F477" s="29">
        <v>46094</v>
      </c>
      <c r="G477" s="45" t="s">
        <v>558</v>
      </c>
      <c r="H477" s="8">
        <v>87502300</v>
      </c>
      <c r="I477" s="31">
        <v>65809200</v>
      </c>
      <c r="J477" s="8">
        <v>7140000</v>
      </c>
      <c r="K477" s="8">
        <v>18893100</v>
      </c>
      <c r="L477" s="52"/>
      <c r="M477" s="6">
        <f t="shared" si="36"/>
        <v>-9940000</v>
      </c>
      <c r="N477" s="21" t="str">
        <f t="shared" si="37"/>
        <v>Sobrante</v>
      </c>
      <c r="O477" s="9" t="s">
        <v>914</v>
      </c>
      <c r="P477" s="36">
        <v>1129580385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spans="1:35" s="36" customFormat="1" x14ac:dyDescent="0.35">
      <c r="A478" s="72">
        <v>60</v>
      </c>
      <c r="B478" s="28">
        <v>8727</v>
      </c>
      <c r="C478" s="18" t="str">
        <f>VLOOKUP(B478,'Lista MF'!B:C,2,0)</f>
        <v>BELLTECH</v>
      </c>
      <c r="D478" s="36" t="s">
        <v>6</v>
      </c>
      <c r="E478" s="29">
        <v>46097</v>
      </c>
      <c r="F478" s="29">
        <v>46094</v>
      </c>
      <c r="G478" s="45" t="s">
        <v>906</v>
      </c>
      <c r="H478" s="8">
        <v>105704050</v>
      </c>
      <c r="I478" s="31">
        <v>243171450</v>
      </c>
      <c r="J478" s="8">
        <v>27980000</v>
      </c>
      <c r="K478" s="8">
        <v>40699600</v>
      </c>
      <c r="L478" s="52">
        <f>150132000+1400+3600+50000</f>
        <v>150187000</v>
      </c>
      <c r="M478" s="6">
        <f t="shared" si="36"/>
        <v>0</v>
      </c>
      <c r="N478" s="21" t="str">
        <f t="shared" si="37"/>
        <v>Cuadrado</v>
      </c>
      <c r="O478" s="4" t="s">
        <v>922</v>
      </c>
      <c r="P478" s="36">
        <v>14697128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spans="1:35" s="36" customFormat="1" x14ac:dyDescent="0.35">
      <c r="A479" s="72">
        <v>60</v>
      </c>
      <c r="B479" s="28">
        <v>8729</v>
      </c>
      <c r="C479" s="18" t="str">
        <f>VLOOKUP(B479,'Lista MF'!B:C,2,0)</f>
        <v>BELLTECH</v>
      </c>
      <c r="D479" s="36" t="s">
        <v>6</v>
      </c>
      <c r="E479" s="29">
        <v>46097</v>
      </c>
      <c r="F479" s="29">
        <v>46094</v>
      </c>
      <c r="G479" s="45" t="s">
        <v>599</v>
      </c>
      <c r="H479" s="8">
        <v>112531100</v>
      </c>
      <c r="I479" s="31">
        <v>-37079900</v>
      </c>
      <c r="J479" s="8">
        <v>9960000</v>
      </c>
      <c r="K479" s="8">
        <v>10484000</v>
      </c>
      <c r="L479" s="52">
        <f>-150132000+1045000</f>
        <v>-149087000</v>
      </c>
      <c r="M479" s="6">
        <f t="shared" si="36"/>
        <v>0</v>
      </c>
      <c r="N479" s="21" t="str">
        <f t="shared" si="37"/>
        <v>Cuadrado</v>
      </c>
      <c r="O479" s="4" t="s">
        <v>923</v>
      </c>
      <c r="P479" s="36">
        <v>14697128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spans="1:35" s="36" customFormat="1" x14ac:dyDescent="0.35">
      <c r="A480" s="72">
        <v>33</v>
      </c>
      <c r="B480" s="28">
        <v>8861</v>
      </c>
      <c r="C480" s="18" t="str">
        <f>VLOOKUP(B480,'Lista MF'!B:C,2,0)</f>
        <v>BELLTECH</v>
      </c>
      <c r="D480" s="36" t="s">
        <v>6</v>
      </c>
      <c r="E480" s="29">
        <v>46097</v>
      </c>
      <c r="F480" s="29">
        <v>46094</v>
      </c>
      <c r="G480" s="45" t="s">
        <v>798</v>
      </c>
      <c r="H480" s="8">
        <v>241416650</v>
      </c>
      <c r="I480" s="31">
        <v>252694650</v>
      </c>
      <c r="J480" s="8">
        <v>26940000</v>
      </c>
      <c r="K480" s="8">
        <v>28477000</v>
      </c>
      <c r="L480" s="52">
        <v>12815000</v>
      </c>
      <c r="M480" s="6">
        <f t="shared" si="36"/>
        <v>0</v>
      </c>
      <c r="N480" s="21" t="str">
        <f t="shared" si="37"/>
        <v>Cuadrado</v>
      </c>
      <c r="O480" s="4" t="s">
        <v>924</v>
      </c>
      <c r="P480" s="36">
        <v>79659379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spans="1:35" s="36" customFormat="1" x14ac:dyDescent="0.35">
      <c r="A481" s="72">
        <v>225</v>
      </c>
      <c r="B481" s="28">
        <v>8868</v>
      </c>
      <c r="C481" s="18" t="str">
        <f>VLOOKUP(B481,'Lista MF'!B:C,2,0)</f>
        <v>BELLTECH</v>
      </c>
      <c r="D481" s="36" t="s">
        <v>6</v>
      </c>
      <c r="E481" s="29">
        <v>46097</v>
      </c>
      <c r="F481" s="29">
        <v>46094</v>
      </c>
      <c r="G481" s="45" t="s">
        <v>907</v>
      </c>
      <c r="H481" s="8">
        <v>149615950</v>
      </c>
      <c r="I481" s="31">
        <v>141645950</v>
      </c>
      <c r="J481" s="8">
        <v>7470000</v>
      </c>
      <c r="K481" s="8">
        <v>3970000</v>
      </c>
      <c r="L481" s="52"/>
      <c r="M481" s="6">
        <f t="shared" si="36"/>
        <v>-11470000</v>
      </c>
      <c r="N481" s="21" t="str">
        <f t="shared" si="37"/>
        <v>Sobrante</v>
      </c>
      <c r="O481" s="9" t="s">
        <v>914</v>
      </c>
      <c r="P481" s="36">
        <v>80212698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spans="1:35" s="36" customFormat="1" x14ac:dyDescent="0.35">
      <c r="A482" s="72">
        <v>225</v>
      </c>
      <c r="B482" s="28">
        <v>8869</v>
      </c>
      <c r="C482" s="18" t="str">
        <f>VLOOKUP(B482,'Lista MF'!B:C,2,0)</f>
        <v>BELLTECH</v>
      </c>
      <c r="D482" s="36" t="s">
        <v>6</v>
      </c>
      <c r="E482" s="29">
        <v>46097</v>
      </c>
      <c r="F482" s="29">
        <v>46094</v>
      </c>
      <c r="G482" s="45" t="s">
        <v>763</v>
      </c>
      <c r="H482" s="8">
        <v>265457950</v>
      </c>
      <c r="I482" s="31">
        <v>230207950</v>
      </c>
      <c r="J482" s="8">
        <v>19880000</v>
      </c>
      <c r="K482" s="8">
        <v>55430000</v>
      </c>
      <c r="L482" s="52">
        <f>-880000+300000+880000</f>
        <v>300000</v>
      </c>
      <c r="M482" s="6">
        <f t="shared" si="36"/>
        <v>0</v>
      </c>
      <c r="N482" s="21" t="str">
        <f t="shared" si="37"/>
        <v>Cuadrado</v>
      </c>
      <c r="O482" s="4" t="s">
        <v>925</v>
      </c>
      <c r="P482" s="36">
        <v>80212698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spans="1:35" s="36" customFormat="1" x14ac:dyDescent="0.35">
      <c r="A483" s="72">
        <v>457</v>
      </c>
      <c r="B483" s="28">
        <v>9004</v>
      </c>
      <c r="C483" s="18" t="str">
        <f>VLOOKUP(B483,'Lista MF'!B:C,2,0)</f>
        <v>BELLTECH</v>
      </c>
      <c r="D483" s="36" t="s">
        <v>6</v>
      </c>
      <c r="E483" s="29">
        <v>46097</v>
      </c>
      <c r="F483" s="29">
        <v>46094</v>
      </c>
      <c r="G483" s="45" t="s">
        <v>548</v>
      </c>
      <c r="H483" s="8">
        <v>289891700</v>
      </c>
      <c r="I483" s="31">
        <v>281371500</v>
      </c>
      <c r="J483" s="8">
        <v>1330000</v>
      </c>
      <c r="K483" s="8">
        <v>9950000</v>
      </c>
      <c r="L483" s="52">
        <v>99800</v>
      </c>
      <c r="M483" s="6">
        <f t="shared" si="36"/>
        <v>0</v>
      </c>
      <c r="N483" s="21" t="str">
        <f t="shared" si="37"/>
        <v>Cuadrado</v>
      </c>
      <c r="O483" s="4" t="s">
        <v>926</v>
      </c>
      <c r="P483" s="36">
        <v>33750644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spans="1:35" s="36" customFormat="1" x14ac:dyDescent="0.35">
      <c r="A484" s="72">
        <v>348</v>
      </c>
      <c r="B484" s="28">
        <v>9009</v>
      </c>
      <c r="C484" s="18" t="str">
        <f>VLOOKUP(B484,'Lista MF'!B:C,2,0)</f>
        <v>BELLTECH</v>
      </c>
      <c r="D484" s="36" t="s">
        <v>6</v>
      </c>
      <c r="E484" s="29">
        <v>46097</v>
      </c>
      <c r="F484" s="29">
        <v>46094</v>
      </c>
      <c r="G484" s="45" t="s">
        <v>908</v>
      </c>
      <c r="H484" s="8">
        <v>31607400</v>
      </c>
      <c r="I484" s="31">
        <v>25017400</v>
      </c>
      <c r="J484" s="8">
        <v>0</v>
      </c>
      <c r="K484" s="8">
        <v>0</v>
      </c>
      <c r="L484" s="52"/>
      <c r="M484" s="6">
        <f t="shared" si="36"/>
        <v>-6590000</v>
      </c>
      <c r="N484" s="21" t="str">
        <f t="shared" si="37"/>
        <v>Sobrante</v>
      </c>
      <c r="O484" s="9" t="s">
        <v>914</v>
      </c>
      <c r="P484" s="36">
        <v>1123633014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spans="1:35" s="36" customFormat="1" x14ac:dyDescent="0.35">
      <c r="A485" s="72">
        <v>467</v>
      </c>
      <c r="B485" s="28">
        <v>9051</v>
      </c>
      <c r="C485" s="18" t="str">
        <f>VLOOKUP(B485,'Lista MF'!B:C,2,0)</f>
        <v>BELLTECH</v>
      </c>
      <c r="D485" s="36" t="s">
        <v>6</v>
      </c>
      <c r="E485" s="29">
        <v>46097</v>
      </c>
      <c r="F485" s="29">
        <v>46094</v>
      </c>
      <c r="G485" s="45" t="s">
        <v>909</v>
      </c>
      <c r="H485" s="8">
        <v>197423150</v>
      </c>
      <c r="I485" s="31">
        <v>111167050</v>
      </c>
      <c r="J485" s="8">
        <v>23350000</v>
      </c>
      <c r="K485" s="8">
        <v>33723000</v>
      </c>
      <c r="L485" s="52"/>
      <c r="M485" s="6">
        <f t="shared" si="36"/>
        <v>-75883100</v>
      </c>
      <c r="N485" s="21" t="str">
        <f t="shared" si="37"/>
        <v>Sobrante</v>
      </c>
      <c r="O485" s="75" t="s">
        <v>271</v>
      </c>
      <c r="P485" s="36">
        <v>52539189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spans="1:35" s="36" customFormat="1" x14ac:dyDescent="0.35">
      <c r="A486" s="72">
        <v>467</v>
      </c>
      <c r="B486" s="28">
        <v>9052</v>
      </c>
      <c r="C486" s="18" t="str">
        <f>VLOOKUP(B486,'Lista MF'!B:C,2,0)</f>
        <v>BELLTECH</v>
      </c>
      <c r="D486" s="36" t="s">
        <v>6</v>
      </c>
      <c r="E486" s="29">
        <v>46097</v>
      </c>
      <c r="F486" s="29">
        <v>46094</v>
      </c>
      <c r="G486" s="45" t="s">
        <v>900</v>
      </c>
      <c r="H486" s="8">
        <v>180243200</v>
      </c>
      <c r="I486" s="31">
        <v>174904050</v>
      </c>
      <c r="J486" s="8">
        <v>12240000</v>
      </c>
      <c r="K486" s="8">
        <v>16331000</v>
      </c>
      <c r="L486" s="52"/>
      <c r="M486" s="6">
        <f t="shared" si="36"/>
        <v>-1248150</v>
      </c>
      <c r="N486" s="21" t="str">
        <f t="shared" si="37"/>
        <v>Sobrante</v>
      </c>
      <c r="O486" s="9" t="s">
        <v>914</v>
      </c>
      <c r="P486" s="36">
        <v>52539189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spans="1:35" s="36" customFormat="1" x14ac:dyDescent="0.35">
      <c r="A487" s="72">
        <v>551</v>
      </c>
      <c r="B487" s="28">
        <v>9643</v>
      </c>
      <c r="C487" s="18" t="str">
        <f>VLOOKUP(B487,'Lista MF'!B:C,2,0)</f>
        <v>BELLTECH</v>
      </c>
      <c r="D487" s="36" t="s">
        <v>6</v>
      </c>
      <c r="E487" s="29">
        <v>46097</v>
      </c>
      <c r="F487" s="29">
        <v>46094</v>
      </c>
      <c r="G487" s="45" t="s">
        <v>910</v>
      </c>
      <c r="H487" s="8">
        <v>317417400</v>
      </c>
      <c r="I487" s="31">
        <v>275536300</v>
      </c>
      <c r="J487" s="8">
        <v>11140000</v>
      </c>
      <c r="K487" s="8">
        <v>53010000</v>
      </c>
      <c r="L487" s="52"/>
      <c r="M487" s="6">
        <f t="shared" si="36"/>
        <v>-11100</v>
      </c>
      <c r="N487" s="21" t="str">
        <f t="shared" si="37"/>
        <v>Sobrante</v>
      </c>
      <c r="O487" s="9" t="s">
        <v>914</v>
      </c>
      <c r="P487" s="36">
        <v>1152213498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spans="1:35" s="36" customFormat="1" x14ac:dyDescent="0.35">
      <c r="A488" s="72">
        <v>516</v>
      </c>
      <c r="B488" s="28">
        <v>9729</v>
      </c>
      <c r="C488" s="18" t="str">
        <f>VLOOKUP(B488,'Lista MF'!B:C,2,0)</f>
        <v>BELLTECH</v>
      </c>
      <c r="D488" s="36" t="s">
        <v>6</v>
      </c>
      <c r="E488" s="29">
        <v>46097</v>
      </c>
      <c r="F488" s="29">
        <v>46094</v>
      </c>
      <c r="G488" s="45" t="s">
        <v>567</v>
      </c>
      <c r="H488" s="8">
        <v>114949850</v>
      </c>
      <c r="I488" s="31">
        <v>112262150</v>
      </c>
      <c r="J488" s="8">
        <v>14140000</v>
      </c>
      <c r="K488" s="8">
        <v>20370000</v>
      </c>
      <c r="L488" s="52">
        <v>1377400</v>
      </c>
      <c r="M488" s="6">
        <f t="shared" si="36"/>
        <v>2164900</v>
      </c>
      <c r="N488" s="21" t="str">
        <f t="shared" si="37"/>
        <v>Faltante</v>
      </c>
      <c r="O488" s="13" t="s">
        <v>913</v>
      </c>
      <c r="P488" s="36">
        <v>57292451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spans="1:35" s="36" customFormat="1" x14ac:dyDescent="0.35">
      <c r="A489" s="72">
        <v>511</v>
      </c>
      <c r="B489" s="28">
        <v>5122</v>
      </c>
      <c r="C489" s="18" t="str">
        <f>VLOOKUP(B489,'Lista MF'!B:C,2,0)</f>
        <v>BELLTECH</v>
      </c>
      <c r="D489" s="36" t="s">
        <v>6</v>
      </c>
      <c r="E489" s="29">
        <v>46097</v>
      </c>
      <c r="F489" s="29">
        <v>46094</v>
      </c>
      <c r="G489" s="45" t="s">
        <v>657</v>
      </c>
      <c r="H489" s="8">
        <v>283207050</v>
      </c>
      <c r="I489" s="31">
        <v>284982050</v>
      </c>
      <c r="J489" s="8">
        <v>9670000</v>
      </c>
      <c r="K489" s="8">
        <v>7895000</v>
      </c>
      <c r="L489" s="52"/>
      <c r="M489" s="6">
        <f t="shared" ref="M489:M494" si="44">I489-(H489+J489-K489)-L489</f>
        <v>0</v>
      </c>
      <c r="N489" s="21" t="str">
        <f t="shared" ref="N489:N494" si="45">IF(M489="","",IF(M489=0,"Cuadrado",IF(M489&gt;0,"Faltante","Sobrante")))</f>
        <v>Cuadrado</v>
      </c>
      <c r="O489" s="4" t="s">
        <v>590</v>
      </c>
      <c r="P489" s="36">
        <v>1152438348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spans="1:35" s="36" customFormat="1" x14ac:dyDescent="0.35">
      <c r="A490" s="72">
        <v>300</v>
      </c>
      <c r="B490" s="28">
        <v>5139</v>
      </c>
      <c r="C490" s="18" t="str">
        <f>VLOOKUP(B490,'Lista MF'!B:C,2,0)</f>
        <v>BELLTECH</v>
      </c>
      <c r="D490" s="36" t="s">
        <v>6</v>
      </c>
      <c r="E490" s="29">
        <v>46097</v>
      </c>
      <c r="F490" s="29">
        <v>46094</v>
      </c>
      <c r="G490" s="45" t="s">
        <v>718</v>
      </c>
      <c r="H490" s="8">
        <v>281699650</v>
      </c>
      <c r="I490" s="31">
        <v>268433650</v>
      </c>
      <c r="J490" s="8">
        <v>15500000</v>
      </c>
      <c r="K490" s="8">
        <v>28766000</v>
      </c>
      <c r="L490" s="52"/>
      <c r="M490" s="6">
        <f t="shared" si="44"/>
        <v>0</v>
      </c>
      <c r="N490" s="21" t="str">
        <f t="shared" si="45"/>
        <v>Cuadrado</v>
      </c>
      <c r="O490" s="4" t="s">
        <v>590</v>
      </c>
      <c r="P490" s="36">
        <v>53097567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spans="1:35" s="36" customFormat="1" x14ac:dyDescent="0.35">
      <c r="A491" s="72">
        <v>718</v>
      </c>
      <c r="B491" s="28">
        <v>6248</v>
      </c>
      <c r="C491" s="18" t="str">
        <f>VLOOKUP(B491,'Lista MF'!B:C,2,0)</f>
        <v>BELLTECH</v>
      </c>
      <c r="D491" s="36" t="s">
        <v>6</v>
      </c>
      <c r="E491" s="29">
        <v>46097</v>
      </c>
      <c r="F491" s="29">
        <v>46094</v>
      </c>
      <c r="G491" s="45" t="s">
        <v>904</v>
      </c>
      <c r="H491" s="8">
        <v>180929850</v>
      </c>
      <c r="I491" s="31">
        <v>174729850</v>
      </c>
      <c r="J491" s="8">
        <v>0</v>
      </c>
      <c r="K491" s="8">
        <v>6200000</v>
      </c>
      <c r="L491" s="52"/>
      <c r="M491" s="6">
        <f t="shared" si="44"/>
        <v>0</v>
      </c>
      <c r="N491" s="21" t="str">
        <f t="shared" si="45"/>
        <v>Cuadrado</v>
      </c>
      <c r="O491" s="4" t="s">
        <v>590</v>
      </c>
      <c r="P491" s="36">
        <v>1110458168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spans="1:35" s="36" customFormat="1" x14ac:dyDescent="0.35">
      <c r="A492" s="72">
        <v>37</v>
      </c>
      <c r="B492" s="28">
        <v>6406</v>
      </c>
      <c r="C492" s="18" t="str">
        <f>VLOOKUP(B492,'Lista MF'!B:C,2,0)</f>
        <v>BELLTECH</v>
      </c>
      <c r="D492" s="36" t="s">
        <v>6</v>
      </c>
      <c r="E492" s="29">
        <v>46097</v>
      </c>
      <c r="F492" s="29">
        <v>46094</v>
      </c>
      <c r="G492" s="45" t="s">
        <v>780</v>
      </c>
      <c r="H492" s="8">
        <v>150351400</v>
      </c>
      <c r="I492" s="31">
        <v>150351400</v>
      </c>
      <c r="J492" s="8">
        <v>0</v>
      </c>
      <c r="K492" s="8">
        <v>0</v>
      </c>
      <c r="L492" s="52"/>
      <c r="M492" s="6">
        <f t="shared" si="44"/>
        <v>0</v>
      </c>
      <c r="N492" s="21" t="str">
        <f t="shared" si="45"/>
        <v>Cuadrado</v>
      </c>
      <c r="O492" s="4" t="s">
        <v>590</v>
      </c>
      <c r="P492" s="36">
        <v>1018444239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spans="1:35" s="36" customFormat="1" x14ac:dyDescent="0.35">
      <c r="A493" s="72">
        <v>728</v>
      </c>
      <c r="B493" s="28">
        <v>8586</v>
      </c>
      <c r="C493" s="18" t="str">
        <f>VLOOKUP(B493,'Lista MF'!B:C,2,0)</f>
        <v>BELLTECH</v>
      </c>
      <c r="D493" s="36" t="s">
        <v>6</v>
      </c>
      <c r="E493" s="29">
        <v>46097</v>
      </c>
      <c r="F493" s="29">
        <v>46094</v>
      </c>
      <c r="G493" s="45" t="s">
        <v>911</v>
      </c>
      <c r="H493" s="8">
        <v>71611650</v>
      </c>
      <c r="I493" s="31">
        <v>97971650</v>
      </c>
      <c r="J493" s="8">
        <v>26360000</v>
      </c>
      <c r="K493" s="8">
        <v>0</v>
      </c>
      <c r="L493" s="52"/>
      <c r="M493" s="6">
        <f t="shared" si="44"/>
        <v>0</v>
      </c>
      <c r="N493" s="21" t="str">
        <f t="shared" si="45"/>
        <v>Cuadrado</v>
      </c>
      <c r="O493" s="4" t="s">
        <v>590</v>
      </c>
      <c r="P493" s="36">
        <v>1112783690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spans="1:35" s="36" customFormat="1" x14ac:dyDescent="0.35">
      <c r="A494" s="72">
        <v>728</v>
      </c>
      <c r="B494" s="28">
        <v>8587</v>
      </c>
      <c r="C494" s="18" t="str">
        <f>VLOOKUP(B494,'Lista MF'!B:C,2,0)</f>
        <v>BELLTECH</v>
      </c>
      <c r="D494" s="36" t="s">
        <v>6</v>
      </c>
      <c r="E494" s="29">
        <v>46097</v>
      </c>
      <c r="F494" s="29">
        <v>46094</v>
      </c>
      <c r="G494" s="45" t="s">
        <v>912</v>
      </c>
      <c r="H494" s="8">
        <v>272030750</v>
      </c>
      <c r="I494" s="31">
        <v>146290750</v>
      </c>
      <c r="J494" s="8">
        <v>34040000</v>
      </c>
      <c r="K494" s="8">
        <v>159780000</v>
      </c>
      <c r="L494" s="52"/>
      <c r="M494" s="6">
        <f t="shared" si="44"/>
        <v>0</v>
      </c>
      <c r="N494" s="21" t="str">
        <f t="shared" si="45"/>
        <v>Cuadrado</v>
      </c>
      <c r="O494" s="4" t="s">
        <v>590</v>
      </c>
      <c r="P494" s="36">
        <v>1112783690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spans="1:35" s="36" customFormat="1" x14ac:dyDescent="0.35">
      <c r="A495" s="88">
        <v>115</v>
      </c>
      <c r="B495" s="28">
        <v>5080</v>
      </c>
      <c r="C495" s="18" t="str">
        <f>VLOOKUP(B495,'Lista MF'!B:C,2,0)</f>
        <v>BELLTECH</v>
      </c>
      <c r="D495" s="36" t="s">
        <v>6</v>
      </c>
      <c r="E495" s="29">
        <v>46098</v>
      </c>
      <c r="F495" s="29">
        <v>46097</v>
      </c>
      <c r="G495" s="45" t="s">
        <v>928</v>
      </c>
      <c r="H495" s="8">
        <v>451173650</v>
      </c>
      <c r="I495" s="31">
        <v>452903600</v>
      </c>
      <c r="J495" s="8">
        <v>1640000</v>
      </c>
      <c r="K495" s="8">
        <v>0</v>
      </c>
      <c r="L495" s="52"/>
      <c r="M495" s="6">
        <f t="shared" ref="M495:M506" si="46">I495-(H495+J495-K495)-L495</f>
        <v>89950</v>
      </c>
      <c r="N495" s="21" t="str">
        <f t="shared" ref="N495:N506" si="47">IF(M495="","",IF(M495=0,"Cuadrado",IF(M495&gt;0,"Faltante","Sobrante")))</f>
        <v>Faltante</v>
      </c>
      <c r="O495" s="75" t="s">
        <v>271</v>
      </c>
      <c r="P495" s="36">
        <v>42158306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</row>
    <row r="496" spans="1:35" s="36" customFormat="1" x14ac:dyDescent="0.35">
      <c r="A496" s="72">
        <v>88</v>
      </c>
      <c r="B496" s="28">
        <v>5111</v>
      </c>
      <c r="C496" s="18" t="str">
        <f>VLOOKUP(B496,'Lista MF'!B:C,2,0)</f>
        <v>BELLTECH</v>
      </c>
      <c r="D496" s="36" t="s">
        <v>6</v>
      </c>
      <c r="E496" s="29">
        <v>46098</v>
      </c>
      <c r="F496" s="29">
        <v>46097</v>
      </c>
      <c r="G496" s="45" t="s">
        <v>929</v>
      </c>
      <c r="H496" s="8">
        <v>161772350</v>
      </c>
      <c r="I496" s="31">
        <v>162587950</v>
      </c>
      <c r="J496" s="8">
        <v>2420000</v>
      </c>
      <c r="K496" s="8">
        <v>1304400</v>
      </c>
      <c r="L496" s="52"/>
      <c r="M496" s="6">
        <f t="shared" si="46"/>
        <v>-300000</v>
      </c>
      <c r="N496" s="21" t="str">
        <f t="shared" si="47"/>
        <v>Sobrante</v>
      </c>
      <c r="O496" s="4" t="s">
        <v>931</v>
      </c>
      <c r="P496" s="36">
        <v>27697484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</row>
    <row r="497" spans="1:35" s="36" customFormat="1" x14ac:dyDescent="0.35">
      <c r="A497" s="72">
        <v>70</v>
      </c>
      <c r="B497" s="28">
        <v>5164</v>
      </c>
      <c r="C497" s="18" t="str">
        <f>VLOOKUP(B497,'Lista MF'!B:C,2,0)</f>
        <v>BELLTECH</v>
      </c>
      <c r="D497" s="36" t="s">
        <v>6</v>
      </c>
      <c r="E497" s="29">
        <v>46098</v>
      </c>
      <c r="F497" s="29">
        <v>46097</v>
      </c>
      <c r="G497" s="45" t="s">
        <v>752</v>
      </c>
      <c r="H497" s="8">
        <v>41185300</v>
      </c>
      <c r="I497" s="31">
        <v>41085300</v>
      </c>
      <c r="J497" s="8">
        <v>100000</v>
      </c>
      <c r="K497" s="8">
        <v>0</v>
      </c>
      <c r="L497" s="52"/>
      <c r="M497" s="6">
        <f t="shared" si="46"/>
        <v>-200000</v>
      </c>
      <c r="N497" s="21" t="str">
        <f t="shared" si="47"/>
        <v>Sobrante</v>
      </c>
      <c r="O497" s="4" t="s">
        <v>931</v>
      </c>
      <c r="P497" s="36">
        <v>1053770486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</row>
    <row r="498" spans="1:35" s="36" customFormat="1" x14ac:dyDescent="0.35">
      <c r="A498" s="88">
        <v>432</v>
      </c>
      <c r="B498" s="28">
        <v>5195</v>
      </c>
      <c r="C498" s="18" t="str">
        <f>VLOOKUP(B498,'Lista MF'!B:C,2,0)</f>
        <v>BELLTECH</v>
      </c>
      <c r="D498" s="36" t="s">
        <v>6</v>
      </c>
      <c r="E498" s="29">
        <v>46098</v>
      </c>
      <c r="F498" s="29">
        <v>46097</v>
      </c>
      <c r="G498" s="45" t="s">
        <v>853</v>
      </c>
      <c r="H498" s="8">
        <v>186934150</v>
      </c>
      <c r="I498" s="31">
        <v>196575150</v>
      </c>
      <c r="J498" s="8">
        <v>6450000</v>
      </c>
      <c r="K498" s="8">
        <v>0</v>
      </c>
      <c r="L498" s="52"/>
      <c r="M498" s="6">
        <f t="shared" si="46"/>
        <v>3191000</v>
      </c>
      <c r="N498" s="21" t="str">
        <f t="shared" si="47"/>
        <v>Faltante</v>
      </c>
      <c r="O498" s="4" t="s">
        <v>932</v>
      </c>
      <c r="P498" s="36">
        <v>71935844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</row>
    <row r="499" spans="1:35" s="36" customFormat="1" x14ac:dyDescent="0.35">
      <c r="A499" s="88">
        <v>674</v>
      </c>
      <c r="B499" s="28">
        <v>5200</v>
      </c>
      <c r="C499" s="18" t="str">
        <f>VLOOKUP(B499,'Lista MF'!B:C,2,0)</f>
        <v>BELLTECH</v>
      </c>
      <c r="D499" s="36" t="s">
        <v>6</v>
      </c>
      <c r="E499" s="29">
        <v>46098</v>
      </c>
      <c r="F499" s="29">
        <v>46097</v>
      </c>
      <c r="G499" s="45" t="s">
        <v>802</v>
      </c>
      <c r="H499" s="8">
        <v>99814250</v>
      </c>
      <c r="I499" s="31">
        <v>87980250</v>
      </c>
      <c r="J499" s="8">
        <v>2100000</v>
      </c>
      <c r="K499" s="8">
        <v>12934000</v>
      </c>
      <c r="L499" s="52">
        <v>-1000000</v>
      </c>
      <c r="M499" s="6">
        <f t="shared" si="46"/>
        <v>0</v>
      </c>
      <c r="N499" s="21" t="str">
        <f t="shared" si="47"/>
        <v>Cuadrado</v>
      </c>
      <c r="O499" s="4" t="s">
        <v>590</v>
      </c>
      <c r="P499" s="36">
        <v>79813088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</row>
    <row r="500" spans="1:35" s="36" customFormat="1" x14ac:dyDescent="0.35">
      <c r="A500" s="88">
        <v>606</v>
      </c>
      <c r="B500" s="28">
        <v>5201</v>
      </c>
      <c r="C500" s="18" t="str">
        <f>VLOOKUP(B500,'Lista MF'!B:C,2,0)</f>
        <v>BELLTECH</v>
      </c>
      <c r="D500" s="36" t="s">
        <v>6</v>
      </c>
      <c r="E500" s="29">
        <v>46098</v>
      </c>
      <c r="F500" s="29">
        <v>46097</v>
      </c>
      <c r="G500" s="45" t="s">
        <v>792</v>
      </c>
      <c r="H500" s="8">
        <v>323399450</v>
      </c>
      <c r="I500" s="31">
        <v>330859450</v>
      </c>
      <c r="J500" s="8">
        <v>6460000</v>
      </c>
      <c r="K500" s="8">
        <v>0</v>
      </c>
      <c r="L500" s="52"/>
      <c r="M500" s="6">
        <f t="shared" si="46"/>
        <v>1000000</v>
      </c>
      <c r="N500" s="21" t="str">
        <f t="shared" si="47"/>
        <v>Faltante</v>
      </c>
      <c r="O500" s="75" t="s">
        <v>271</v>
      </c>
      <c r="P500" s="36">
        <v>33368879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</row>
    <row r="501" spans="1:35" s="36" customFormat="1" x14ac:dyDescent="0.35">
      <c r="A501" s="72">
        <v>455</v>
      </c>
      <c r="B501" s="28">
        <v>5206</v>
      </c>
      <c r="C501" s="18" t="str">
        <f>VLOOKUP(B501,'Lista MF'!B:C,2,0)</f>
        <v>BELLTECH</v>
      </c>
      <c r="D501" s="36" t="s">
        <v>6</v>
      </c>
      <c r="E501" s="29">
        <v>46098</v>
      </c>
      <c r="F501" s="29">
        <v>46097</v>
      </c>
      <c r="G501" s="45" t="s">
        <v>734</v>
      </c>
      <c r="H501" s="8">
        <v>213364050</v>
      </c>
      <c r="I501" s="31">
        <v>206608550</v>
      </c>
      <c r="J501" s="8">
        <v>2300000</v>
      </c>
      <c r="K501" s="8">
        <v>5100000</v>
      </c>
      <c r="L501" s="52"/>
      <c r="M501" s="6">
        <f t="shared" si="46"/>
        <v>-3955500</v>
      </c>
      <c r="N501" s="21" t="str">
        <f t="shared" si="47"/>
        <v>Sobrante</v>
      </c>
      <c r="O501" s="4" t="s">
        <v>931</v>
      </c>
      <c r="P501" s="36">
        <v>1083896352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</row>
    <row r="502" spans="1:35" s="36" customFormat="1" x14ac:dyDescent="0.35">
      <c r="A502" s="72">
        <v>74</v>
      </c>
      <c r="B502" s="28">
        <v>6215</v>
      </c>
      <c r="C502" s="18" t="str">
        <f>VLOOKUP(B502,'Lista MF'!B:C,2,0)</f>
        <v>DIEBOLD</v>
      </c>
      <c r="D502" s="36" t="s">
        <v>99</v>
      </c>
      <c r="E502" s="29">
        <v>46098</v>
      </c>
      <c r="F502" s="29">
        <v>46097</v>
      </c>
      <c r="G502" s="45" t="s">
        <v>831</v>
      </c>
      <c r="H502" s="8">
        <v>169971500</v>
      </c>
      <c r="I502" s="31">
        <v>171321500</v>
      </c>
      <c r="J502" s="8">
        <v>0</v>
      </c>
      <c r="K502" s="8">
        <v>0</v>
      </c>
      <c r="L502" s="52"/>
      <c r="M502" s="6">
        <f t="shared" si="46"/>
        <v>1350000</v>
      </c>
      <c r="N502" s="21" t="str">
        <f t="shared" si="47"/>
        <v>Faltante</v>
      </c>
      <c r="O502" s="4" t="s">
        <v>955</v>
      </c>
      <c r="P502" s="36">
        <v>59314706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spans="1:35" s="36" customFormat="1" x14ac:dyDescent="0.35">
      <c r="A503" s="88">
        <v>236</v>
      </c>
      <c r="B503" s="28">
        <v>6242</v>
      </c>
      <c r="C503" s="18" t="str">
        <f>VLOOKUP(B503,'Lista MF'!B:C,2,0)</f>
        <v>BELLTECH</v>
      </c>
      <c r="D503" s="36" t="s">
        <v>6</v>
      </c>
      <c r="E503" s="29">
        <v>46098</v>
      </c>
      <c r="F503" s="29">
        <v>46097</v>
      </c>
      <c r="G503" s="45" t="s">
        <v>765</v>
      </c>
      <c r="H503" s="8">
        <v>72648050</v>
      </c>
      <c r="I503" s="31">
        <v>159590050</v>
      </c>
      <c r="J503" s="8">
        <v>16730000</v>
      </c>
      <c r="K503" s="8">
        <v>19365000</v>
      </c>
      <c r="L503" s="52">
        <v>69487000</v>
      </c>
      <c r="M503" s="6">
        <f t="shared" si="46"/>
        <v>20090000</v>
      </c>
      <c r="N503" s="21" t="str">
        <f t="shared" si="47"/>
        <v>Faltante</v>
      </c>
      <c r="O503" s="4" t="s">
        <v>956</v>
      </c>
      <c r="P503" s="36">
        <v>71369714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</row>
    <row r="504" spans="1:35" s="36" customFormat="1" x14ac:dyDescent="0.35">
      <c r="A504" s="72">
        <v>317</v>
      </c>
      <c r="B504" s="28">
        <v>6613</v>
      </c>
      <c r="C504" s="18" t="str">
        <f>VLOOKUP(B504,'Lista MF'!B:C,2,0)</f>
        <v>DIEBOLD</v>
      </c>
      <c r="D504" s="36" t="s">
        <v>99</v>
      </c>
      <c r="E504" s="29">
        <v>46098</v>
      </c>
      <c r="F504" s="29">
        <v>46097</v>
      </c>
      <c r="G504" s="45" t="s">
        <v>930</v>
      </c>
      <c r="H504" s="8">
        <v>143558200</v>
      </c>
      <c r="I504" s="31">
        <v>138106100</v>
      </c>
      <c r="J504" s="8">
        <v>0</v>
      </c>
      <c r="K504" s="8">
        <v>0</v>
      </c>
      <c r="L504" s="52"/>
      <c r="M504" s="6">
        <f t="shared" si="46"/>
        <v>-5452100</v>
      </c>
      <c r="N504" s="89" t="str">
        <f t="shared" si="47"/>
        <v>Sobrante</v>
      </c>
      <c r="O504" s="4" t="s">
        <v>931</v>
      </c>
      <c r="P504" s="36">
        <v>1116796671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</row>
    <row r="505" spans="1:35" s="36" customFormat="1" x14ac:dyDescent="0.35">
      <c r="A505" s="72">
        <v>442</v>
      </c>
      <c r="B505" s="28">
        <v>8888</v>
      </c>
      <c r="C505" s="18" t="str">
        <f>VLOOKUP(B505,'Lista MF'!B:C,2,0)</f>
        <v>BELLTECH</v>
      </c>
      <c r="D505" s="36" t="s">
        <v>6</v>
      </c>
      <c r="E505" s="29">
        <v>46098</v>
      </c>
      <c r="F505" s="29">
        <v>46097</v>
      </c>
      <c r="G505" s="45" t="s">
        <v>551</v>
      </c>
      <c r="H505" s="8">
        <v>484830150</v>
      </c>
      <c r="I505" s="31">
        <v>459028150</v>
      </c>
      <c r="J505" s="8">
        <v>4460000</v>
      </c>
      <c r="K505" s="8">
        <v>20262000</v>
      </c>
      <c r="L505" s="52"/>
      <c r="M505" s="6">
        <f t="shared" si="46"/>
        <v>-10000000</v>
      </c>
      <c r="N505" s="21" t="str">
        <f t="shared" si="47"/>
        <v>Sobrante</v>
      </c>
      <c r="O505" s="4" t="s">
        <v>931</v>
      </c>
      <c r="P505" s="36">
        <v>1140853558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</row>
    <row r="506" spans="1:35" s="36" customFormat="1" x14ac:dyDescent="0.35">
      <c r="A506" s="72">
        <v>959</v>
      </c>
      <c r="B506" s="28">
        <v>9265</v>
      </c>
      <c r="C506" s="18" t="str">
        <f>VLOOKUP(B506,'Lista MF'!B:C,2,0)</f>
        <v>DIEBOLD</v>
      </c>
      <c r="D506" s="36" t="s">
        <v>99</v>
      </c>
      <c r="E506" s="29">
        <v>46098</v>
      </c>
      <c r="F506" s="29">
        <v>46097</v>
      </c>
      <c r="G506" s="45" t="s">
        <v>542</v>
      </c>
      <c r="H506" s="8">
        <v>49949000</v>
      </c>
      <c r="I506" s="31">
        <v>49469000</v>
      </c>
      <c r="J506" s="8">
        <v>0</v>
      </c>
      <c r="K506" s="8">
        <v>0</v>
      </c>
      <c r="L506" s="52"/>
      <c r="M506" s="6">
        <f t="shared" si="46"/>
        <v>-480000</v>
      </c>
      <c r="N506" s="89" t="str">
        <f t="shared" si="47"/>
        <v>Sobrante</v>
      </c>
      <c r="O506" s="4" t="s">
        <v>931</v>
      </c>
      <c r="P506" s="36">
        <v>1028002263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</row>
    <row r="507" spans="1:35" s="36" customFormat="1" x14ac:dyDescent="0.35">
      <c r="A507" s="72">
        <v>383</v>
      </c>
      <c r="B507" s="28">
        <v>5194</v>
      </c>
      <c r="C507" s="18" t="str">
        <f>VLOOKUP(B507,'Lista MF'!B:C,2,0)</f>
        <v>BELLTECH</v>
      </c>
      <c r="D507" s="36" t="s">
        <v>6</v>
      </c>
      <c r="E507" s="29">
        <v>46098</v>
      </c>
      <c r="F507" s="29">
        <v>46097</v>
      </c>
      <c r="G507" s="45" t="s">
        <v>706</v>
      </c>
      <c r="H507" s="8">
        <v>157011300</v>
      </c>
      <c r="I507" s="31">
        <v>155912300</v>
      </c>
      <c r="J507" s="8">
        <v>6600000</v>
      </c>
      <c r="K507" s="8">
        <v>7699000</v>
      </c>
      <c r="L507" s="52">
        <v>-2700000</v>
      </c>
      <c r="M507" s="6">
        <f t="shared" ref="M507:M510" si="48">I507-(H507+J507-K507)-L507</f>
        <v>2700000</v>
      </c>
      <c r="N507" s="21" t="str">
        <f t="shared" ref="N507:N510" si="49">IF(M507="","",IF(M507=0,"Cuadrado",IF(M507&gt;0,"Faltante","Sobrante")))</f>
        <v>Faltante</v>
      </c>
      <c r="O507" s="4" t="s">
        <v>957</v>
      </c>
      <c r="P507" s="36">
        <v>1073160492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</row>
    <row r="508" spans="1:35" s="36" customFormat="1" x14ac:dyDescent="0.35">
      <c r="A508" s="72">
        <v>728</v>
      </c>
      <c r="B508" s="28">
        <v>8586</v>
      </c>
      <c r="C508" s="18" t="str">
        <f>VLOOKUP(B508,'Lista MF'!B:C,2,0)</f>
        <v>BELLTECH</v>
      </c>
      <c r="D508" s="36" t="s">
        <v>6</v>
      </c>
      <c r="E508" s="29">
        <v>46098</v>
      </c>
      <c r="F508" s="29">
        <v>46097</v>
      </c>
      <c r="G508" s="45" t="s">
        <v>868</v>
      </c>
      <c r="H508" s="8">
        <v>46232850</v>
      </c>
      <c r="I508" s="31">
        <v>52632850</v>
      </c>
      <c r="J508" s="8">
        <v>6400000</v>
      </c>
      <c r="K508" s="8">
        <v>0</v>
      </c>
      <c r="L508" s="52"/>
      <c r="M508" s="6">
        <f t="shared" si="48"/>
        <v>0</v>
      </c>
      <c r="N508" s="21" t="str">
        <f t="shared" si="49"/>
        <v>Cuadrado</v>
      </c>
      <c r="O508" s="4" t="s">
        <v>590</v>
      </c>
      <c r="P508" s="36">
        <v>1112783690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</row>
    <row r="509" spans="1:35" s="36" customFormat="1" x14ac:dyDescent="0.35">
      <c r="A509" s="72">
        <v>728</v>
      </c>
      <c r="B509" s="28">
        <v>8587</v>
      </c>
      <c r="C509" s="18" t="str">
        <f>VLOOKUP(B509,'Lista MF'!B:C,2,0)</f>
        <v>BELLTECH</v>
      </c>
      <c r="D509" s="36" t="s">
        <v>6</v>
      </c>
      <c r="E509" s="29">
        <v>46098</v>
      </c>
      <c r="F509" s="29">
        <v>46097</v>
      </c>
      <c r="G509" s="45" t="s">
        <v>587</v>
      </c>
      <c r="H509" s="8">
        <v>168973150</v>
      </c>
      <c r="I509" s="31">
        <v>170863150</v>
      </c>
      <c r="J509" s="8">
        <v>5110000</v>
      </c>
      <c r="K509" s="8">
        <v>3220000</v>
      </c>
      <c r="L509" s="52"/>
      <c r="M509" s="6">
        <f t="shared" si="48"/>
        <v>0</v>
      </c>
      <c r="N509" s="21" t="str">
        <f t="shared" si="49"/>
        <v>Cuadrado</v>
      </c>
      <c r="O509" s="4" t="s">
        <v>590</v>
      </c>
      <c r="P509" s="36">
        <v>1112783690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</row>
    <row r="510" spans="1:35" s="36" customFormat="1" x14ac:dyDescent="0.35">
      <c r="A510" s="72">
        <v>890</v>
      </c>
      <c r="B510" s="28">
        <v>9584</v>
      </c>
      <c r="C510" s="18" t="str">
        <f>VLOOKUP(B510,'Lista MF'!B:C,2,0)</f>
        <v>BELLTECH</v>
      </c>
      <c r="D510" s="36" t="s">
        <v>6</v>
      </c>
      <c r="E510" s="29">
        <v>46098</v>
      </c>
      <c r="F510" s="29">
        <v>46097</v>
      </c>
      <c r="G510" s="45" t="s">
        <v>644</v>
      </c>
      <c r="H510" s="8">
        <v>69398800</v>
      </c>
      <c r="I510" s="31">
        <v>50518800</v>
      </c>
      <c r="J510" s="8">
        <v>3670000</v>
      </c>
      <c r="K510" s="8">
        <v>22550000</v>
      </c>
      <c r="L510" s="52"/>
      <c r="M510" s="6">
        <f t="shared" si="48"/>
        <v>0</v>
      </c>
      <c r="N510" s="21" t="str">
        <f t="shared" si="49"/>
        <v>Cuadrado</v>
      </c>
      <c r="O510" s="4" t="s">
        <v>590</v>
      </c>
      <c r="P510" s="36">
        <v>1053835867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</row>
    <row r="511" spans="1:35" x14ac:dyDescent="0.35">
      <c r="A511" s="90">
        <v>61</v>
      </c>
      <c r="B511" s="90">
        <v>788</v>
      </c>
      <c r="C511" s="90" t="s">
        <v>6</v>
      </c>
      <c r="D511" s="90" t="s">
        <v>6</v>
      </c>
      <c r="E511" s="91">
        <v>46099</v>
      </c>
      <c r="F511" s="91">
        <v>46098</v>
      </c>
      <c r="G511" s="92">
        <v>0.47222222222222221</v>
      </c>
      <c r="H511" s="93">
        <v>205975550</v>
      </c>
      <c r="I511" s="93">
        <v>203455550</v>
      </c>
      <c r="J511" s="93">
        <v>1430000</v>
      </c>
      <c r="K511" s="93">
        <v>2000000</v>
      </c>
      <c r="L511" s="90" t="s">
        <v>958</v>
      </c>
      <c r="M511" s="93">
        <v>-1950000</v>
      </c>
      <c r="N511" s="90" t="s">
        <v>959</v>
      </c>
      <c r="O511" s="90"/>
      <c r="P511" s="90">
        <v>16497924</v>
      </c>
      <c r="Q511" s="90" t="s">
        <v>960</v>
      </c>
      <c r="R511" s="90" t="s">
        <v>961</v>
      </c>
      <c r="S511" s="90" t="s">
        <v>962</v>
      </c>
    </row>
    <row r="512" spans="1:35" x14ac:dyDescent="0.35">
      <c r="A512" s="90">
        <v>287</v>
      </c>
      <c r="B512" s="90">
        <v>907</v>
      </c>
      <c r="C512" s="90" t="s">
        <v>99</v>
      </c>
      <c r="D512" s="90" t="s">
        <v>99</v>
      </c>
      <c r="E512" s="91">
        <v>46099</v>
      </c>
      <c r="F512" s="91">
        <v>46097</v>
      </c>
      <c r="G512" s="92">
        <v>0.62916666666666665</v>
      </c>
      <c r="H512" s="93">
        <v>153313650</v>
      </c>
      <c r="I512" s="93">
        <v>165008750</v>
      </c>
      <c r="J512" s="93">
        <v>32730000</v>
      </c>
      <c r="K512" s="93">
        <v>3020000</v>
      </c>
      <c r="L512" s="90" t="s">
        <v>958</v>
      </c>
      <c r="M512" s="93">
        <v>-18014900</v>
      </c>
      <c r="N512" s="90" t="s">
        <v>959</v>
      </c>
      <c r="O512" s="90"/>
      <c r="P512" s="90">
        <v>13566403</v>
      </c>
      <c r="Q512" s="90" t="s">
        <v>960</v>
      </c>
      <c r="R512" s="90" t="s">
        <v>961</v>
      </c>
      <c r="S512" s="90" t="s">
        <v>962</v>
      </c>
    </row>
    <row r="513" spans="1:19" x14ac:dyDescent="0.35">
      <c r="A513" s="90">
        <v>395</v>
      </c>
      <c r="B513" s="90">
        <v>1529</v>
      </c>
      <c r="C513" s="90" t="s">
        <v>6</v>
      </c>
      <c r="D513" s="90" t="s">
        <v>6</v>
      </c>
      <c r="E513" s="91">
        <v>46099</v>
      </c>
      <c r="F513" s="91">
        <v>46098</v>
      </c>
      <c r="G513" s="92">
        <v>0.40625</v>
      </c>
      <c r="H513" s="93">
        <v>211457000</v>
      </c>
      <c r="I513" s="93">
        <v>207047000</v>
      </c>
      <c r="J513" s="93">
        <v>5610000</v>
      </c>
      <c r="K513" s="93">
        <v>220000</v>
      </c>
      <c r="L513" s="90" t="s">
        <v>958</v>
      </c>
      <c r="M513" s="93">
        <v>-9800000</v>
      </c>
      <c r="N513" s="90" t="s">
        <v>959</v>
      </c>
      <c r="O513" s="90"/>
      <c r="P513" s="90">
        <v>1121857901</v>
      </c>
      <c r="Q513" s="90" t="s">
        <v>960</v>
      </c>
      <c r="R513" s="90" t="s">
        <v>961</v>
      </c>
      <c r="S513" s="90" t="s">
        <v>962</v>
      </c>
    </row>
    <row r="514" spans="1:19" x14ac:dyDescent="0.35">
      <c r="A514" s="90">
        <v>141</v>
      </c>
      <c r="B514" s="90">
        <v>1541</v>
      </c>
      <c r="C514" s="90" t="s">
        <v>6</v>
      </c>
      <c r="D514" s="90" t="s">
        <v>6</v>
      </c>
      <c r="E514" s="91">
        <v>46099</v>
      </c>
      <c r="F514" s="91">
        <v>46098</v>
      </c>
      <c r="G514" s="92">
        <v>0.47152777777777777</v>
      </c>
      <c r="H514" s="93">
        <v>155925150</v>
      </c>
      <c r="I514" s="93">
        <v>153311650</v>
      </c>
      <c r="J514" s="93">
        <v>12470000</v>
      </c>
      <c r="K514" s="93">
        <v>14405000</v>
      </c>
      <c r="L514" s="90" t="s">
        <v>958</v>
      </c>
      <c r="M514" s="93">
        <v>-678500</v>
      </c>
      <c r="N514" s="90" t="s">
        <v>959</v>
      </c>
      <c r="O514" s="90"/>
      <c r="P514" s="90">
        <v>11225738</v>
      </c>
      <c r="Q514" s="90" t="s">
        <v>960</v>
      </c>
      <c r="R514" s="90" t="s">
        <v>961</v>
      </c>
      <c r="S514" s="90" t="s">
        <v>962</v>
      </c>
    </row>
    <row r="515" spans="1:19" x14ac:dyDescent="0.35">
      <c r="A515" s="90">
        <v>944</v>
      </c>
      <c r="B515" s="90">
        <v>2228</v>
      </c>
      <c r="C515" s="90" t="s">
        <v>6</v>
      </c>
      <c r="D515" s="90" t="s">
        <v>6</v>
      </c>
      <c r="E515" s="91">
        <v>46099</v>
      </c>
      <c r="F515" s="91">
        <v>46098</v>
      </c>
      <c r="G515" s="92">
        <v>0.39513888888888887</v>
      </c>
      <c r="H515" s="93">
        <v>331942550</v>
      </c>
      <c r="I515" s="93">
        <v>327005900</v>
      </c>
      <c r="J515" s="90" t="s">
        <v>958</v>
      </c>
      <c r="K515" s="90" t="s">
        <v>958</v>
      </c>
      <c r="L515" s="90" t="s">
        <v>958</v>
      </c>
      <c r="M515" s="93">
        <v>-4936650</v>
      </c>
      <c r="N515" s="90" t="s">
        <v>959</v>
      </c>
      <c r="O515" s="90"/>
      <c r="P515" s="90">
        <v>79644034</v>
      </c>
      <c r="Q515" s="90" t="s">
        <v>960</v>
      </c>
      <c r="R515" s="90" t="s">
        <v>961</v>
      </c>
      <c r="S515" s="90" t="s">
        <v>962</v>
      </c>
    </row>
    <row r="516" spans="1:19" x14ac:dyDescent="0.35">
      <c r="A516" s="90">
        <v>723</v>
      </c>
      <c r="B516" s="90">
        <v>5046</v>
      </c>
      <c r="C516" s="90" t="s">
        <v>6</v>
      </c>
      <c r="D516" s="90" t="s">
        <v>6</v>
      </c>
      <c r="E516" s="91">
        <v>46099</v>
      </c>
      <c r="F516" s="91">
        <v>46098</v>
      </c>
      <c r="G516" s="92">
        <v>0.65972222222222221</v>
      </c>
      <c r="H516" s="93">
        <v>181772500</v>
      </c>
      <c r="I516" s="93">
        <v>128155500</v>
      </c>
      <c r="J516" s="93">
        <v>57100000</v>
      </c>
      <c r="K516" s="93">
        <v>94038000</v>
      </c>
      <c r="L516" s="90" t="s">
        <v>958</v>
      </c>
      <c r="M516" s="93">
        <v>-16679000</v>
      </c>
      <c r="N516" s="90" t="s">
        <v>959</v>
      </c>
      <c r="O516" s="90"/>
      <c r="P516" s="90">
        <v>1036959981</v>
      </c>
      <c r="Q516" s="90" t="s">
        <v>960</v>
      </c>
      <c r="R516" s="90" t="s">
        <v>961</v>
      </c>
      <c r="S516" s="90" t="s">
        <v>962</v>
      </c>
    </row>
    <row r="517" spans="1:19" x14ac:dyDescent="0.35">
      <c r="A517" s="90">
        <v>682</v>
      </c>
      <c r="B517" s="90">
        <v>5049</v>
      </c>
      <c r="C517" s="90" t="s">
        <v>6</v>
      </c>
      <c r="D517" s="90" t="s">
        <v>6</v>
      </c>
      <c r="E517" s="91">
        <v>46099</v>
      </c>
      <c r="F517" s="91">
        <v>46098</v>
      </c>
      <c r="G517" s="92">
        <v>0.38819444444444445</v>
      </c>
      <c r="H517" s="93">
        <v>225384050</v>
      </c>
      <c r="I517" s="93">
        <v>217768850</v>
      </c>
      <c r="J517" s="93">
        <v>4990000</v>
      </c>
      <c r="K517" s="93">
        <v>9685000</v>
      </c>
      <c r="L517" s="90" t="s">
        <v>958</v>
      </c>
      <c r="M517" s="93">
        <v>-2920200</v>
      </c>
      <c r="N517" s="90" t="s">
        <v>959</v>
      </c>
      <c r="O517" s="90"/>
      <c r="P517" s="90">
        <v>1018447800</v>
      </c>
      <c r="Q517" s="90" t="s">
        <v>960</v>
      </c>
      <c r="R517" s="90" t="s">
        <v>961</v>
      </c>
      <c r="S517" s="90" t="s">
        <v>962</v>
      </c>
    </row>
    <row r="518" spans="1:19" x14ac:dyDescent="0.35">
      <c r="A518" s="90">
        <v>24</v>
      </c>
      <c r="B518" s="90">
        <v>5066</v>
      </c>
      <c r="C518" s="90" t="s">
        <v>6</v>
      </c>
      <c r="D518" s="90" t="s">
        <v>6</v>
      </c>
      <c r="E518" s="91">
        <v>46099</v>
      </c>
      <c r="F518" s="91">
        <v>46098</v>
      </c>
      <c r="G518" s="92">
        <v>0.2986111111111111</v>
      </c>
      <c r="H518" s="93">
        <v>216243300</v>
      </c>
      <c r="I518" s="93">
        <v>213070650</v>
      </c>
      <c r="J518" s="93">
        <v>370000</v>
      </c>
      <c r="K518" s="93">
        <v>3515000</v>
      </c>
      <c r="L518" s="93">
        <v>-27650</v>
      </c>
      <c r="M518" s="90" t="s">
        <v>958</v>
      </c>
      <c r="N518" s="90" t="s">
        <v>963</v>
      </c>
      <c r="O518" s="90" t="s">
        <v>964</v>
      </c>
      <c r="P518" s="90">
        <v>39447263</v>
      </c>
      <c r="Q518" s="90" t="s">
        <v>960</v>
      </c>
      <c r="R518" s="90" t="s">
        <v>965</v>
      </c>
      <c r="S518" s="90" t="s">
        <v>966</v>
      </c>
    </row>
    <row r="519" spans="1:19" x14ac:dyDescent="0.35">
      <c r="A519" s="90">
        <v>652</v>
      </c>
      <c r="B519" s="90">
        <v>5070</v>
      </c>
      <c r="C519" s="90" t="s">
        <v>6</v>
      </c>
      <c r="D519" s="90" t="s">
        <v>6</v>
      </c>
      <c r="E519" s="91">
        <v>46099</v>
      </c>
      <c r="F519" s="91">
        <v>46098</v>
      </c>
      <c r="G519" s="92">
        <v>0.43402777777777779</v>
      </c>
      <c r="H519" s="93">
        <v>209863600</v>
      </c>
      <c r="I519" s="93">
        <v>203457350</v>
      </c>
      <c r="J519" s="93">
        <v>5780000</v>
      </c>
      <c r="K519" s="93">
        <v>12726500</v>
      </c>
      <c r="L519" s="90" t="s">
        <v>958</v>
      </c>
      <c r="M519" s="93">
        <v>540250</v>
      </c>
      <c r="N519" s="90" t="s">
        <v>967</v>
      </c>
      <c r="O519" s="90"/>
      <c r="P519" s="90">
        <v>1010190714</v>
      </c>
      <c r="Q519" s="90" t="s">
        <v>960</v>
      </c>
      <c r="R519" s="90" t="s">
        <v>961</v>
      </c>
      <c r="S519" s="90" t="s">
        <v>968</v>
      </c>
    </row>
    <row r="520" spans="1:19" x14ac:dyDescent="0.35">
      <c r="A520" s="90">
        <v>333</v>
      </c>
      <c r="B520" s="90">
        <v>5076</v>
      </c>
      <c r="C520" s="90" t="s">
        <v>6</v>
      </c>
      <c r="D520" s="90" t="s">
        <v>99</v>
      </c>
      <c r="E520" s="91">
        <v>46099</v>
      </c>
      <c r="F520" s="91">
        <v>46098</v>
      </c>
      <c r="G520" s="92">
        <v>0.56458333333333333</v>
      </c>
      <c r="H520" s="93">
        <v>61038650</v>
      </c>
      <c r="I520" s="93">
        <v>204208650</v>
      </c>
      <c r="J520" s="93">
        <v>6140000</v>
      </c>
      <c r="K520" s="93">
        <v>7400000</v>
      </c>
      <c r="L520" s="93">
        <v>151710000</v>
      </c>
      <c r="M520" s="93">
        <v>-7280000</v>
      </c>
      <c r="N520" s="90" t="s">
        <v>959</v>
      </c>
      <c r="O520" s="90"/>
      <c r="P520" s="90">
        <v>1036606819</v>
      </c>
      <c r="Q520" s="90" t="s">
        <v>960</v>
      </c>
      <c r="R520" s="90" t="s">
        <v>961</v>
      </c>
      <c r="S520" s="90" t="s">
        <v>962</v>
      </c>
    </row>
    <row r="521" spans="1:19" x14ac:dyDescent="0.35">
      <c r="A521" s="90">
        <v>523</v>
      </c>
      <c r="B521" s="90">
        <v>5082</v>
      </c>
      <c r="C521" s="90" t="s">
        <v>6</v>
      </c>
      <c r="D521" s="90" t="s">
        <v>6</v>
      </c>
      <c r="E521" s="91">
        <v>46099</v>
      </c>
      <c r="F521" s="91">
        <v>46098</v>
      </c>
      <c r="G521" s="92">
        <v>0.37152777777777779</v>
      </c>
      <c r="H521" s="93">
        <v>167425950</v>
      </c>
      <c r="I521" s="93">
        <v>162426000</v>
      </c>
      <c r="J521" s="90" t="s">
        <v>958</v>
      </c>
      <c r="K521" s="90" t="s">
        <v>958</v>
      </c>
      <c r="L521" s="90" t="s">
        <v>958</v>
      </c>
      <c r="M521" s="93">
        <v>-4999950</v>
      </c>
      <c r="N521" s="90" t="s">
        <v>959</v>
      </c>
      <c r="O521" s="90"/>
      <c r="P521" s="90">
        <v>1065609766</v>
      </c>
      <c r="Q521" s="90" t="s">
        <v>960</v>
      </c>
      <c r="R521" s="90" t="s">
        <v>961</v>
      </c>
      <c r="S521" s="90" t="s">
        <v>962</v>
      </c>
    </row>
    <row r="522" spans="1:19" x14ac:dyDescent="0.35">
      <c r="A522" s="90">
        <v>73</v>
      </c>
      <c r="B522" s="90">
        <v>5108</v>
      </c>
      <c r="C522" s="90" t="s">
        <v>6</v>
      </c>
      <c r="D522" s="90" t="s">
        <v>6</v>
      </c>
      <c r="E522" s="91">
        <v>46099</v>
      </c>
      <c r="F522" s="91">
        <v>46098</v>
      </c>
      <c r="G522" s="92">
        <v>0.36554398148148148</v>
      </c>
      <c r="H522" s="93">
        <v>52492050</v>
      </c>
      <c r="I522" s="93">
        <v>40036050</v>
      </c>
      <c r="J522" s="93">
        <v>2000000</v>
      </c>
      <c r="K522" s="93">
        <v>6591000</v>
      </c>
      <c r="L522" s="90" t="s">
        <v>958</v>
      </c>
      <c r="M522" s="93">
        <v>-7865000</v>
      </c>
      <c r="N522" s="90" t="s">
        <v>959</v>
      </c>
      <c r="O522" s="90"/>
      <c r="P522" s="90">
        <v>42157515</v>
      </c>
      <c r="Q522" s="90" t="s">
        <v>960</v>
      </c>
      <c r="R522" s="90" t="s">
        <v>961</v>
      </c>
      <c r="S522" s="90" t="s">
        <v>962</v>
      </c>
    </row>
    <row r="523" spans="1:19" x14ac:dyDescent="0.35">
      <c r="A523" s="90">
        <v>829</v>
      </c>
      <c r="B523" s="90">
        <v>5137</v>
      </c>
      <c r="C523" s="90" t="s">
        <v>6</v>
      </c>
      <c r="D523" s="90" t="s">
        <v>6</v>
      </c>
      <c r="E523" s="91">
        <v>46099</v>
      </c>
      <c r="F523" s="91">
        <v>46098</v>
      </c>
      <c r="G523" s="92">
        <v>0.3611111111111111</v>
      </c>
      <c r="H523" s="93">
        <v>264842300</v>
      </c>
      <c r="I523" s="93">
        <v>261322300</v>
      </c>
      <c r="J523" s="93">
        <v>590000</v>
      </c>
      <c r="K523" s="93">
        <v>4100000</v>
      </c>
      <c r="L523" s="90" t="s">
        <v>958</v>
      </c>
      <c r="M523" s="93">
        <v>-10000</v>
      </c>
      <c r="N523" s="90" t="s">
        <v>959</v>
      </c>
      <c r="O523" s="90"/>
      <c r="P523" s="90">
        <v>31306454</v>
      </c>
      <c r="Q523" s="90" t="s">
        <v>960</v>
      </c>
      <c r="R523" s="90" t="s">
        <v>961</v>
      </c>
      <c r="S523" s="90" t="s">
        <v>962</v>
      </c>
    </row>
    <row r="524" spans="1:19" x14ac:dyDescent="0.35">
      <c r="A524" s="90">
        <v>279</v>
      </c>
      <c r="B524" s="90">
        <v>5147</v>
      </c>
      <c r="C524" s="90" t="s">
        <v>6</v>
      </c>
      <c r="D524" s="90" t="s">
        <v>99</v>
      </c>
      <c r="E524" s="91">
        <v>46099</v>
      </c>
      <c r="F524" s="91">
        <v>46098</v>
      </c>
      <c r="G524" s="92">
        <v>0.43125000000000002</v>
      </c>
      <c r="H524" s="93">
        <v>164220600</v>
      </c>
      <c r="I524" s="93">
        <v>163918600</v>
      </c>
      <c r="J524" s="90" t="s">
        <v>958</v>
      </c>
      <c r="K524" s="90" t="s">
        <v>958</v>
      </c>
      <c r="L524" s="90" t="s">
        <v>958</v>
      </c>
      <c r="M524" s="93">
        <v>-302000</v>
      </c>
      <c r="N524" s="90" t="s">
        <v>959</v>
      </c>
      <c r="O524" s="90"/>
      <c r="P524" s="90">
        <v>42826913</v>
      </c>
      <c r="Q524" s="90" t="s">
        <v>960</v>
      </c>
      <c r="R524" s="90" t="s">
        <v>961</v>
      </c>
      <c r="S524" s="90" t="s">
        <v>962</v>
      </c>
    </row>
    <row r="525" spans="1:19" x14ac:dyDescent="0.35">
      <c r="A525" s="90">
        <v>358</v>
      </c>
      <c r="B525" s="90">
        <v>5149</v>
      </c>
      <c r="C525" s="90" t="s">
        <v>6</v>
      </c>
      <c r="D525" s="90" t="s">
        <v>6</v>
      </c>
      <c r="E525" s="91">
        <v>46099</v>
      </c>
      <c r="F525" s="91">
        <v>46098</v>
      </c>
      <c r="G525" s="92">
        <v>0.41875000000000001</v>
      </c>
      <c r="H525" s="93">
        <v>369948450</v>
      </c>
      <c r="I525" s="93">
        <v>345906450</v>
      </c>
      <c r="J525" s="93">
        <v>2100000</v>
      </c>
      <c r="K525" s="93">
        <v>25150000</v>
      </c>
      <c r="L525" s="90" t="s">
        <v>958</v>
      </c>
      <c r="M525" s="93">
        <v>-992000</v>
      </c>
      <c r="N525" s="90" t="s">
        <v>959</v>
      </c>
      <c r="O525" s="90"/>
      <c r="P525" s="90">
        <v>46456877</v>
      </c>
      <c r="Q525" s="90" t="s">
        <v>960</v>
      </c>
      <c r="R525" s="90" t="s">
        <v>961</v>
      </c>
      <c r="S525" s="90" t="s">
        <v>962</v>
      </c>
    </row>
    <row r="526" spans="1:19" x14ac:dyDescent="0.35">
      <c r="A526" s="90">
        <v>756</v>
      </c>
      <c r="B526" s="90">
        <v>5183</v>
      </c>
      <c r="C526" s="90" t="s">
        <v>99</v>
      </c>
      <c r="D526" s="90" t="s">
        <v>99</v>
      </c>
      <c r="E526" s="91">
        <v>46099</v>
      </c>
      <c r="F526" s="91">
        <v>46098</v>
      </c>
      <c r="G526" s="92">
        <v>0.42777777777777776</v>
      </c>
      <c r="H526" s="93">
        <v>172762350</v>
      </c>
      <c r="I526" s="93">
        <v>168571200</v>
      </c>
      <c r="J526" s="93">
        <v>6030000</v>
      </c>
      <c r="K526" s="93">
        <v>13595100</v>
      </c>
      <c r="L526" s="93">
        <v>3373950</v>
      </c>
      <c r="M526" s="90" t="s">
        <v>958</v>
      </c>
      <c r="N526" s="90" t="s">
        <v>963</v>
      </c>
      <c r="O526" s="90" t="s">
        <v>969</v>
      </c>
      <c r="P526" s="90">
        <v>1094912219</v>
      </c>
      <c r="Q526" s="94" t="s">
        <v>970</v>
      </c>
      <c r="R526" s="90" t="s">
        <v>971</v>
      </c>
      <c r="S526" s="90" t="s">
        <v>972</v>
      </c>
    </row>
    <row r="527" spans="1:19" x14ac:dyDescent="0.35">
      <c r="A527" s="90">
        <v>698</v>
      </c>
      <c r="B527" s="90">
        <v>5187</v>
      </c>
      <c r="C527" s="90" t="s">
        <v>6</v>
      </c>
      <c r="D527" s="90" t="s">
        <v>6</v>
      </c>
      <c r="E527" s="91">
        <v>46099</v>
      </c>
      <c r="F527" s="91">
        <v>46098</v>
      </c>
      <c r="G527" s="92">
        <v>0.47916666666666669</v>
      </c>
      <c r="H527" s="93">
        <v>155881650</v>
      </c>
      <c r="I527" s="93">
        <v>139470650</v>
      </c>
      <c r="J527" s="93">
        <v>10190000</v>
      </c>
      <c r="K527" s="93">
        <v>16600000</v>
      </c>
      <c r="L527" s="90" t="s">
        <v>958</v>
      </c>
      <c r="M527" s="93">
        <v>-10001000</v>
      </c>
      <c r="N527" s="90" t="s">
        <v>959</v>
      </c>
      <c r="O527" s="90"/>
      <c r="P527" s="90">
        <v>80177355</v>
      </c>
      <c r="Q527" s="90" t="s">
        <v>960</v>
      </c>
      <c r="R527" s="90" t="s">
        <v>961</v>
      </c>
      <c r="S527" s="90" t="s">
        <v>962</v>
      </c>
    </row>
    <row r="528" spans="1:19" x14ac:dyDescent="0.35">
      <c r="A528" s="90">
        <v>383</v>
      </c>
      <c r="B528" s="90">
        <v>5194</v>
      </c>
      <c r="C528" s="90" t="s">
        <v>6</v>
      </c>
      <c r="D528" s="90" t="s">
        <v>6</v>
      </c>
      <c r="E528" s="91">
        <v>46099</v>
      </c>
      <c r="F528" s="91">
        <v>46098</v>
      </c>
      <c r="G528" s="92">
        <v>0.40128472222222222</v>
      </c>
      <c r="H528" s="93">
        <v>150562200</v>
      </c>
      <c r="I528" s="93">
        <v>152422200</v>
      </c>
      <c r="J528" s="93">
        <v>12600000</v>
      </c>
      <c r="K528" s="93">
        <v>13440000</v>
      </c>
      <c r="L528" s="93">
        <v>2700000</v>
      </c>
      <c r="M528" s="90" t="s">
        <v>958</v>
      </c>
      <c r="N528" s="90" t="s">
        <v>963</v>
      </c>
      <c r="O528" s="90" t="s">
        <v>590</v>
      </c>
      <c r="P528" s="90">
        <v>1073160492</v>
      </c>
      <c r="Q528" s="90" t="s">
        <v>960</v>
      </c>
      <c r="R528" s="90" t="s">
        <v>965</v>
      </c>
      <c r="S528" s="90" t="s">
        <v>590</v>
      </c>
    </row>
    <row r="529" spans="1:19" x14ac:dyDescent="0.35">
      <c r="A529" s="90">
        <v>432</v>
      </c>
      <c r="B529" s="90">
        <v>5195</v>
      </c>
      <c r="C529" s="90" t="s">
        <v>6</v>
      </c>
      <c r="D529" s="90" t="s">
        <v>6</v>
      </c>
      <c r="E529" s="91">
        <v>46099</v>
      </c>
      <c r="F529" s="91">
        <v>46098</v>
      </c>
      <c r="G529" s="92">
        <v>0.58611111111111114</v>
      </c>
      <c r="H529" s="93">
        <v>222501750</v>
      </c>
      <c r="I529" s="93">
        <v>183242750</v>
      </c>
      <c r="J529" s="93">
        <v>21210000</v>
      </c>
      <c r="K529" s="93">
        <v>63660000</v>
      </c>
      <c r="L529" s="93">
        <v>3191000</v>
      </c>
      <c r="M529" s="90" t="s">
        <v>958</v>
      </c>
      <c r="N529" s="90" t="s">
        <v>963</v>
      </c>
      <c r="O529" s="90" t="s">
        <v>590</v>
      </c>
      <c r="P529" s="90">
        <v>71935844</v>
      </c>
      <c r="Q529" s="90" t="s">
        <v>960</v>
      </c>
      <c r="R529" s="90" t="s">
        <v>965</v>
      </c>
      <c r="S529" s="90" t="s">
        <v>590</v>
      </c>
    </row>
    <row r="530" spans="1:19" x14ac:dyDescent="0.35">
      <c r="A530" s="90">
        <v>941</v>
      </c>
      <c r="B530" s="90">
        <v>5220</v>
      </c>
      <c r="C530" s="90" t="s">
        <v>6</v>
      </c>
      <c r="D530" s="90" t="s">
        <v>6</v>
      </c>
      <c r="E530" s="91">
        <v>46099</v>
      </c>
      <c r="F530" s="91">
        <v>46098</v>
      </c>
      <c r="G530" s="92">
        <v>0.36666666666666664</v>
      </c>
      <c r="H530" s="93">
        <v>209349950</v>
      </c>
      <c r="I530" s="93">
        <v>205893400</v>
      </c>
      <c r="J530" s="93">
        <v>4160000</v>
      </c>
      <c r="K530" s="93">
        <v>6540000</v>
      </c>
      <c r="L530" s="90" t="s">
        <v>958</v>
      </c>
      <c r="M530" s="93">
        <v>-1076550</v>
      </c>
      <c r="N530" s="90" t="s">
        <v>959</v>
      </c>
      <c r="O530" s="90"/>
      <c r="P530" s="90">
        <v>1075228904</v>
      </c>
      <c r="Q530" s="90" t="s">
        <v>960</v>
      </c>
      <c r="R530" s="90" t="s">
        <v>961</v>
      </c>
      <c r="S530" s="90" t="s">
        <v>962</v>
      </c>
    </row>
    <row r="531" spans="1:19" x14ac:dyDescent="0.35">
      <c r="A531" s="90">
        <v>946</v>
      </c>
      <c r="B531" s="90">
        <v>5225</v>
      </c>
      <c r="C531" s="90" t="s">
        <v>6</v>
      </c>
      <c r="D531" s="90" t="s">
        <v>6</v>
      </c>
      <c r="E531" s="91">
        <v>46099</v>
      </c>
      <c r="F531" s="91">
        <v>46098</v>
      </c>
      <c r="G531" s="92">
        <v>0.48472222222222222</v>
      </c>
      <c r="H531" s="93">
        <v>321212350</v>
      </c>
      <c r="I531" s="93">
        <v>348568350</v>
      </c>
      <c r="J531" s="93">
        <v>34740000</v>
      </c>
      <c r="K531" s="93">
        <v>7084000</v>
      </c>
      <c r="L531" s="90" t="s">
        <v>958</v>
      </c>
      <c r="M531" s="93">
        <v>-300000</v>
      </c>
      <c r="N531" s="90" t="s">
        <v>959</v>
      </c>
      <c r="O531" s="90"/>
      <c r="P531" s="90">
        <v>20500181</v>
      </c>
      <c r="Q531" s="90" t="s">
        <v>960</v>
      </c>
      <c r="R531" s="90" t="s">
        <v>961</v>
      </c>
      <c r="S531" s="90" t="s">
        <v>962</v>
      </c>
    </row>
    <row r="532" spans="1:19" x14ac:dyDescent="0.35">
      <c r="A532" s="90">
        <v>690</v>
      </c>
      <c r="B532" s="90">
        <v>6180</v>
      </c>
      <c r="C532" s="90" t="s">
        <v>6</v>
      </c>
      <c r="D532" s="90" t="s">
        <v>6</v>
      </c>
      <c r="E532" s="91">
        <v>46099</v>
      </c>
      <c r="F532" s="91">
        <v>46098</v>
      </c>
      <c r="G532" s="92">
        <v>0.50694444444444442</v>
      </c>
      <c r="H532" s="93">
        <v>98424500</v>
      </c>
      <c r="I532" s="93">
        <v>86719500</v>
      </c>
      <c r="J532" s="93">
        <v>24560000</v>
      </c>
      <c r="K532" s="93">
        <v>36755000</v>
      </c>
      <c r="L532" s="90" t="s">
        <v>958</v>
      </c>
      <c r="M532" s="93">
        <v>490000</v>
      </c>
      <c r="N532" s="90" t="s">
        <v>967</v>
      </c>
      <c r="O532" s="90"/>
      <c r="P532" s="90">
        <v>1018459514</v>
      </c>
      <c r="Q532" s="94" t="s">
        <v>970</v>
      </c>
      <c r="R532" s="90" t="s">
        <v>973</v>
      </c>
      <c r="S532" s="90" t="s">
        <v>974</v>
      </c>
    </row>
    <row r="533" spans="1:19" x14ac:dyDescent="0.35">
      <c r="A533" s="90">
        <v>601</v>
      </c>
      <c r="B533" s="90">
        <v>6407</v>
      </c>
      <c r="C533" s="90" t="s">
        <v>6</v>
      </c>
      <c r="D533" s="90" t="s">
        <v>6</v>
      </c>
      <c r="E533" s="91">
        <v>46099</v>
      </c>
      <c r="F533" s="91">
        <v>46098</v>
      </c>
      <c r="G533" s="92">
        <v>0.4777777777777778</v>
      </c>
      <c r="H533" s="93">
        <v>213178650</v>
      </c>
      <c r="I533" s="93">
        <v>158011150</v>
      </c>
      <c r="J533" s="93">
        <v>8380000</v>
      </c>
      <c r="K533" s="93">
        <v>63197000</v>
      </c>
      <c r="L533" s="90" t="s">
        <v>958</v>
      </c>
      <c r="M533" s="93">
        <v>-350500</v>
      </c>
      <c r="N533" s="90" t="s">
        <v>959</v>
      </c>
      <c r="O533" s="90"/>
      <c r="P533" s="90">
        <v>1015399389</v>
      </c>
      <c r="Q533" s="90" t="s">
        <v>960</v>
      </c>
      <c r="R533" s="90" t="s">
        <v>961</v>
      </c>
      <c r="S533" s="90" t="s">
        <v>962</v>
      </c>
    </row>
    <row r="534" spans="1:19" x14ac:dyDescent="0.35">
      <c r="A534" s="90">
        <v>202</v>
      </c>
      <c r="B534" s="90">
        <v>6608</v>
      </c>
      <c r="C534" s="90" t="s">
        <v>6</v>
      </c>
      <c r="D534" s="90" t="s">
        <v>99</v>
      </c>
      <c r="E534" s="91">
        <v>46099</v>
      </c>
      <c r="F534" s="91">
        <v>46098</v>
      </c>
      <c r="G534" s="92">
        <v>0.46944444444444444</v>
      </c>
      <c r="H534" s="93">
        <v>192685150</v>
      </c>
      <c r="I534" s="93">
        <v>186687550</v>
      </c>
      <c r="J534" s="93">
        <v>13450000</v>
      </c>
      <c r="K534" s="93">
        <v>28122700</v>
      </c>
      <c r="L534" s="90" t="s">
        <v>958</v>
      </c>
      <c r="M534" s="93">
        <v>8675100</v>
      </c>
      <c r="N534" s="90" t="s">
        <v>967</v>
      </c>
      <c r="O534" s="90"/>
      <c r="P534" s="90">
        <v>1012330585</v>
      </c>
      <c r="Q534" s="90" t="s">
        <v>960</v>
      </c>
      <c r="R534" s="90" t="s">
        <v>961</v>
      </c>
      <c r="S534" s="90" t="s">
        <v>968</v>
      </c>
    </row>
    <row r="535" spans="1:19" x14ac:dyDescent="0.35">
      <c r="A535" s="90">
        <v>613</v>
      </c>
      <c r="B535" s="90">
        <v>6713</v>
      </c>
      <c r="C535" s="90" t="s">
        <v>99</v>
      </c>
      <c r="D535" s="90" t="s">
        <v>99</v>
      </c>
      <c r="E535" s="91">
        <v>46099</v>
      </c>
      <c r="F535" s="91">
        <v>46098</v>
      </c>
      <c r="G535" s="92">
        <v>0.60416666666666663</v>
      </c>
      <c r="H535" s="93">
        <v>226012350</v>
      </c>
      <c r="I535" s="93">
        <v>223619350</v>
      </c>
      <c r="J535" s="93">
        <v>4430000</v>
      </c>
      <c r="K535" s="93">
        <v>4355000</v>
      </c>
      <c r="L535" s="90" t="s">
        <v>958</v>
      </c>
      <c r="M535" s="93">
        <v>-2468000</v>
      </c>
      <c r="N535" s="90" t="s">
        <v>959</v>
      </c>
      <c r="O535" s="90"/>
      <c r="P535" s="90">
        <v>1040325060</v>
      </c>
      <c r="Q535" s="90" t="s">
        <v>960</v>
      </c>
      <c r="R535" s="90" t="s">
        <v>961</v>
      </c>
      <c r="S535" s="90" t="s">
        <v>962</v>
      </c>
    </row>
    <row r="536" spans="1:19" x14ac:dyDescent="0.35">
      <c r="A536" s="90">
        <v>96</v>
      </c>
      <c r="B536" s="90">
        <v>6735</v>
      </c>
      <c r="C536" s="90" t="s">
        <v>6</v>
      </c>
      <c r="D536" s="90" t="s">
        <v>6</v>
      </c>
      <c r="E536" s="91">
        <v>46099</v>
      </c>
      <c r="F536" s="91">
        <v>46098</v>
      </c>
      <c r="G536" s="92">
        <v>0.4548611111111111</v>
      </c>
      <c r="H536" s="93">
        <v>149452450</v>
      </c>
      <c r="I536" s="93">
        <v>157094450</v>
      </c>
      <c r="J536" s="93">
        <v>24790000</v>
      </c>
      <c r="K536" s="93">
        <v>18960000</v>
      </c>
      <c r="L536" s="93">
        <v>1812000</v>
      </c>
      <c r="M536" s="90" t="s">
        <v>958</v>
      </c>
      <c r="N536" s="90" t="s">
        <v>963</v>
      </c>
      <c r="O536" s="90" t="s">
        <v>975</v>
      </c>
      <c r="P536" s="90">
        <v>39491642</v>
      </c>
      <c r="Q536" s="94" t="s">
        <v>970</v>
      </c>
      <c r="R536" s="90" t="s">
        <v>976</v>
      </c>
      <c r="S536" s="90" t="s">
        <v>977</v>
      </c>
    </row>
    <row r="537" spans="1:19" x14ac:dyDescent="0.35">
      <c r="A537" s="90">
        <v>796</v>
      </c>
      <c r="B537" s="90">
        <v>6911</v>
      </c>
      <c r="C537" s="90" t="s">
        <v>6</v>
      </c>
      <c r="D537" s="90" t="s">
        <v>99</v>
      </c>
      <c r="E537" s="91">
        <v>46099</v>
      </c>
      <c r="F537" s="91">
        <v>46098</v>
      </c>
      <c r="G537" s="92">
        <v>0.36805555555555558</v>
      </c>
      <c r="H537" s="93">
        <v>163629850</v>
      </c>
      <c r="I537" s="93">
        <v>157429850</v>
      </c>
      <c r="J537" s="93">
        <v>610000</v>
      </c>
      <c r="K537" s="93">
        <v>7400000</v>
      </c>
      <c r="L537" s="93">
        <v>590000</v>
      </c>
      <c r="M537" s="90" t="s">
        <v>958</v>
      </c>
      <c r="N537" s="90" t="s">
        <v>963</v>
      </c>
      <c r="O537" s="90" t="s">
        <v>978</v>
      </c>
      <c r="P537" s="90">
        <v>1095802301</v>
      </c>
      <c r="Q537" s="90" t="s">
        <v>960</v>
      </c>
      <c r="R537" s="90" t="s">
        <v>965</v>
      </c>
      <c r="S537" s="90" t="s">
        <v>979</v>
      </c>
    </row>
    <row r="538" spans="1:19" x14ac:dyDescent="0.35">
      <c r="A538" s="90">
        <v>385</v>
      </c>
      <c r="B538" s="90">
        <v>7139</v>
      </c>
      <c r="C538" s="90" t="s">
        <v>6</v>
      </c>
      <c r="D538" s="90" t="s">
        <v>99</v>
      </c>
      <c r="E538" s="91">
        <v>46099</v>
      </c>
      <c r="F538" s="91">
        <v>46098</v>
      </c>
      <c r="G538" s="92">
        <v>0.64583333333333337</v>
      </c>
      <c r="H538" s="93">
        <v>200605850</v>
      </c>
      <c r="I538" s="93">
        <v>208583850</v>
      </c>
      <c r="J538" s="93">
        <v>30860000</v>
      </c>
      <c r="K538" s="93">
        <v>13482000</v>
      </c>
      <c r="L538" s="90" t="s">
        <v>958</v>
      </c>
      <c r="M538" s="93">
        <v>-9400000</v>
      </c>
      <c r="N538" s="90" t="s">
        <v>959</v>
      </c>
      <c r="O538" s="90"/>
      <c r="P538" s="90">
        <v>1077970238</v>
      </c>
      <c r="Q538" s="90" t="s">
        <v>960</v>
      </c>
      <c r="R538" s="90" t="s">
        <v>961</v>
      </c>
      <c r="S538" s="90" t="s">
        <v>962</v>
      </c>
    </row>
    <row r="539" spans="1:19" x14ac:dyDescent="0.35">
      <c r="A539" s="90">
        <v>609</v>
      </c>
      <c r="B539" s="90">
        <v>7875</v>
      </c>
      <c r="C539" s="90" t="s">
        <v>6</v>
      </c>
      <c r="D539" s="90" t="s">
        <v>6</v>
      </c>
      <c r="E539" s="91">
        <v>46099</v>
      </c>
      <c r="F539" s="91">
        <v>46098</v>
      </c>
      <c r="G539" s="92">
        <v>0.42152777777777778</v>
      </c>
      <c r="H539" s="93">
        <v>99185350</v>
      </c>
      <c r="I539" s="93">
        <v>122411650</v>
      </c>
      <c r="J539" s="93">
        <v>33090000</v>
      </c>
      <c r="K539" s="93">
        <v>10830700</v>
      </c>
      <c r="L539" s="93">
        <v>967000</v>
      </c>
      <c r="M539" s="90" t="s">
        <v>958</v>
      </c>
      <c r="N539" s="90" t="s">
        <v>963</v>
      </c>
      <c r="O539" s="90" t="s">
        <v>980</v>
      </c>
      <c r="P539" s="90">
        <v>98695047</v>
      </c>
      <c r="Q539" s="90" t="s">
        <v>960</v>
      </c>
      <c r="R539" s="90" t="s">
        <v>965</v>
      </c>
      <c r="S539" s="90" t="s">
        <v>981</v>
      </c>
    </row>
    <row r="540" spans="1:19" x14ac:dyDescent="0.35">
      <c r="A540" s="90">
        <v>609</v>
      </c>
      <c r="B540" s="90">
        <v>7888</v>
      </c>
      <c r="C540" s="90" t="s">
        <v>6</v>
      </c>
      <c r="D540" s="90" t="s">
        <v>6</v>
      </c>
      <c r="E540" s="91">
        <v>46099</v>
      </c>
      <c r="F540" s="91">
        <v>46098</v>
      </c>
      <c r="G540" s="92">
        <v>0.39027777777777778</v>
      </c>
      <c r="H540" s="93">
        <v>212465400</v>
      </c>
      <c r="I540" s="93">
        <v>254542400</v>
      </c>
      <c r="J540" s="93">
        <v>44720000</v>
      </c>
      <c r="K540" s="93">
        <v>6334000</v>
      </c>
      <c r="L540" s="93">
        <v>3691000</v>
      </c>
      <c r="M540" s="90" t="s">
        <v>958</v>
      </c>
      <c r="N540" s="90" t="s">
        <v>963</v>
      </c>
      <c r="O540" s="90" t="s">
        <v>982</v>
      </c>
      <c r="P540" s="90">
        <v>98695047</v>
      </c>
      <c r="Q540" s="90" t="s">
        <v>960</v>
      </c>
      <c r="R540" s="90" t="s">
        <v>965</v>
      </c>
      <c r="S540" s="90" t="s">
        <v>983</v>
      </c>
    </row>
    <row r="541" spans="1:19" x14ac:dyDescent="0.35">
      <c r="A541" s="90">
        <v>725</v>
      </c>
      <c r="B541" s="90">
        <v>8090</v>
      </c>
      <c r="C541" s="90" t="s">
        <v>6</v>
      </c>
      <c r="D541" s="90" t="s">
        <v>6</v>
      </c>
      <c r="E541" s="91">
        <v>46099</v>
      </c>
      <c r="F541" s="91">
        <v>46098</v>
      </c>
      <c r="G541" s="92">
        <v>0.62083333333333335</v>
      </c>
      <c r="H541" s="93">
        <v>48931700</v>
      </c>
      <c r="I541" s="93">
        <v>62258200</v>
      </c>
      <c r="J541" s="93">
        <v>21840000</v>
      </c>
      <c r="K541" s="93">
        <v>9108500</v>
      </c>
      <c r="L541" s="90" t="s">
        <v>958</v>
      </c>
      <c r="M541" s="93">
        <v>595000</v>
      </c>
      <c r="N541" s="90" t="s">
        <v>967</v>
      </c>
      <c r="O541" s="90"/>
      <c r="P541" s="90">
        <v>1093220078</v>
      </c>
      <c r="Q541" s="90" t="s">
        <v>960</v>
      </c>
      <c r="R541" s="90" t="s">
        <v>961</v>
      </c>
      <c r="S541" s="90" t="s">
        <v>271</v>
      </c>
    </row>
    <row r="542" spans="1:19" x14ac:dyDescent="0.35">
      <c r="A542" s="90">
        <v>944</v>
      </c>
      <c r="B542" s="90">
        <v>8353</v>
      </c>
      <c r="C542" s="90" t="s">
        <v>6</v>
      </c>
      <c r="D542" s="90" t="s">
        <v>6</v>
      </c>
      <c r="E542" s="91">
        <v>46099</v>
      </c>
      <c r="F542" s="91">
        <v>46098</v>
      </c>
      <c r="G542" s="92">
        <v>0.42638888888888887</v>
      </c>
      <c r="H542" s="93">
        <v>208215300</v>
      </c>
      <c r="I542" s="93">
        <v>153647300</v>
      </c>
      <c r="J542" s="93">
        <v>2970000</v>
      </c>
      <c r="K542" s="93">
        <v>41482000</v>
      </c>
      <c r="L542" s="90" t="s">
        <v>958</v>
      </c>
      <c r="M542" s="93">
        <v>-16056000</v>
      </c>
      <c r="N542" s="90" t="s">
        <v>959</v>
      </c>
      <c r="O542" s="90"/>
      <c r="P542" s="90">
        <v>79644034</v>
      </c>
      <c r="Q542" s="90" t="s">
        <v>960</v>
      </c>
      <c r="R542" s="90" t="s">
        <v>961</v>
      </c>
      <c r="S542" s="90" t="s">
        <v>962</v>
      </c>
    </row>
    <row r="543" spans="1:19" x14ac:dyDescent="0.35">
      <c r="A543" s="90">
        <v>944</v>
      </c>
      <c r="B543" s="90">
        <v>8354</v>
      </c>
      <c r="C543" s="90" t="s">
        <v>6</v>
      </c>
      <c r="D543" s="90" t="s">
        <v>6</v>
      </c>
      <c r="E543" s="91">
        <v>46099</v>
      </c>
      <c r="F543" s="91">
        <v>46098</v>
      </c>
      <c r="G543" s="92">
        <v>0.45069444444444445</v>
      </c>
      <c r="H543" s="93">
        <v>279964850</v>
      </c>
      <c r="I543" s="93">
        <v>236076800</v>
      </c>
      <c r="J543" s="93">
        <v>5470000</v>
      </c>
      <c r="K543" s="93">
        <v>50012650</v>
      </c>
      <c r="L543" s="93">
        <v>654600</v>
      </c>
      <c r="M543" s="90" t="s">
        <v>958</v>
      </c>
      <c r="N543" s="90" t="s">
        <v>963</v>
      </c>
      <c r="O543" s="90" t="s">
        <v>984</v>
      </c>
      <c r="P543" s="90">
        <v>79644034</v>
      </c>
      <c r="Q543" s="94" t="s">
        <v>970</v>
      </c>
      <c r="R543" s="90" t="s">
        <v>985</v>
      </c>
      <c r="S543" s="90" t="s">
        <v>986</v>
      </c>
    </row>
    <row r="544" spans="1:19" x14ac:dyDescent="0.35">
      <c r="A544" s="90">
        <v>31</v>
      </c>
      <c r="B544" s="90">
        <v>8737</v>
      </c>
      <c r="C544" s="90" t="s">
        <v>6</v>
      </c>
      <c r="D544" s="90" t="s">
        <v>6</v>
      </c>
      <c r="E544" s="91">
        <v>46099</v>
      </c>
      <c r="F544" s="91">
        <v>46098</v>
      </c>
      <c r="G544" s="92">
        <v>0.55763888888888891</v>
      </c>
      <c r="H544" s="93">
        <v>268667900</v>
      </c>
      <c r="I544" s="93">
        <v>227784800</v>
      </c>
      <c r="J544" s="93">
        <v>21080000</v>
      </c>
      <c r="K544" s="93">
        <v>63093050</v>
      </c>
      <c r="L544" s="93">
        <v>-260050</v>
      </c>
      <c r="M544" s="93">
        <v>1390000</v>
      </c>
      <c r="N544" s="90" t="s">
        <v>967</v>
      </c>
      <c r="O544" s="90"/>
      <c r="P544" s="90">
        <v>80168704</v>
      </c>
      <c r="Q544" s="94" t="s">
        <v>970</v>
      </c>
      <c r="R544" s="90" t="s">
        <v>973</v>
      </c>
      <c r="S544" s="90" t="s">
        <v>987</v>
      </c>
    </row>
    <row r="545" spans="1:19" x14ac:dyDescent="0.35">
      <c r="A545" s="90">
        <v>33</v>
      </c>
      <c r="B545" s="90">
        <v>8861</v>
      </c>
      <c r="C545" s="90" t="s">
        <v>6</v>
      </c>
      <c r="D545" s="90" t="s">
        <v>99</v>
      </c>
      <c r="E545" s="91">
        <v>46099</v>
      </c>
      <c r="F545" s="91">
        <v>46098</v>
      </c>
      <c r="G545" s="92">
        <v>0.38194444444444442</v>
      </c>
      <c r="H545" s="93">
        <v>230110250</v>
      </c>
      <c r="I545" s="93">
        <v>219355250</v>
      </c>
      <c r="J545" s="93">
        <v>4090000</v>
      </c>
      <c r="K545" s="93">
        <v>5000000</v>
      </c>
      <c r="L545" s="90" t="s">
        <v>958</v>
      </c>
      <c r="M545" s="93">
        <v>-9845000</v>
      </c>
      <c r="N545" s="90" t="s">
        <v>959</v>
      </c>
      <c r="O545" s="90"/>
      <c r="P545" s="90">
        <v>79659379</v>
      </c>
      <c r="Q545" s="90" t="s">
        <v>960</v>
      </c>
      <c r="R545" s="90" t="s">
        <v>961</v>
      </c>
      <c r="S545" s="90" t="s">
        <v>962</v>
      </c>
    </row>
    <row r="546" spans="1:19" x14ac:dyDescent="0.35">
      <c r="A546" s="90">
        <v>225</v>
      </c>
      <c r="B546" s="90">
        <v>8869</v>
      </c>
      <c r="C546" s="90" t="s">
        <v>6</v>
      </c>
      <c r="D546" s="90" t="s">
        <v>99</v>
      </c>
      <c r="E546" s="91">
        <v>46099</v>
      </c>
      <c r="F546" s="91">
        <v>46098</v>
      </c>
      <c r="G546" s="92">
        <v>0.5083333333333333</v>
      </c>
      <c r="H546" s="93">
        <v>160962450</v>
      </c>
      <c r="I546" s="93">
        <v>298943450</v>
      </c>
      <c r="J546" s="93">
        <v>21210000</v>
      </c>
      <c r="K546" s="93">
        <v>35095000</v>
      </c>
      <c r="L546" s="93">
        <v>161236000</v>
      </c>
      <c r="M546" s="93">
        <v>-9370000</v>
      </c>
      <c r="N546" s="90" t="s">
        <v>959</v>
      </c>
      <c r="O546" s="90"/>
      <c r="P546" s="90">
        <v>80212698</v>
      </c>
      <c r="Q546" s="90" t="s">
        <v>960</v>
      </c>
      <c r="R546" s="90" t="s">
        <v>961</v>
      </c>
      <c r="S546" s="90" t="s">
        <v>962</v>
      </c>
    </row>
    <row r="547" spans="1:19" x14ac:dyDescent="0.35">
      <c r="A547" s="90">
        <v>64</v>
      </c>
      <c r="B547" s="90">
        <v>9306</v>
      </c>
      <c r="C547" s="90" t="s">
        <v>6</v>
      </c>
      <c r="D547" s="90" t="s">
        <v>6</v>
      </c>
      <c r="E547" s="91">
        <v>46099</v>
      </c>
      <c r="F547" s="91">
        <v>46098</v>
      </c>
      <c r="G547" s="92">
        <v>0.40277777777777779</v>
      </c>
      <c r="H547" s="93">
        <v>206949650</v>
      </c>
      <c r="I547" s="93">
        <v>221375650</v>
      </c>
      <c r="J547" s="93">
        <v>29670000</v>
      </c>
      <c r="K547" s="93">
        <v>11410000</v>
      </c>
      <c r="L547" s="90" t="s">
        <v>958</v>
      </c>
      <c r="M547" s="93">
        <v>-3834000</v>
      </c>
      <c r="N547" s="90" t="s">
        <v>959</v>
      </c>
      <c r="O547" s="90"/>
      <c r="P547" s="90">
        <v>1144157313</v>
      </c>
      <c r="Q547" s="90" t="s">
        <v>960</v>
      </c>
      <c r="R547" s="90" t="s">
        <v>961</v>
      </c>
      <c r="S547" s="90" t="s">
        <v>962</v>
      </c>
    </row>
    <row r="548" spans="1:19" x14ac:dyDescent="0.35">
      <c r="A548" s="90">
        <v>292</v>
      </c>
      <c r="B548" s="90">
        <v>278</v>
      </c>
      <c r="C548" s="90" t="s">
        <v>6</v>
      </c>
      <c r="D548" s="90" t="s">
        <v>99</v>
      </c>
      <c r="E548" s="91">
        <v>46099</v>
      </c>
      <c r="F548" s="91">
        <v>46098</v>
      </c>
      <c r="G548" s="92">
        <v>0.44513888888888886</v>
      </c>
      <c r="H548" s="93">
        <v>108639700</v>
      </c>
      <c r="I548" s="93">
        <v>119010700</v>
      </c>
      <c r="J548" s="93">
        <v>15080000</v>
      </c>
      <c r="K548" s="93">
        <v>4709000</v>
      </c>
      <c r="L548" s="90" t="s">
        <v>958</v>
      </c>
      <c r="M548" s="90" t="s">
        <v>958</v>
      </c>
      <c r="N548" s="90" t="s">
        <v>963</v>
      </c>
      <c r="O548" s="90" t="s">
        <v>590</v>
      </c>
      <c r="P548" s="90">
        <v>44006127</v>
      </c>
      <c r="Q548" s="90" t="s">
        <v>960</v>
      </c>
      <c r="R548" s="90" t="s">
        <v>965</v>
      </c>
      <c r="S548" s="90" t="s">
        <v>590</v>
      </c>
    </row>
    <row r="549" spans="1:19" x14ac:dyDescent="0.35">
      <c r="A549" s="90">
        <v>333</v>
      </c>
      <c r="B549" s="90">
        <v>442</v>
      </c>
      <c r="C549" s="90" t="s">
        <v>99</v>
      </c>
      <c r="D549" s="90" t="s">
        <v>99</v>
      </c>
      <c r="E549" s="91">
        <v>46099</v>
      </c>
      <c r="F549" s="91">
        <v>46098</v>
      </c>
      <c r="G549" s="92">
        <v>0.55347222222222225</v>
      </c>
      <c r="H549" s="93">
        <v>175104100</v>
      </c>
      <c r="I549" s="93">
        <v>167949100</v>
      </c>
      <c r="J549" s="93">
        <v>1080000</v>
      </c>
      <c r="K549" s="93">
        <v>8235000</v>
      </c>
      <c r="L549" s="90" t="s">
        <v>958</v>
      </c>
      <c r="M549" s="90" t="s">
        <v>958</v>
      </c>
      <c r="N549" s="90" t="s">
        <v>963</v>
      </c>
      <c r="O549" s="90" t="s">
        <v>590</v>
      </c>
      <c r="P549" s="90">
        <v>1036606819</v>
      </c>
      <c r="Q549" s="90" t="s">
        <v>960</v>
      </c>
      <c r="R549" s="90" t="s">
        <v>965</v>
      </c>
      <c r="S549" s="90" t="s">
        <v>590</v>
      </c>
    </row>
    <row r="550" spans="1:19" x14ac:dyDescent="0.35">
      <c r="A550" s="90">
        <v>395</v>
      </c>
      <c r="B550" s="90">
        <v>1528</v>
      </c>
      <c r="C550" s="90" t="s">
        <v>6</v>
      </c>
      <c r="D550" s="90" t="s">
        <v>6</v>
      </c>
      <c r="E550" s="91">
        <v>46099</v>
      </c>
      <c r="F550" s="91">
        <v>46098</v>
      </c>
      <c r="G550" s="92">
        <v>0.39652777777777776</v>
      </c>
      <c r="H550" s="93">
        <v>207247050</v>
      </c>
      <c r="I550" s="93">
        <v>194848050</v>
      </c>
      <c r="J550" s="93">
        <v>1300000</v>
      </c>
      <c r="K550" s="93">
        <v>13699000</v>
      </c>
      <c r="L550" s="90" t="s">
        <v>958</v>
      </c>
      <c r="M550" s="90" t="s">
        <v>958</v>
      </c>
      <c r="N550" s="90" t="s">
        <v>963</v>
      </c>
      <c r="O550" s="90" t="s">
        <v>590</v>
      </c>
      <c r="P550" s="90">
        <v>1121857901</v>
      </c>
      <c r="Q550" s="90" t="s">
        <v>960</v>
      </c>
      <c r="R550" s="90" t="s">
        <v>965</v>
      </c>
      <c r="S550" s="90" t="s">
        <v>590</v>
      </c>
    </row>
    <row r="551" spans="1:19" x14ac:dyDescent="0.35">
      <c r="A551" s="90">
        <v>292</v>
      </c>
      <c r="B551" s="90">
        <v>5116</v>
      </c>
      <c r="C551" s="90" t="s">
        <v>6</v>
      </c>
      <c r="D551" s="90" t="s">
        <v>6</v>
      </c>
      <c r="E551" s="91">
        <v>46099</v>
      </c>
      <c r="F551" s="91">
        <v>46098</v>
      </c>
      <c r="G551" s="92">
        <v>0.43263888888888891</v>
      </c>
      <c r="H551" s="93">
        <v>133941700</v>
      </c>
      <c r="I551" s="93">
        <v>117836700</v>
      </c>
      <c r="J551" s="93">
        <v>14450000</v>
      </c>
      <c r="K551" s="93">
        <v>30555000</v>
      </c>
      <c r="L551" s="90" t="s">
        <v>958</v>
      </c>
      <c r="M551" s="90" t="s">
        <v>958</v>
      </c>
      <c r="N551" s="90" t="s">
        <v>963</v>
      </c>
      <c r="O551" s="90" t="s">
        <v>590</v>
      </c>
      <c r="P551" s="90">
        <v>44006127</v>
      </c>
      <c r="Q551" s="90" t="s">
        <v>960</v>
      </c>
      <c r="R551" s="90" t="s">
        <v>965</v>
      </c>
      <c r="S551" s="90" t="s">
        <v>590</v>
      </c>
    </row>
    <row r="552" spans="1:19" x14ac:dyDescent="0.35">
      <c r="A552" s="90">
        <v>420</v>
      </c>
      <c r="B552" s="90">
        <v>5173</v>
      </c>
      <c r="C552" s="90" t="s">
        <v>6</v>
      </c>
      <c r="D552" s="90" t="s">
        <v>6</v>
      </c>
      <c r="E552" s="91">
        <v>46099</v>
      </c>
      <c r="F552" s="91">
        <v>46098</v>
      </c>
      <c r="G552" s="92">
        <v>0.41249999999999998</v>
      </c>
      <c r="H552" s="93">
        <v>79545200</v>
      </c>
      <c r="I552" s="93">
        <v>79725200</v>
      </c>
      <c r="J552" s="93">
        <v>180000</v>
      </c>
      <c r="K552" s="90" t="s">
        <v>958</v>
      </c>
      <c r="L552" s="90" t="s">
        <v>958</v>
      </c>
      <c r="M552" s="90" t="s">
        <v>958</v>
      </c>
      <c r="N552" s="90" t="s">
        <v>963</v>
      </c>
      <c r="O552" s="90" t="s">
        <v>590</v>
      </c>
      <c r="P552" s="90">
        <v>1020436470</v>
      </c>
      <c r="Q552" s="90" t="s">
        <v>960</v>
      </c>
      <c r="R552" s="90" t="s">
        <v>965</v>
      </c>
      <c r="S552" s="90" t="s">
        <v>590</v>
      </c>
    </row>
  </sheetData>
  <autoFilter ref="A1:P510" xr:uid="{4CA7671C-9926-4D00-BFA4-A7B2406C1955}"/>
  <sortState xmlns:xlrd2="http://schemas.microsoft.com/office/spreadsheetml/2017/richdata2" ref="A2:P191">
    <sortCondition ref="A2:A191"/>
    <sortCondition ref="B2:B191"/>
    <sortCondition ref="F2:F191"/>
  </sortState>
  <conditionalFormatting sqref="B2:B188">
    <cfRule type="duplicateValues" dxfId="10" priority="190"/>
  </conditionalFormatting>
  <conditionalFormatting sqref="B2:B510 B553:B1048576">
    <cfRule type="duplicateValues" dxfId="9" priority="21"/>
    <cfRule type="duplicateValues" dxfId="8" priority="23"/>
    <cfRule type="duplicateValues" dxfId="7" priority="24"/>
    <cfRule type="duplicateValues" dxfId="6" priority="25"/>
    <cfRule type="duplicateValues" dxfId="5" priority="26"/>
  </conditionalFormatting>
  <conditionalFormatting sqref="M2:M510">
    <cfRule type="cellIs" dxfId="4" priority="4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E49A-AF98-426A-B983-FA3CB7B8841B}">
  <sheetPr codeName="Hoja2" filterMode="1"/>
  <dimension ref="A1:M279"/>
  <sheetViews>
    <sheetView zoomScale="90" zoomScaleNormal="90" workbookViewId="0">
      <pane ySplit="1" topLeftCell="A270" activePane="bottomLeft" state="frozen"/>
      <selection activeCell="H881" sqref="H881"/>
      <selection pane="bottomLeft" activeCell="G270" sqref="G270"/>
    </sheetView>
  </sheetViews>
  <sheetFormatPr baseColWidth="10" defaultRowHeight="14.5" x14ac:dyDescent="0.35"/>
  <cols>
    <col min="1" max="1" width="11.90625" bestFit="1" customWidth="1"/>
    <col min="2" max="2" width="10.81640625" bestFit="1" customWidth="1"/>
    <col min="3" max="3" width="10.90625" customWidth="1"/>
    <col min="4" max="4" width="14.1796875" customWidth="1"/>
    <col min="5" max="5" width="40.36328125" customWidth="1"/>
    <col min="6" max="6" width="31.81640625" customWidth="1"/>
    <col min="7" max="7" width="15.08984375" customWidth="1"/>
    <col min="8" max="8" width="14.7265625" customWidth="1"/>
    <col min="9" max="9" width="14.453125" style="7" customWidth="1"/>
    <col min="10" max="10" width="14.54296875" customWidth="1"/>
    <col min="11" max="11" width="33.26953125" customWidth="1"/>
  </cols>
  <sheetData>
    <row r="1" spans="1:11" ht="39" x14ac:dyDescent="0.35">
      <c r="A1" s="2" t="s">
        <v>2</v>
      </c>
      <c r="B1" s="2" t="s">
        <v>3</v>
      </c>
      <c r="C1" s="2" t="s">
        <v>4</v>
      </c>
      <c r="D1" s="2" t="s">
        <v>3</v>
      </c>
      <c r="E1" s="3" t="s">
        <v>5</v>
      </c>
      <c r="F1" s="3" t="s">
        <v>215</v>
      </c>
      <c r="G1" s="3" t="s">
        <v>254</v>
      </c>
      <c r="H1" s="1" t="s">
        <v>218</v>
      </c>
      <c r="I1" s="30" t="s">
        <v>217</v>
      </c>
      <c r="J1" s="1" t="s">
        <v>216</v>
      </c>
      <c r="K1" s="1" t="s">
        <v>219</v>
      </c>
    </row>
    <row r="2" spans="1:11" hidden="1" x14ac:dyDescent="0.35">
      <c r="A2" s="32">
        <v>348</v>
      </c>
      <c r="B2" s="32">
        <v>192</v>
      </c>
      <c r="C2" s="34" t="s">
        <v>6</v>
      </c>
      <c r="D2" s="32" t="s">
        <v>7</v>
      </c>
      <c r="E2" s="35" t="s">
        <v>122</v>
      </c>
      <c r="F2" s="36" t="s">
        <v>336</v>
      </c>
      <c r="G2" s="36" t="s">
        <v>398</v>
      </c>
      <c r="H2" s="37">
        <v>46093</v>
      </c>
      <c r="I2" s="37"/>
      <c r="J2" s="7"/>
      <c r="K2" s="36" t="s">
        <v>465</v>
      </c>
    </row>
    <row r="3" spans="1:11" hidden="1" x14ac:dyDescent="0.35">
      <c r="A3" s="32">
        <v>333</v>
      </c>
      <c r="B3" s="32">
        <v>442</v>
      </c>
      <c r="C3" s="34" t="s">
        <v>99</v>
      </c>
      <c r="D3" s="32" t="s">
        <v>7</v>
      </c>
      <c r="E3" s="35" t="s">
        <v>158</v>
      </c>
      <c r="F3" s="36" t="s">
        <v>285</v>
      </c>
      <c r="G3" s="36" t="s">
        <v>322</v>
      </c>
      <c r="H3" s="37">
        <v>46086</v>
      </c>
      <c r="I3" s="37"/>
      <c r="J3" s="37"/>
      <c r="K3" s="36" t="s">
        <v>465</v>
      </c>
    </row>
    <row r="4" spans="1:11" hidden="1" x14ac:dyDescent="0.35">
      <c r="A4" s="32">
        <v>331</v>
      </c>
      <c r="B4" s="32">
        <v>574</v>
      </c>
      <c r="C4" s="34" t="s">
        <v>6</v>
      </c>
      <c r="D4" s="32" t="s">
        <v>7</v>
      </c>
      <c r="E4" s="35" t="s">
        <v>131</v>
      </c>
      <c r="F4" s="36" t="s">
        <v>273</v>
      </c>
      <c r="G4" s="36" t="s">
        <v>274</v>
      </c>
      <c r="H4" s="37">
        <v>46086</v>
      </c>
      <c r="I4" s="37"/>
      <c r="J4" s="36"/>
      <c r="K4" s="36"/>
    </row>
    <row r="5" spans="1:11" hidden="1" x14ac:dyDescent="0.35">
      <c r="A5" s="32">
        <v>331</v>
      </c>
      <c r="B5" s="32">
        <v>575</v>
      </c>
      <c r="C5" s="34" t="s">
        <v>6</v>
      </c>
      <c r="D5" s="32" t="s">
        <v>7</v>
      </c>
      <c r="E5" s="35" t="s">
        <v>131</v>
      </c>
      <c r="F5" s="36" t="s">
        <v>273</v>
      </c>
      <c r="G5" s="36" t="s">
        <v>274</v>
      </c>
      <c r="H5" s="37">
        <v>46086</v>
      </c>
      <c r="I5" s="37"/>
      <c r="J5" s="37"/>
      <c r="K5" s="36"/>
    </row>
    <row r="6" spans="1:11" hidden="1" x14ac:dyDescent="0.35">
      <c r="A6" s="32">
        <v>61</v>
      </c>
      <c r="B6" s="32">
        <v>788</v>
      </c>
      <c r="C6" s="34" t="s">
        <v>6</v>
      </c>
      <c r="D6" s="38" t="s">
        <v>7</v>
      </c>
      <c r="E6" s="35" t="s">
        <v>474</v>
      </c>
      <c r="F6" s="36" t="s">
        <v>275</v>
      </c>
      <c r="G6" s="36" t="s">
        <v>276</v>
      </c>
      <c r="H6" s="37">
        <v>46091</v>
      </c>
      <c r="I6" s="37"/>
      <c r="J6" s="37"/>
      <c r="K6" s="36" t="s">
        <v>260</v>
      </c>
    </row>
    <row r="7" spans="1:11" hidden="1" x14ac:dyDescent="0.35">
      <c r="A7" s="32">
        <v>287</v>
      </c>
      <c r="B7" s="32">
        <v>907</v>
      </c>
      <c r="C7" s="34" t="s">
        <v>99</v>
      </c>
      <c r="D7" s="38" t="s">
        <v>7</v>
      </c>
      <c r="E7" s="35" t="s">
        <v>156</v>
      </c>
      <c r="F7" s="36" t="s">
        <v>277</v>
      </c>
      <c r="G7" s="36" t="s">
        <v>505</v>
      </c>
      <c r="H7" s="37">
        <v>46100</v>
      </c>
      <c r="I7" s="37"/>
      <c r="J7" s="37"/>
      <c r="K7" s="36" t="s">
        <v>263</v>
      </c>
    </row>
    <row r="8" spans="1:11" hidden="1" x14ac:dyDescent="0.35">
      <c r="A8" s="32">
        <v>481</v>
      </c>
      <c r="B8" s="32">
        <v>1010</v>
      </c>
      <c r="C8" s="33" t="s">
        <v>6</v>
      </c>
      <c r="D8" s="32" t="s">
        <v>7</v>
      </c>
      <c r="E8" s="35" t="s">
        <v>206</v>
      </c>
      <c r="F8" s="36" t="s">
        <v>281</v>
      </c>
      <c r="G8" s="36" t="s">
        <v>279</v>
      </c>
      <c r="H8" s="37">
        <v>46091</v>
      </c>
      <c r="I8" s="37"/>
      <c r="J8" s="37"/>
      <c r="K8" s="36"/>
    </row>
    <row r="9" spans="1:11" hidden="1" x14ac:dyDescent="0.35">
      <c r="A9" s="32">
        <v>481</v>
      </c>
      <c r="B9" s="32">
        <v>1011</v>
      </c>
      <c r="C9" s="33" t="s">
        <v>6</v>
      </c>
      <c r="D9" s="32" t="s">
        <v>7</v>
      </c>
      <c r="E9" s="35" t="s">
        <v>206</v>
      </c>
      <c r="F9" s="36" t="s">
        <v>281</v>
      </c>
      <c r="G9" s="36" t="s">
        <v>279</v>
      </c>
      <c r="H9" s="37">
        <v>46091</v>
      </c>
      <c r="I9" s="37"/>
      <c r="J9" s="37"/>
      <c r="K9" s="36"/>
    </row>
    <row r="10" spans="1:11" hidden="1" x14ac:dyDescent="0.35">
      <c r="A10" s="38">
        <v>795</v>
      </c>
      <c r="B10" s="38">
        <v>1027</v>
      </c>
      <c r="C10" s="34" t="s">
        <v>6</v>
      </c>
      <c r="D10" s="38" t="s">
        <v>7</v>
      </c>
      <c r="E10" s="35" t="s">
        <v>256</v>
      </c>
      <c r="F10" s="36" t="s">
        <v>277</v>
      </c>
      <c r="G10" s="36" t="s">
        <v>333</v>
      </c>
      <c r="H10" s="37">
        <v>46091</v>
      </c>
      <c r="I10" s="37" t="str">
        <f>VLOOKUP(A10,[1]Programación!$A:$J,10,0)</f>
        <v>2 Días</v>
      </c>
      <c r="J10" s="37"/>
      <c r="K10" s="36"/>
    </row>
    <row r="11" spans="1:11" hidden="1" x14ac:dyDescent="0.35">
      <c r="A11" s="32">
        <v>795</v>
      </c>
      <c r="B11" s="32">
        <v>1028</v>
      </c>
      <c r="C11" s="34" t="s">
        <v>6</v>
      </c>
      <c r="D11" s="38" t="s">
        <v>7</v>
      </c>
      <c r="E11" s="35" t="s">
        <v>256</v>
      </c>
      <c r="F11" s="36" t="s">
        <v>277</v>
      </c>
      <c r="G11" s="36" t="s">
        <v>333</v>
      </c>
      <c r="H11" s="37">
        <v>46091</v>
      </c>
      <c r="I11" s="37" t="str">
        <f>VLOOKUP(A11,[1]Programación!$A:$J,10,0)</f>
        <v>2 Días</v>
      </c>
      <c r="J11" s="37"/>
      <c r="K11" s="36"/>
    </row>
    <row r="12" spans="1:11" hidden="1" x14ac:dyDescent="0.35">
      <c r="A12" s="38">
        <v>795</v>
      </c>
      <c r="B12" s="38">
        <v>1029</v>
      </c>
      <c r="C12" s="34" t="s">
        <v>6</v>
      </c>
      <c r="D12" s="38" t="s">
        <v>7</v>
      </c>
      <c r="E12" s="35" t="s">
        <v>256</v>
      </c>
      <c r="F12" s="36" t="s">
        <v>277</v>
      </c>
      <c r="G12" s="36" t="s">
        <v>333</v>
      </c>
      <c r="H12" s="37">
        <v>46091</v>
      </c>
      <c r="I12" s="37" t="str">
        <f>VLOOKUP(A12,[1]Programación!$A:$J,10,0)</f>
        <v>2 Días</v>
      </c>
      <c r="J12" s="37"/>
      <c r="K12" s="36"/>
    </row>
    <row r="13" spans="1:11" hidden="1" x14ac:dyDescent="0.35">
      <c r="A13" s="32">
        <v>745</v>
      </c>
      <c r="B13" s="32">
        <v>1477</v>
      </c>
      <c r="C13" s="34" t="s">
        <v>6</v>
      </c>
      <c r="D13" s="38" t="s">
        <v>7</v>
      </c>
      <c r="E13" s="35" t="s">
        <v>251</v>
      </c>
      <c r="F13" s="36" t="s">
        <v>275</v>
      </c>
      <c r="G13" s="36" t="s">
        <v>449</v>
      </c>
      <c r="H13" s="37">
        <v>46091</v>
      </c>
      <c r="I13" s="37"/>
      <c r="J13" s="37"/>
      <c r="K13" s="36"/>
    </row>
    <row r="14" spans="1:11" hidden="1" x14ac:dyDescent="0.35">
      <c r="A14" s="32">
        <v>377</v>
      </c>
      <c r="B14" s="32">
        <v>1508</v>
      </c>
      <c r="C14" s="34" t="s">
        <v>99</v>
      </c>
      <c r="D14" s="38" t="s">
        <v>7</v>
      </c>
      <c r="E14" s="35" t="s">
        <v>475</v>
      </c>
      <c r="F14" s="36" t="s">
        <v>493</v>
      </c>
      <c r="G14" s="36" t="s">
        <v>476</v>
      </c>
      <c r="H14" s="37">
        <v>46086</v>
      </c>
      <c r="I14" s="37"/>
      <c r="J14" s="37"/>
      <c r="K14" s="36"/>
    </row>
    <row r="15" spans="1:11" hidden="1" x14ac:dyDescent="0.35">
      <c r="A15" s="32">
        <v>692</v>
      </c>
      <c r="B15" s="32">
        <v>1515</v>
      </c>
      <c r="C15" s="34" t="s">
        <v>6</v>
      </c>
      <c r="D15" s="38" t="s">
        <v>7</v>
      </c>
      <c r="E15" s="35" t="s">
        <v>177</v>
      </c>
      <c r="F15" s="36" t="s">
        <v>278</v>
      </c>
      <c r="G15" s="36" t="s">
        <v>663</v>
      </c>
      <c r="H15" s="37">
        <v>46091</v>
      </c>
      <c r="I15" s="37"/>
      <c r="J15" s="37"/>
      <c r="K15" s="36" t="s">
        <v>264</v>
      </c>
    </row>
    <row r="16" spans="1:11" hidden="1" x14ac:dyDescent="0.35">
      <c r="A16" s="32">
        <v>692</v>
      </c>
      <c r="B16" s="32">
        <v>1516</v>
      </c>
      <c r="C16" s="34" t="s">
        <v>6</v>
      </c>
      <c r="D16" s="38" t="s">
        <v>7</v>
      </c>
      <c r="E16" s="35" t="s">
        <v>177</v>
      </c>
      <c r="F16" s="36" t="s">
        <v>278</v>
      </c>
      <c r="G16" s="36" t="s">
        <v>663</v>
      </c>
      <c r="H16" s="37">
        <v>46091</v>
      </c>
      <c r="I16" s="37"/>
      <c r="J16" s="37"/>
      <c r="K16" s="36" t="s">
        <v>264</v>
      </c>
    </row>
    <row r="17" spans="1:11" hidden="1" x14ac:dyDescent="0.35">
      <c r="A17" s="32">
        <v>395</v>
      </c>
      <c r="B17" s="32">
        <v>1528</v>
      </c>
      <c r="C17" s="34" t="s">
        <v>6</v>
      </c>
      <c r="D17" s="32" t="s">
        <v>7</v>
      </c>
      <c r="E17" s="35" t="s">
        <v>164</v>
      </c>
      <c r="F17" s="36" t="s">
        <v>494</v>
      </c>
      <c r="G17" s="36" t="s">
        <v>283</v>
      </c>
      <c r="H17" s="37">
        <v>46091</v>
      </c>
      <c r="I17" s="37" t="str">
        <f>VLOOKUP(A17,[1]Programación!$A:$J,10,0)</f>
        <v>2 Días</v>
      </c>
      <c r="J17" s="37"/>
      <c r="K17" s="36"/>
    </row>
    <row r="18" spans="1:11" hidden="1" x14ac:dyDescent="0.35">
      <c r="A18" s="32">
        <v>395</v>
      </c>
      <c r="B18" s="32">
        <v>1529</v>
      </c>
      <c r="C18" s="34" t="s">
        <v>6</v>
      </c>
      <c r="D18" s="32" t="s">
        <v>7</v>
      </c>
      <c r="E18" s="35" t="s">
        <v>164</v>
      </c>
      <c r="F18" s="36" t="s">
        <v>494</v>
      </c>
      <c r="G18" s="36" t="s">
        <v>283</v>
      </c>
      <c r="H18" s="37">
        <v>46091</v>
      </c>
      <c r="I18" s="37" t="str">
        <f>VLOOKUP(A18,[1]Programación!$A:$J,10,0)</f>
        <v>2 Días</v>
      </c>
      <c r="J18" s="37"/>
      <c r="K18" s="36"/>
    </row>
    <row r="19" spans="1:11" hidden="1" x14ac:dyDescent="0.35">
      <c r="A19" s="38">
        <v>141</v>
      </c>
      <c r="B19" s="38">
        <v>1541</v>
      </c>
      <c r="C19" s="34" t="s">
        <v>6</v>
      </c>
      <c r="D19" s="38" t="s">
        <v>7</v>
      </c>
      <c r="E19" s="35" t="s">
        <v>248</v>
      </c>
      <c r="F19" s="36" t="s">
        <v>284</v>
      </c>
      <c r="G19" s="36" t="s">
        <v>501</v>
      </c>
      <c r="H19" s="37">
        <v>46099</v>
      </c>
      <c r="I19" s="37"/>
      <c r="J19" s="37"/>
      <c r="K19" s="36"/>
    </row>
    <row r="20" spans="1:11" hidden="1" x14ac:dyDescent="0.35">
      <c r="A20" s="38">
        <v>438</v>
      </c>
      <c r="B20" s="38">
        <v>1565</v>
      </c>
      <c r="C20" s="34" t="s">
        <v>6</v>
      </c>
      <c r="D20" s="38" t="s">
        <v>7</v>
      </c>
      <c r="E20" s="35" t="s">
        <v>247</v>
      </c>
      <c r="F20" s="36" t="s">
        <v>285</v>
      </c>
      <c r="G20" s="36" t="s">
        <v>286</v>
      </c>
      <c r="H20" s="37">
        <v>46100</v>
      </c>
      <c r="I20" s="37"/>
      <c r="J20" s="37"/>
      <c r="K20" s="36"/>
    </row>
    <row r="21" spans="1:11" hidden="1" x14ac:dyDescent="0.35">
      <c r="A21" s="32">
        <v>944</v>
      </c>
      <c r="B21" s="32">
        <v>2228</v>
      </c>
      <c r="C21" s="34" t="s">
        <v>6</v>
      </c>
      <c r="D21" s="32" t="s">
        <v>7</v>
      </c>
      <c r="E21" s="35" t="s">
        <v>132</v>
      </c>
      <c r="F21" s="36" t="s">
        <v>314</v>
      </c>
      <c r="G21" s="36" t="s">
        <v>419</v>
      </c>
      <c r="H21" s="37">
        <v>46098</v>
      </c>
      <c r="I21" s="37"/>
      <c r="J21" s="37"/>
      <c r="K21" s="36" t="s">
        <v>439</v>
      </c>
    </row>
    <row r="22" spans="1:11" hidden="1" x14ac:dyDescent="0.35">
      <c r="A22" s="32">
        <v>108</v>
      </c>
      <c r="B22" s="32">
        <v>2254</v>
      </c>
      <c r="C22" s="34" t="s">
        <v>99</v>
      </c>
      <c r="D22" s="32" t="s">
        <v>7</v>
      </c>
      <c r="E22" s="35" t="s">
        <v>111</v>
      </c>
      <c r="F22" s="36" t="s">
        <v>287</v>
      </c>
      <c r="G22" s="36" t="s">
        <v>288</v>
      </c>
      <c r="H22" s="37">
        <v>46099</v>
      </c>
      <c r="I22" s="37"/>
      <c r="J22" s="37"/>
      <c r="K22" s="36"/>
    </row>
    <row r="23" spans="1:11" hidden="1" x14ac:dyDescent="0.35">
      <c r="A23" s="32">
        <v>322</v>
      </c>
      <c r="B23" s="32">
        <v>2444</v>
      </c>
      <c r="C23" s="34" t="s">
        <v>6</v>
      </c>
      <c r="D23" s="32" t="s">
        <v>7</v>
      </c>
      <c r="E23" s="35" t="s">
        <v>157</v>
      </c>
      <c r="F23" s="36" t="s">
        <v>289</v>
      </c>
      <c r="G23" s="36" t="s">
        <v>290</v>
      </c>
      <c r="H23" s="37">
        <v>46093</v>
      </c>
      <c r="I23" s="37"/>
      <c r="J23" s="37"/>
      <c r="K23" s="36"/>
    </row>
    <row r="24" spans="1:11" hidden="1" x14ac:dyDescent="0.35">
      <c r="A24" s="32">
        <v>907</v>
      </c>
      <c r="B24" s="32">
        <v>4830</v>
      </c>
      <c r="C24" s="34" t="s">
        <v>6</v>
      </c>
      <c r="D24" s="32" t="s">
        <v>7</v>
      </c>
      <c r="E24" s="35" t="s">
        <v>196</v>
      </c>
      <c r="F24" s="36" t="s">
        <v>328</v>
      </c>
      <c r="G24" s="36" t="s">
        <v>297</v>
      </c>
      <c r="H24" s="37">
        <v>46093</v>
      </c>
      <c r="I24" s="37"/>
      <c r="J24" s="37"/>
      <c r="K24" s="36" t="s">
        <v>272</v>
      </c>
    </row>
    <row r="25" spans="1:11" hidden="1" x14ac:dyDescent="0.35">
      <c r="A25" s="32">
        <v>5</v>
      </c>
      <c r="B25" s="32">
        <v>4866</v>
      </c>
      <c r="C25" s="34" t="s">
        <v>99</v>
      </c>
      <c r="D25" s="32" t="s">
        <v>7</v>
      </c>
      <c r="E25" s="35" t="s">
        <v>499</v>
      </c>
      <c r="F25" s="36" t="s">
        <v>328</v>
      </c>
      <c r="G25" s="36" t="s">
        <v>466</v>
      </c>
      <c r="H25" s="37">
        <v>46099</v>
      </c>
      <c r="I25" s="37"/>
      <c r="J25" s="37"/>
      <c r="K25" s="36" t="s">
        <v>467</v>
      </c>
    </row>
    <row r="26" spans="1:11" hidden="1" x14ac:dyDescent="0.35">
      <c r="A26" s="32">
        <v>777</v>
      </c>
      <c r="B26" s="32">
        <v>4868</v>
      </c>
      <c r="C26" s="33" t="s">
        <v>99</v>
      </c>
      <c r="D26" s="32" t="s">
        <v>7</v>
      </c>
      <c r="E26" s="35" t="s">
        <v>83</v>
      </c>
      <c r="F26" s="36" t="s">
        <v>278</v>
      </c>
      <c r="G26" s="36" t="s">
        <v>295</v>
      </c>
      <c r="H26" s="37">
        <v>46092</v>
      </c>
      <c r="I26" s="37"/>
      <c r="J26" s="37"/>
      <c r="K26" s="36" t="s">
        <v>440</v>
      </c>
    </row>
    <row r="27" spans="1:11" hidden="1" x14ac:dyDescent="0.35">
      <c r="A27" s="32">
        <v>1</v>
      </c>
      <c r="B27" s="32">
        <v>5000</v>
      </c>
      <c r="C27" s="33" t="s">
        <v>6</v>
      </c>
      <c r="D27" s="32" t="s">
        <v>7</v>
      </c>
      <c r="E27" s="35" t="s">
        <v>8</v>
      </c>
      <c r="F27" s="36" t="s">
        <v>493</v>
      </c>
      <c r="G27" s="36" t="s">
        <v>442</v>
      </c>
      <c r="H27" s="37">
        <v>46086</v>
      </c>
      <c r="I27" s="37"/>
      <c r="J27" s="37"/>
      <c r="K27" s="36"/>
    </row>
    <row r="28" spans="1:11" hidden="1" x14ac:dyDescent="0.35">
      <c r="A28" s="32">
        <v>6</v>
      </c>
      <c r="B28" s="32">
        <v>5001</v>
      </c>
      <c r="C28" s="33" t="s">
        <v>6</v>
      </c>
      <c r="D28" s="32" t="s">
        <v>7</v>
      </c>
      <c r="E28" s="35" t="s">
        <v>9</v>
      </c>
      <c r="F28" s="36" t="s">
        <v>493</v>
      </c>
      <c r="G28" s="36" t="s">
        <v>291</v>
      </c>
      <c r="H28" s="37">
        <v>46086</v>
      </c>
      <c r="I28" s="37" t="str">
        <f>VLOOKUP(A28,[1]Programación!$A:$J,10,0)</f>
        <v>2 Días</v>
      </c>
      <c r="J28" s="37"/>
      <c r="K28" s="36"/>
    </row>
    <row r="29" spans="1:11" hidden="1" x14ac:dyDescent="0.35">
      <c r="A29" s="32">
        <v>59</v>
      </c>
      <c r="B29" s="32">
        <v>5002</v>
      </c>
      <c r="C29" s="33" t="s">
        <v>6</v>
      </c>
      <c r="D29" s="32" t="s">
        <v>7</v>
      </c>
      <c r="E29" s="35" t="s">
        <v>39</v>
      </c>
      <c r="F29" s="36" t="s">
        <v>292</v>
      </c>
      <c r="G29" s="36" t="s">
        <v>293</v>
      </c>
      <c r="H29" s="37">
        <v>46100</v>
      </c>
      <c r="I29" s="37"/>
      <c r="J29" s="37"/>
      <c r="K29" s="36"/>
    </row>
    <row r="30" spans="1:11" hidden="1" x14ac:dyDescent="0.35">
      <c r="A30" s="32">
        <v>361</v>
      </c>
      <c r="B30" s="32">
        <v>5005</v>
      </c>
      <c r="C30" s="33" t="s">
        <v>6</v>
      </c>
      <c r="D30" s="32" t="s">
        <v>7</v>
      </c>
      <c r="E30" s="35" t="s">
        <v>198</v>
      </c>
      <c r="F30" s="36" t="s">
        <v>294</v>
      </c>
      <c r="G30" s="49" t="s">
        <v>530</v>
      </c>
      <c r="H30" s="37">
        <v>46092</v>
      </c>
      <c r="I30" s="37"/>
      <c r="J30" s="37"/>
      <c r="K30" s="36"/>
    </row>
    <row r="31" spans="1:11" hidden="1" x14ac:dyDescent="0.35">
      <c r="A31" s="32">
        <v>777</v>
      </c>
      <c r="B31" s="32">
        <v>5009</v>
      </c>
      <c r="C31" s="33" t="s">
        <v>6</v>
      </c>
      <c r="D31" s="32" t="s">
        <v>7</v>
      </c>
      <c r="E31" s="35" t="s">
        <v>83</v>
      </c>
      <c r="F31" s="36" t="s">
        <v>278</v>
      </c>
      <c r="G31" s="36" t="s">
        <v>295</v>
      </c>
      <c r="H31" s="37">
        <v>46092</v>
      </c>
      <c r="I31" s="37"/>
      <c r="J31" s="37"/>
      <c r="K31" s="36"/>
    </row>
    <row r="32" spans="1:11" hidden="1" x14ac:dyDescent="0.35">
      <c r="A32" s="32">
        <v>779</v>
      </c>
      <c r="B32" s="32">
        <v>5013</v>
      </c>
      <c r="C32" s="33" t="s">
        <v>6</v>
      </c>
      <c r="D32" s="32" t="s">
        <v>7</v>
      </c>
      <c r="E32" s="35" t="s">
        <v>84</v>
      </c>
      <c r="F32" s="36" t="s">
        <v>296</v>
      </c>
      <c r="G32" s="36" t="s">
        <v>434</v>
      </c>
      <c r="H32" s="37">
        <v>46100</v>
      </c>
      <c r="I32" s="37"/>
      <c r="J32" s="37"/>
      <c r="K32" s="36"/>
    </row>
    <row r="33" spans="1:11" hidden="1" x14ac:dyDescent="0.35">
      <c r="A33" s="32">
        <v>907</v>
      </c>
      <c r="B33" s="32">
        <v>5019</v>
      </c>
      <c r="C33" s="33" t="s">
        <v>6</v>
      </c>
      <c r="D33" s="32" t="s">
        <v>7</v>
      </c>
      <c r="E33" s="35" t="s">
        <v>196</v>
      </c>
      <c r="F33" s="36" t="s">
        <v>328</v>
      </c>
      <c r="G33" s="36" t="s">
        <v>297</v>
      </c>
      <c r="H33" s="37">
        <v>46093</v>
      </c>
      <c r="I33" s="37"/>
      <c r="J33" s="37"/>
      <c r="K33" s="36"/>
    </row>
    <row r="34" spans="1:11" hidden="1" x14ac:dyDescent="0.35">
      <c r="A34" s="32">
        <v>882</v>
      </c>
      <c r="B34" s="32">
        <v>5020</v>
      </c>
      <c r="C34" s="33" t="s">
        <v>6</v>
      </c>
      <c r="D34" s="32" t="s">
        <v>7</v>
      </c>
      <c r="E34" s="35" t="s">
        <v>93</v>
      </c>
      <c r="F34" s="36" t="s">
        <v>298</v>
      </c>
      <c r="G34" s="36" t="s">
        <v>664</v>
      </c>
      <c r="H34" s="37">
        <v>46093</v>
      </c>
      <c r="I34" s="37" t="str">
        <f>VLOOKUP(A34,[1]Programación!$A:$J,10,0)</f>
        <v>2 Días</v>
      </c>
      <c r="J34" s="37"/>
      <c r="K34" s="36"/>
    </row>
    <row r="35" spans="1:11" hidden="1" x14ac:dyDescent="0.35">
      <c r="A35" s="32">
        <v>277</v>
      </c>
      <c r="B35" s="32">
        <v>5021</v>
      </c>
      <c r="C35" s="33" t="s">
        <v>6</v>
      </c>
      <c r="D35" s="32" t="s">
        <v>7</v>
      </c>
      <c r="E35" s="35" t="s">
        <v>52</v>
      </c>
      <c r="F35" s="36" t="s">
        <v>285</v>
      </c>
      <c r="G35" s="36" t="s">
        <v>299</v>
      </c>
      <c r="H35" s="37">
        <v>46092</v>
      </c>
      <c r="I35" s="37"/>
      <c r="J35" s="37"/>
      <c r="K35" s="36"/>
    </row>
    <row r="36" spans="1:11" hidden="1" x14ac:dyDescent="0.35">
      <c r="A36" s="32">
        <v>825</v>
      </c>
      <c r="B36" s="32">
        <v>5023</v>
      </c>
      <c r="C36" s="33" t="s">
        <v>6</v>
      </c>
      <c r="D36" s="32" t="s">
        <v>7</v>
      </c>
      <c r="E36" s="35" t="s">
        <v>89</v>
      </c>
      <c r="F36" s="36" t="s">
        <v>275</v>
      </c>
      <c r="G36" s="36" t="s">
        <v>300</v>
      </c>
      <c r="H36" s="37">
        <v>46086</v>
      </c>
      <c r="I36" s="37" t="str">
        <f>VLOOKUP(A36,[1]Programación!$A:$J,10,0)</f>
        <v>2 Días</v>
      </c>
      <c r="J36" s="37"/>
      <c r="K36" s="36"/>
    </row>
    <row r="37" spans="1:11" hidden="1" x14ac:dyDescent="0.35">
      <c r="A37" s="32">
        <v>32</v>
      </c>
      <c r="B37" s="32">
        <v>5027</v>
      </c>
      <c r="C37" s="33" t="s">
        <v>6</v>
      </c>
      <c r="D37" s="32" t="s">
        <v>7</v>
      </c>
      <c r="E37" s="35" t="s">
        <v>34</v>
      </c>
      <c r="F37" s="36" t="s">
        <v>301</v>
      </c>
      <c r="G37" s="36" t="s">
        <v>302</v>
      </c>
      <c r="H37" s="37">
        <v>46093</v>
      </c>
      <c r="I37" s="37"/>
      <c r="J37" s="37"/>
      <c r="K37" s="36"/>
    </row>
    <row r="38" spans="1:11" hidden="1" x14ac:dyDescent="0.35">
      <c r="A38" s="32">
        <v>167</v>
      </c>
      <c r="B38" s="32">
        <v>5030</v>
      </c>
      <c r="C38" s="33" t="s">
        <v>6</v>
      </c>
      <c r="D38" s="32" t="s">
        <v>7</v>
      </c>
      <c r="E38" s="35" t="s">
        <v>44</v>
      </c>
      <c r="F38" s="36" t="s">
        <v>301</v>
      </c>
      <c r="G38" s="36" t="s">
        <v>303</v>
      </c>
      <c r="H38" s="37">
        <v>46092</v>
      </c>
      <c r="I38" s="37"/>
      <c r="J38" s="37"/>
      <c r="K38" s="36"/>
    </row>
    <row r="39" spans="1:11" hidden="1" x14ac:dyDescent="0.35">
      <c r="A39" s="32">
        <v>275</v>
      </c>
      <c r="B39" s="32">
        <v>5034</v>
      </c>
      <c r="C39" s="33" t="s">
        <v>6</v>
      </c>
      <c r="D39" s="32" t="s">
        <v>7</v>
      </c>
      <c r="E39" s="35" t="s">
        <v>154</v>
      </c>
      <c r="F39" s="36" t="s">
        <v>285</v>
      </c>
      <c r="G39" s="36" t="s">
        <v>665</v>
      </c>
      <c r="H39" s="37">
        <v>46086</v>
      </c>
      <c r="I39" s="37"/>
      <c r="J39" s="37"/>
      <c r="K39" s="36"/>
    </row>
    <row r="40" spans="1:11" hidden="1" x14ac:dyDescent="0.35">
      <c r="A40" s="32">
        <v>81</v>
      </c>
      <c r="B40" s="32">
        <v>5036</v>
      </c>
      <c r="C40" s="33" t="s">
        <v>6</v>
      </c>
      <c r="D40" s="32" t="s">
        <v>7</v>
      </c>
      <c r="E40" s="35" t="s">
        <v>42</v>
      </c>
      <c r="F40" s="36" t="s">
        <v>281</v>
      </c>
      <c r="G40" s="36" t="s">
        <v>306</v>
      </c>
      <c r="H40" s="37">
        <v>46091</v>
      </c>
      <c r="I40" s="37"/>
      <c r="J40" s="37"/>
      <c r="K40" s="36"/>
    </row>
    <row r="41" spans="1:11" hidden="1" x14ac:dyDescent="0.35">
      <c r="A41" s="32">
        <v>824</v>
      </c>
      <c r="B41" s="32">
        <v>5040</v>
      </c>
      <c r="C41" s="33" t="s">
        <v>6</v>
      </c>
      <c r="D41" s="32" t="s">
        <v>7</v>
      </c>
      <c r="E41" s="35" t="s">
        <v>189</v>
      </c>
      <c r="F41" s="36" t="s">
        <v>307</v>
      </c>
      <c r="G41" s="36" t="s">
        <v>507</v>
      </c>
      <c r="H41" s="37">
        <v>46093</v>
      </c>
      <c r="I41" s="37" t="str">
        <f>VLOOKUP(A41,[1]Programación!$A:$J,10,0)</f>
        <v>2 Días</v>
      </c>
      <c r="J41" s="37"/>
      <c r="K41" s="36"/>
    </row>
    <row r="42" spans="1:11" hidden="1" x14ac:dyDescent="0.35">
      <c r="A42" s="32">
        <v>154</v>
      </c>
      <c r="B42" s="32">
        <v>5041</v>
      </c>
      <c r="C42" s="33" t="s">
        <v>6</v>
      </c>
      <c r="D42" s="32" t="s">
        <v>7</v>
      </c>
      <c r="E42" s="35" t="s">
        <v>10</v>
      </c>
      <c r="F42" s="36" t="s">
        <v>287</v>
      </c>
      <c r="G42" s="36" t="s">
        <v>446</v>
      </c>
      <c r="H42" s="37">
        <v>46091</v>
      </c>
      <c r="I42" s="37"/>
      <c r="J42" s="37"/>
      <c r="K42" s="36"/>
    </row>
    <row r="43" spans="1:11" hidden="1" x14ac:dyDescent="0.35">
      <c r="A43" s="32">
        <v>867</v>
      </c>
      <c r="B43" s="32">
        <v>5043</v>
      </c>
      <c r="C43" s="33" t="s">
        <v>6</v>
      </c>
      <c r="D43" s="32" t="s">
        <v>7</v>
      </c>
      <c r="E43" s="35" t="s">
        <v>192</v>
      </c>
      <c r="F43" s="36" t="s">
        <v>308</v>
      </c>
      <c r="G43" s="36" t="s">
        <v>359</v>
      </c>
      <c r="H43" s="37">
        <v>46099</v>
      </c>
      <c r="I43" s="37" t="str">
        <f>VLOOKUP(A43,[1]Programación!$A:$J,10,0)</f>
        <v>2 Días</v>
      </c>
      <c r="J43" s="37"/>
      <c r="K43" s="36"/>
    </row>
    <row r="44" spans="1:11" hidden="1" x14ac:dyDescent="0.35">
      <c r="A44" s="32">
        <v>879</v>
      </c>
      <c r="B44" s="32">
        <v>5045</v>
      </c>
      <c r="C44" s="33" t="s">
        <v>6</v>
      </c>
      <c r="D44" s="32" t="s">
        <v>7</v>
      </c>
      <c r="E44" s="35" t="s">
        <v>194</v>
      </c>
      <c r="F44" s="36" t="s">
        <v>309</v>
      </c>
      <c r="G44" s="36" t="s">
        <v>310</v>
      </c>
      <c r="H44" s="37">
        <v>46093</v>
      </c>
      <c r="I44" s="37"/>
      <c r="J44" s="37"/>
      <c r="K44" s="36"/>
    </row>
    <row r="45" spans="1:11" hidden="1" x14ac:dyDescent="0.35">
      <c r="A45" s="32">
        <v>723</v>
      </c>
      <c r="B45" s="32">
        <v>5046</v>
      </c>
      <c r="C45" s="33" t="s">
        <v>6</v>
      </c>
      <c r="D45" s="32" t="s">
        <v>7</v>
      </c>
      <c r="E45" s="35" t="s">
        <v>100</v>
      </c>
      <c r="F45" s="36" t="s">
        <v>292</v>
      </c>
      <c r="G45" s="36" t="s">
        <v>311</v>
      </c>
      <c r="H45" s="37">
        <v>46098</v>
      </c>
      <c r="I45" s="37"/>
      <c r="J45" s="37"/>
      <c r="K45" s="36"/>
    </row>
    <row r="46" spans="1:11" hidden="1" x14ac:dyDescent="0.35">
      <c r="A46" s="32">
        <v>623</v>
      </c>
      <c r="B46" s="32">
        <v>5047</v>
      </c>
      <c r="C46" s="33" t="s">
        <v>6</v>
      </c>
      <c r="D46" s="32" t="s">
        <v>7</v>
      </c>
      <c r="E46" s="35" t="s">
        <v>66</v>
      </c>
      <c r="F46" s="36" t="s">
        <v>292</v>
      </c>
      <c r="G46" s="36" t="s">
        <v>312</v>
      </c>
      <c r="H46" s="37">
        <v>46086</v>
      </c>
      <c r="I46" s="37"/>
      <c r="J46" s="37"/>
      <c r="K46" s="36"/>
    </row>
    <row r="47" spans="1:11" hidden="1" x14ac:dyDescent="0.35">
      <c r="A47" s="32">
        <v>261</v>
      </c>
      <c r="B47" s="32">
        <v>5048</v>
      </c>
      <c r="C47" s="33" t="s">
        <v>6</v>
      </c>
      <c r="D47" s="32" t="s">
        <v>7</v>
      </c>
      <c r="E47" s="35" t="s">
        <v>50</v>
      </c>
      <c r="F47" s="36" t="s">
        <v>309</v>
      </c>
      <c r="G47" s="36" t="s">
        <v>313</v>
      </c>
      <c r="H47" s="37">
        <v>46093</v>
      </c>
      <c r="I47" s="37"/>
      <c r="J47" s="37"/>
      <c r="K47" s="36"/>
    </row>
    <row r="48" spans="1:11" hidden="1" x14ac:dyDescent="0.35">
      <c r="A48" s="32">
        <v>682</v>
      </c>
      <c r="B48" s="32">
        <v>5049</v>
      </c>
      <c r="C48" s="33" t="s">
        <v>6</v>
      </c>
      <c r="D48" s="32" t="s">
        <v>7</v>
      </c>
      <c r="E48" s="35" t="s">
        <v>74</v>
      </c>
      <c r="F48" s="36" t="s">
        <v>314</v>
      </c>
      <c r="G48" s="36" t="s">
        <v>477</v>
      </c>
      <c r="H48" s="37">
        <v>46099</v>
      </c>
      <c r="I48" s="37"/>
      <c r="J48" s="37"/>
      <c r="K48" s="36"/>
    </row>
    <row r="49" spans="1:11" hidden="1" x14ac:dyDescent="0.35">
      <c r="A49" s="32">
        <v>852</v>
      </c>
      <c r="B49" s="32">
        <v>5050</v>
      </c>
      <c r="C49" s="33" t="s">
        <v>6</v>
      </c>
      <c r="D49" s="32" t="s">
        <v>7</v>
      </c>
      <c r="E49" s="35" t="s">
        <v>191</v>
      </c>
      <c r="F49" s="36" t="s">
        <v>292</v>
      </c>
      <c r="G49" s="36" t="s">
        <v>315</v>
      </c>
      <c r="H49" s="37">
        <v>46091</v>
      </c>
      <c r="I49" s="37"/>
      <c r="J49" s="37"/>
      <c r="K49" s="36"/>
    </row>
    <row r="50" spans="1:11" hidden="1" x14ac:dyDescent="0.35">
      <c r="A50" s="32">
        <v>769</v>
      </c>
      <c r="B50" s="32">
        <v>5051</v>
      </c>
      <c r="C50" s="33" t="s">
        <v>6</v>
      </c>
      <c r="D50" s="32" t="s">
        <v>7</v>
      </c>
      <c r="E50" s="35" t="s">
        <v>101</v>
      </c>
      <c r="F50" s="36" t="s">
        <v>281</v>
      </c>
      <c r="G50" s="36" t="s">
        <v>478</v>
      </c>
      <c r="H50" s="37">
        <v>46086</v>
      </c>
      <c r="I50" s="37"/>
      <c r="J50" s="37"/>
      <c r="K50" s="36"/>
    </row>
    <row r="51" spans="1:11" hidden="1" x14ac:dyDescent="0.35">
      <c r="A51" s="32">
        <v>916</v>
      </c>
      <c r="B51" s="32">
        <v>5052</v>
      </c>
      <c r="C51" s="33" t="s">
        <v>6</v>
      </c>
      <c r="D51" s="32" t="s">
        <v>7</v>
      </c>
      <c r="E51" s="35" t="s">
        <v>197</v>
      </c>
      <c r="F51" s="36" t="s">
        <v>296</v>
      </c>
      <c r="G51" s="36" t="s">
        <v>316</v>
      </c>
      <c r="H51" s="37">
        <v>46093</v>
      </c>
      <c r="I51" s="37"/>
      <c r="J51" s="37"/>
      <c r="K51" s="36"/>
    </row>
    <row r="52" spans="1:11" hidden="1" x14ac:dyDescent="0.35">
      <c r="A52" s="32">
        <v>517</v>
      </c>
      <c r="B52" s="32">
        <v>5053</v>
      </c>
      <c r="C52" s="33" t="s">
        <v>6</v>
      </c>
      <c r="D52" s="32" t="s">
        <v>7</v>
      </c>
      <c r="E52" s="35" t="s">
        <v>170</v>
      </c>
      <c r="F52" s="36" t="s">
        <v>296</v>
      </c>
      <c r="G52" s="36" t="s">
        <v>508</v>
      </c>
      <c r="H52" s="37">
        <v>46092</v>
      </c>
      <c r="I52" s="37"/>
      <c r="J52" s="37"/>
      <c r="K52" s="36"/>
    </row>
    <row r="53" spans="1:11" hidden="1" x14ac:dyDescent="0.35">
      <c r="A53" s="32">
        <v>781</v>
      </c>
      <c r="B53" s="32">
        <v>5057</v>
      </c>
      <c r="C53" s="33" t="s">
        <v>6</v>
      </c>
      <c r="D53" s="32" t="s">
        <v>7</v>
      </c>
      <c r="E53" s="35" t="s">
        <v>184</v>
      </c>
      <c r="F53" s="36" t="s">
        <v>296</v>
      </c>
      <c r="G53" s="36" t="s">
        <v>509</v>
      </c>
      <c r="H53" s="37">
        <v>46100</v>
      </c>
      <c r="I53" s="37"/>
      <c r="J53" s="37"/>
      <c r="K53" s="36"/>
    </row>
    <row r="54" spans="1:11" hidden="1" x14ac:dyDescent="0.35">
      <c r="A54" s="32">
        <v>7</v>
      </c>
      <c r="B54" s="32">
        <v>5059</v>
      </c>
      <c r="C54" s="33" t="s">
        <v>6</v>
      </c>
      <c r="D54" s="32" t="s">
        <v>7</v>
      </c>
      <c r="E54" s="35" t="s">
        <v>102</v>
      </c>
      <c r="F54" s="36" t="s">
        <v>273</v>
      </c>
      <c r="G54" s="36" t="s">
        <v>318</v>
      </c>
      <c r="H54" s="37">
        <v>46091</v>
      </c>
      <c r="I54" s="37"/>
      <c r="J54" s="37"/>
      <c r="K54" s="36"/>
    </row>
    <row r="55" spans="1:11" hidden="1" x14ac:dyDescent="0.35">
      <c r="A55" s="32">
        <v>392</v>
      </c>
      <c r="B55" s="32">
        <v>5064</v>
      </c>
      <c r="C55" s="33" t="s">
        <v>6</v>
      </c>
      <c r="D55" s="32" t="s">
        <v>7</v>
      </c>
      <c r="E55" s="35" t="s">
        <v>11</v>
      </c>
      <c r="F55" s="36" t="s">
        <v>304</v>
      </c>
      <c r="G55" s="36" t="s">
        <v>319</v>
      </c>
      <c r="H55" s="37">
        <v>46100</v>
      </c>
      <c r="I55" s="37"/>
      <c r="J55" s="37"/>
      <c r="K55" s="36"/>
    </row>
    <row r="56" spans="1:11" hidden="1" x14ac:dyDescent="0.35">
      <c r="A56" s="32">
        <v>24</v>
      </c>
      <c r="B56" s="32">
        <v>5066</v>
      </c>
      <c r="C56" s="33" t="s">
        <v>6</v>
      </c>
      <c r="D56" s="32" t="s">
        <v>7</v>
      </c>
      <c r="E56" s="35" t="s">
        <v>103</v>
      </c>
      <c r="F56" s="36" t="s">
        <v>304</v>
      </c>
      <c r="G56" s="36" t="s">
        <v>510</v>
      </c>
      <c r="H56" s="37">
        <v>46093</v>
      </c>
      <c r="I56" s="37"/>
      <c r="J56" s="37"/>
      <c r="K56" s="36"/>
    </row>
    <row r="57" spans="1:11" hidden="1" x14ac:dyDescent="0.35">
      <c r="A57" s="32">
        <v>211</v>
      </c>
      <c r="B57" s="32">
        <v>5067</v>
      </c>
      <c r="C57" s="33" t="s">
        <v>6</v>
      </c>
      <c r="D57" s="32" t="s">
        <v>7</v>
      </c>
      <c r="E57" s="35" t="s">
        <v>104</v>
      </c>
      <c r="F57" s="36" t="s">
        <v>287</v>
      </c>
      <c r="G57" s="36" t="s">
        <v>320</v>
      </c>
      <c r="H57" s="37">
        <v>46099</v>
      </c>
      <c r="I57" s="37"/>
      <c r="J57" s="37"/>
      <c r="K57" s="36"/>
    </row>
    <row r="58" spans="1:11" hidden="1" x14ac:dyDescent="0.35">
      <c r="A58" s="32">
        <v>652</v>
      </c>
      <c r="B58" s="32">
        <v>5070</v>
      </c>
      <c r="C58" s="33" t="s">
        <v>6</v>
      </c>
      <c r="D58" s="32" t="s">
        <v>7</v>
      </c>
      <c r="E58" s="35" t="s">
        <v>69</v>
      </c>
      <c r="F58" s="36" t="s">
        <v>301</v>
      </c>
      <c r="G58" s="36" t="s">
        <v>321</v>
      </c>
      <c r="H58" s="37">
        <v>46093</v>
      </c>
      <c r="I58" s="37"/>
      <c r="J58" s="37"/>
      <c r="K58" s="36"/>
    </row>
    <row r="59" spans="1:11" hidden="1" x14ac:dyDescent="0.35">
      <c r="A59" s="32">
        <v>333</v>
      </c>
      <c r="B59" s="32">
        <v>5076</v>
      </c>
      <c r="C59" s="33" t="s">
        <v>6</v>
      </c>
      <c r="D59" s="32" t="s">
        <v>7</v>
      </c>
      <c r="E59" s="35" t="s">
        <v>158</v>
      </c>
      <c r="F59" s="36" t="s">
        <v>285</v>
      </c>
      <c r="G59" s="36" t="s">
        <v>322</v>
      </c>
      <c r="H59" s="37">
        <v>46086</v>
      </c>
      <c r="I59" s="37"/>
      <c r="J59" s="37"/>
      <c r="K59" s="36"/>
    </row>
    <row r="60" spans="1:11" hidden="1" x14ac:dyDescent="0.35">
      <c r="A60" s="32">
        <v>419</v>
      </c>
      <c r="B60" s="32">
        <v>5077</v>
      </c>
      <c r="C60" s="33" t="s">
        <v>6</v>
      </c>
      <c r="D60" s="32" t="s">
        <v>7</v>
      </c>
      <c r="E60" s="35" t="s">
        <v>105</v>
      </c>
      <c r="F60" s="36" t="s">
        <v>323</v>
      </c>
      <c r="G60" s="36" t="s">
        <v>447</v>
      </c>
      <c r="H60" s="37">
        <v>46091</v>
      </c>
      <c r="I60" s="37"/>
      <c r="J60" s="37"/>
      <c r="K60" s="36"/>
    </row>
    <row r="61" spans="1:11" hidden="1" x14ac:dyDescent="0.35">
      <c r="A61" s="32">
        <v>19</v>
      </c>
      <c r="B61" s="32">
        <v>5078</v>
      </c>
      <c r="C61" s="33" t="s">
        <v>6</v>
      </c>
      <c r="D61" s="32" t="s">
        <v>7</v>
      </c>
      <c r="E61" s="35" t="s">
        <v>12</v>
      </c>
      <c r="F61" s="36" t="s">
        <v>285</v>
      </c>
      <c r="G61" s="36" t="s">
        <v>511</v>
      </c>
      <c r="H61" s="37">
        <v>46092</v>
      </c>
      <c r="I61" s="37"/>
      <c r="J61" s="37"/>
      <c r="K61" s="36"/>
    </row>
    <row r="62" spans="1:11" hidden="1" x14ac:dyDescent="0.35">
      <c r="A62" s="32">
        <v>8</v>
      </c>
      <c r="B62" s="32">
        <v>5079</v>
      </c>
      <c r="C62" s="33" t="s">
        <v>6</v>
      </c>
      <c r="D62" s="32" t="s">
        <v>7</v>
      </c>
      <c r="E62" s="35" t="s">
        <v>136</v>
      </c>
      <c r="F62" s="36" t="s">
        <v>493</v>
      </c>
      <c r="G62" s="36" t="s">
        <v>324</v>
      </c>
      <c r="H62" s="37">
        <v>46099</v>
      </c>
      <c r="I62" s="37"/>
      <c r="J62" s="37"/>
      <c r="K62" s="36"/>
    </row>
    <row r="63" spans="1:11" hidden="1" x14ac:dyDescent="0.35">
      <c r="A63" s="32">
        <v>115</v>
      </c>
      <c r="B63" s="32">
        <v>5080</v>
      </c>
      <c r="C63" s="33" t="s">
        <v>6</v>
      </c>
      <c r="D63" s="32" t="s">
        <v>7</v>
      </c>
      <c r="E63" s="35" t="s">
        <v>43</v>
      </c>
      <c r="F63" s="36" t="s">
        <v>292</v>
      </c>
      <c r="G63" s="36" t="s">
        <v>428</v>
      </c>
      <c r="H63" s="37">
        <v>46092</v>
      </c>
      <c r="I63" s="37"/>
      <c r="J63" s="37"/>
      <c r="K63" s="36"/>
    </row>
    <row r="64" spans="1:11" hidden="1" x14ac:dyDescent="0.35">
      <c r="A64" s="32">
        <v>486</v>
      </c>
      <c r="B64" s="32">
        <v>5081</v>
      </c>
      <c r="C64" s="33" t="s">
        <v>6</v>
      </c>
      <c r="D64" s="32" t="s">
        <v>7</v>
      </c>
      <c r="E64" s="35" t="s">
        <v>106</v>
      </c>
      <c r="F64" s="36" t="s">
        <v>281</v>
      </c>
      <c r="G64" s="36" t="s">
        <v>512</v>
      </c>
      <c r="H64" s="37">
        <v>46099</v>
      </c>
      <c r="I64" s="37"/>
      <c r="J64" s="37"/>
      <c r="K64" t="s">
        <v>534</v>
      </c>
    </row>
    <row r="65" spans="1:11" hidden="1" x14ac:dyDescent="0.35">
      <c r="A65" s="32">
        <v>523</v>
      </c>
      <c r="B65" s="32">
        <v>5082</v>
      </c>
      <c r="C65" s="33" t="s">
        <v>6</v>
      </c>
      <c r="D65" s="32" t="s">
        <v>7</v>
      </c>
      <c r="E65" s="35" t="s">
        <v>171</v>
      </c>
      <c r="F65" s="36" t="s">
        <v>296</v>
      </c>
      <c r="G65" s="36" t="s">
        <v>666</v>
      </c>
      <c r="H65" s="37">
        <v>46091</v>
      </c>
      <c r="I65" s="37"/>
      <c r="J65" s="37"/>
      <c r="K65" s="36"/>
    </row>
    <row r="66" spans="1:11" hidden="1" x14ac:dyDescent="0.35">
      <c r="A66" s="32">
        <v>265</v>
      </c>
      <c r="B66" s="32">
        <v>5083</v>
      </c>
      <c r="C66" s="34" t="s">
        <v>6</v>
      </c>
      <c r="D66" s="32" t="s">
        <v>7</v>
      </c>
      <c r="E66" s="35" t="s">
        <v>107</v>
      </c>
      <c r="F66" s="36" t="s">
        <v>275</v>
      </c>
      <c r="G66" s="36" t="s">
        <v>667</v>
      </c>
      <c r="H66" s="37">
        <v>46093</v>
      </c>
      <c r="I66" s="37"/>
      <c r="J66" s="37"/>
      <c r="K66" s="36"/>
    </row>
    <row r="67" spans="1:11" hidden="1" x14ac:dyDescent="0.35">
      <c r="A67" s="32">
        <v>197</v>
      </c>
      <c r="B67" s="32">
        <v>5084</v>
      </c>
      <c r="C67" s="33" t="s">
        <v>6</v>
      </c>
      <c r="D67" s="32" t="s">
        <v>7</v>
      </c>
      <c r="E67" s="35" t="s">
        <v>146</v>
      </c>
      <c r="F67" s="36" t="s">
        <v>296</v>
      </c>
      <c r="G67" s="36" t="s">
        <v>325</v>
      </c>
      <c r="H67" s="37">
        <v>46093</v>
      </c>
      <c r="I67" s="37"/>
      <c r="J67" s="37"/>
      <c r="K67" s="36"/>
    </row>
    <row r="68" spans="1:11" hidden="1" x14ac:dyDescent="0.35">
      <c r="A68" s="32">
        <v>634</v>
      </c>
      <c r="B68" s="32">
        <v>5087</v>
      </c>
      <c r="C68" s="33" t="s">
        <v>6</v>
      </c>
      <c r="D68" s="32" t="s">
        <v>7</v>
      </c>
      <c r="E68" s="35" t="s">
        <v>68</v>
      </c>
      <c r="F68" s="36" t="s">
        <v>323</v>
      </c>
      <c r="G68" s="36" t="s">
        <v>326</v>
      </c>
      <c r="H68" s="37">
        <v>46086</v>
      </c>
      <c r="I68" s="37"/>
      <c r="J68" s="37"/>
      <c r="K68" s="36"/>
    </row>
    <row r="69" spans="1:11" hidden="1" x14ac:dyDescent="0.35">
      <c r="A69" s="32">
        <v>659</v>
      </c>
      <c r="B69" s="32">
        <v>5102</v>
      </c>
      <c r="C69" s="33" t="s">
        <v>6</v>
      </c>
      <c r="D69" s="32" t="s">
        <v>7</v>
      </c>
      <c r="E69" s="35" t="s">
        <v>108</v>
      </c>
      <c r="F69" s="36" t="s">
        <v>327</v>
      </c>
      <c r="G69" s="36" t="s">
        <v>514</v>
      </c>
      <c r="H69" s="37">
        <v>46100</v>
      </c>
      <c r="I69" s="37"/>
      <c r="J69" s="37"/>
      <c r="K69" s="36"/>
    </row>
    <row r="70" spans="1:11" hidden="1" x14ac:dyDescent="0.35">
      <c r="A70" s="32">
        <v>656</v>
      </c>
      <c r="B70" s="32">
        <v>5103</v>
      </c>
      <c r="C70" s="33" t="s">
        <v>6</v>
      </c>
      <c r="D70" s="32" t="s">
        <v>7</v>
      </c>
      <c r="E70" s="35" t="s">
        <v>70</v>
      </c>
      <c r="F70" s="36" t="s">
        <v>296</v>
      </c>
      <c r="G70" s="36" t="s">
        <v>479</v>
      </c>
      <c r="H70" s="37">
        <v>46099</v>
      </c>
      <c r="I70" s="37"/>
      <c r="J70" s="37"/>
      <c r="K70" s="36"/>
    </row>
    <row r="71" spans="1:11" hidden="1" x14ac:dyDescent="0.35">
      <c r="A71" s="32">
        <v>430</v>
      </c>
      <c r="B71" s="32">
        <v>5104</v>
      </c>
      <c r="C71" s="33" t="s">
        <v>6</v>
      </c>
      <c r="D71" s="32" t="s">
        <v>7</v>
      </c>
      <c r="E71" s="35" t="s">
        <v>60</v>
      </c>
      <c r="F71" s="36" t="s">
        <v>328</v>
      </c>
      <c r="G71" s="36" t="s">
        <v>668</v>
      </c>
      <c r="H71" s="37">
        <v>46100</v>
      </c>
      <c r="I71" s="37" t="str">
        <f>VLOOKUP(A71,[1]Programación!$A:$J,10,0)</f>
        <v>2 Días</v>
      </c>
      <c r="J71" s="37"/>
      <c r="K71" s="36"/>
    </row>
    <row r="72" spans="1:11" hidden="1" x14ac:dyDescent="0.35">
      <c r="A72" s="32">
        <v>743</v>
      </c>
      <c r="B72" s="32">
        <v>5106</v>
      </c>
      <c r="C72" s="33" t="s">
        <v>6</v>
      </c>
      <c r="D72" s="32" t="s">
        <v>7</v>
      </c>
      <c r="E72" s="35" t="s">
        <v>80</v>
      </c>
      <c r="F72" s="36" t="s">
        <v>323</v>
      </c>
      <c r="G72" s="36" t="s">
        <v>329</v>
      </c>
      <c r="H72" s="37">
        <v>46093</v>
      </c>
      <c r="I72" s="37"/>
      <c r="J72" s="37"/>
      <c r="K72" s="36"/>
    </row>
    <row r="73" spans="1:11" hidden="1" x14ac:dyDescent="0.35">
      <c r="A73" s="32">
        <v>73</v>
      </c>
      <c r="B73" s="32">
        <v>5108</v>
      </c>
      <c r="C73" s="33" t="s">
        <v>6</v>
      </c>
      <c r="D73" s="32" t="s">
        <v>7</v>
      </c>
      <c r="E73" s="35" t="s">
        <v>40</v>
      </c>
      <c r="F73" s="36" t="s">
        <v>292</v>
      </c>
      <c r="G73" s="36" t="s">
        <v>330</v>
      </c>
      <c r="H73" s="37">
        <v>46100</v>
      </c>
      <c r="I73" s="37"/>
      <c r="J73" s="37"/>
      <c r="K73" s="36"/>
    </row>
    <row r="74" spans="1:11" hidden="1" x14ac:dyDescent="0.35">
      <c r="A74" s="32">
        <v>88</v>
      </c>
      <c r="B74" s="32">
        <v>5111</v>
      </c>
      <c r="C74" s="33" t="s">
        <v>6</v>
      </c>
      <c r="D74" s="32" t="s">
        <v>7</v>
      </c>
      <c r="E74" s="35" t="s">
        <v>109</v>
      </c>
      <c r="F74" s="36" t="s">
        <v>307</v>
      </c>
      <c r="G74" s="36" t="s">
        <v>331</v>
      </c>
      <c r="H74" s="37">
        <v>46093</v>
      </c>
      <c r="I74" s="37"/>
      <c r="J74" s="37"/>
      <c r="K74" s="36"/>
    </row>
    <row r="75" spans="1:11" hidden="1" x14ac:dyDescent="0.35">
      <c r="A75" s="32">
        <v>191</v>
      </c>
      <c r="B75" s="32">
        <v>5112</v>
      </c>
      <c r="C75" s="33" t="s">
        <v>6</v>
      </c>
      <c r="D75" s="32" t="s">
        <v>7</v>
      </c>
      <c r="E75" s="35" t="s">
        <v>13</v>
      </c>
      <c r="F75" s="36" t="s">
        <v>301</v>
      </c>
      <c r="G75" s="36" t="s">
        <v>332</v>
      </c>
      <c r="H75" s="37">
        <v>46086</v>
      </c>
      <c r="I75" s="37"/>
      <c r="J75" s="37"/>
      <c r="K75" s="36"/>
    </row>
    <row r="76" spans="1:11" hidden="1" x14ac:dyDescent="0.35">
      <c r="A76" s="32">
        <v>291</v>
      </c>
      <c r="B76" s="32">
        <v>5114</v>
      </c>
      <c r="C76" s="33" t="s">
        <v>6</v>
      </c>
      <c r="D76" s="32" t="s">
        <v>7</v>
      </c>
      <c r="E76" s="35" t="s">
        <v>14</v>
      </c>
      <c r="F76" s="36" t="s">
        <v>277</v>
      </c>
      <c r="G76" s="36" t="s">
        <v>280</v>
      </c>
      <c r="H76" s="37">
        <v>46091</v>
      </c>
      <c r="I76" s="37"/>
      <c r="J76" s="37"/>
      <c r="K76" s="36"/>
    </row>
    <row r="77" spans="1:11" hidden="1" x14ac:dyDescent="0.35">
      <c r="A77" s="32">
        <v>937</v>
      </c>
      <c r="B77" s="32">
        <v>5115</v>
      </c>
      <c r="C77" s="33" t="s">
        <v>6</v>
      </c>
      <c r="D77" s="32" t="s">
        <v>7</v>
      </c>
      <c r="E77" s="35" t="s">
        <v>96</v>
      </c>
      <c r="F77" s="36" t="s">
        <v>309</v>
      </c>
      <c r="G77" s="36" t="s">
        <v>334</v>
      </c>
      <c r="H77" s="37">
        <v>46086</v>
      </c>
      <c r="I77" s="37"/>
      <c r="J77" s="37"/>
      <c r="K77" s="36"/>
    </row>
    <row r="78" spans="1:11" hidden="1" x14ac:dyDescent="0.35">
      <c r="A78" s="32">
        <v>292</v>
      </c>
      <c r="B78" s="32">
        <v>5116</v>
      </c>
      <c r="C78" s="33" t="s">
        <v>6</v>
      </c>
      <c r="D78" s="32" t="s">
        <v>7</v>
      </c>
      <c r="E78" s="35" t="s">
        <v>110</v>
      </c>
      <c r="F78" s="36" t="s">
        <v>285</v>
      </c>
      <c r="G78" s="36" t="s">
        <v>335</v>
      </c>
      <c r="H78" s="37">
        <v>46098</v>
      </c>
      <c r="I78" s="37"/>
      <c r="J78" s="37"/>
      <c r="K78" s="36"/>
    </row>
    <row r="79" spans="1:11" hidden="1" x14ac:dyDescent="0.35">
      <c r="A79" s="32">
        <v>789</v>
      </c>
      <c r="B79" s="32">
        <v>5118</v>
      </c>
      <c r="C79" s="33" t="s">
        <v>6</v>
      </c>
      <c r="D79" s="32" t="s">
        <v>7</v>
      </c>
      <c r="E79" s="35" t="s">
        <v>185</v>
      </c>
      <c r="F79" s="36" t="s">
        <v>336</v>
      </c>
      <c r="G79" s="36" t="s">
        <v>451</v>
      </c>
      <c r="H79" s="37">
        <v>46091</v>
      </c>
      <c r="I79" s="37"/>
      <c r="J79" s="37"/>
      <c r="K79" s="36"/>
    </row>
    <row r="80" spans="1:11" hidden="1" x14ac:dyDescent="0.35">
      <c r="A80" s="32">
        <v>511</v>
      </c>
      <c r="B80" s="32">
        <v>5122</v>
      </c>
      <c r="C80" s="33" t="s">
        <v>6</v>
      </c>
      <c r="D80" s="32" t="s">
        <v>7</v>
      </c>
      <c r="E80" s="35" t="s">
        <v>63</v>
      </c>
      <c r="F80" s="36" t="s">
        <v>304</v>
      </c>
      <c r="G80" s="36" t="s">
        <v>337</v>
      </c>
      <c r="H80" s="37">
        <v>46086</v>
      </c>
      <c r="I80" s="37"/>
      <c r="J80" s="37"/>
      <c r="K80" s="36"/>
    </row>
    <row r="81" spans="1:11" hidden="1" x14ac:dyDescent="0.35">
      <c r="A81" s="32">
        <v>76</v>
      </c>
      <c r="B81" s="32">
        <v>5126</v>
      </c>
      <c r="C81" s="33" t="s">
        <v>6</v>
      </c>
      <c r="D81" s="32" t="s">
        <v>7</v>
      </c>
      <c r="E81" s="35" t="s">
        <v>15</v>
      </c>
      <c r="F81" s="36" t="s">
        <v>282</v>
      </c>
      <c r="G81" s="36" t="s">
        <v>374</v>
      </c>
      <c r="H81" s="37">
        <v>46093</v>
      </c>
      <c r="I81" s="37"/>
      <c r="J81" s="37"/>
      <c r="K81" s="36"/>
    </row>
    <row r="82" spans="1:11" hidden="1" x14ac:dyDescent="0.35">
      <c r="A82" s="32">
        <v>101</v>
      </c>
      <c r="B82" s="32">
        <v>5128</v>
      </c>
      <c r="C82" s="33" t="s">
        <v>6</v>
      </c>
      <c r="D82" s="32" t="s">
        <v>7</v>
      </c>
      <c r="E82" s="35" t="s">
        <v>141</v>
      </c>
      <c r="F82" s="36" t="s">
        <v>323</v>
      </c>
      <c r="G82" s="36" t="s">
        <v>338</v>
      </c>
      <c r="H82" s="37">
        <v>46086</v>
      </c>
      <c r="I82" s="37"/>
      <c r="J82" s="37"/>
      <c r="K82" s="36"/>
    </row>
    <row r="83" spans="1:11" hidden="1" x14ac:dyDescent="0.35">
      <c r="A83" s="32">
        <v>244</v>
      </c>
      <c r="B83" s="32">
        <v>5129</v>
      </c>
      <c r="C83" s="33" t="s">
        <v>6</v>
      </c>
      <c r="D83" s="32" t="s">
        <v>7</v>
      </c>
      <c r="E83" s="35" t="s">
        <v>151</v>
      </c>
      <c r="F83" s="36" t="s">
        <v>287</v>
      </c>
      <c r="G83" s="36" t="s">
        <v>504</v>
      </c>
      <c r="H83" s="37">
        <v>46099</v>
      </c>
      <c r="I83" s="37"/>
      <c r="J83" s="37"/>
      <c r="K83" s="36"/>
    </row>
    <row r="84" spans="1:11" hidden="1" x14ac:dyDescent="0.35">
      <c r="A84" s="32">
        <v>366</v>
      </c>
      <c r="B84" s="32">
        <v>5132</v>
      </c>
      <c r="C84" s="33" t="s">
        <v>6</v>
      </c>
      <c r="D84" s="32" t="s">
        <v>7</v>
      </c>
      <c r="E84" s="35" t="s">
        <v>161</v>
      </c>
      <c r="F84" s="36" t="s">
        <v>339</v>
      </c>
      <c r="G84" s="36" t="s">
        <v>506</v>
      </c>
      <c r="H84" s="37">
        <v>46100</v>
      </c>
      <c r="I84" s="37"/>
      <c r="J84" s="37"/>
      <c r="K84" s="36"/>
    </row>
    <row r="85" spans="1:11" hidden="1" x14ac:dyDescent="0.35">
      <c r="A85" s="32">
        <v>68</v>
      </c>
      <c r="B85" s="32">
        <v>5135</v>
      </c>
      <c r="C85" s="33" t="s">
        <v>6</v>
      </c>
      <c r="D85" s="32" t="s">
        <v>7</v>
      </c>
      <c r="E85" s="35" t="s">
        <v>16</v>
      </c>
      <c r="F85" s="36" t="s">
        <v>327</v>
      </c>
      <c r="G85" s="36" t="s">
        <v>340</v>
      </c>
      <c r="H85" s="37">
        <v>46100</v>
      </c>
      <c r="I85" s="37"/>
      <c r="J85" s="37"/>
      <c r="K85" s="36"/>
    </row>
    <row r="86" spans="1:11" hidden="1" x14ac:dyDescent="0.35">
      <c r="A86" s="32">
        <v>318</v>
      </c>
      <c r="B86" s="32">
        <v>5136</v>
      </c>
      <c r="C86" s="34" t="s">
        <v>6</v>
      </c>
      <c r="D86" s="32" t="s">
        <v>7</v>
      </c>
      <c r="E86" s="35" t="s">
        <v>112</v>
      </c>
      <c r="F86" s="36" t="s">
        <v>307</v>
      </c>
      <c r="G86" s="36" t="s">
        <v>341</v>
      </c>
      <c r="H86" s="37">
        <v>46091</v>
      </c>
      <c r="I86" s="37" t="str">
        <f>VLOOKUP(A86,[1]Programación!$A:$J,10,0)</f>
        <v>2 Días</v>
      </c>
      <c r="J86" s="37"/>
      <c r="K86" s="36"/>
    </row>
    <row r="87" spans="1:11" hidden="1" x14ac:dyDescent="0.35">
      <c r="A87" s="32">
        <v>829</v>
      </c>
      <c r="B87" s="32">
        <v>5137</v>
      </c>
      <c r="C87" s="33" t="s">
        <v>6</v>
      </c>
      <c r="D87" s="32" t="s">
        <v>7</v>
      </c>
      <c r="E87" s="35" t="s">
        <v>90</v>
      </c>
      <c r="F87" s="36" t="s">
        <v>275</v>
      </c>
      <c r="G87" s="36" t="s">
        <v>472</v>
      </c>
      <c r="H87" s="37">
        <v>46098</v>
      </c>
      <c r="I87" s="37"/>
      <c r="J87" s="37"/>
      <c r="K87" s="36"/>
    </row>
    <row r="88" spans="1:11" hidden="1" x14ac:dyDescent="0.35">
      <c r="A88" s="32">
        <v>300</v>
      </c>
      <c r="B88" s="32">
        <v>5139</v>
      </c>
      <c r="C88" s="33" t="s">
        <v>6</v>
      </c>
      <c r="D88" s="32" t="s">
        <v>7</v>
      </c>
      <c r="E88" s="35" t="s">
        <v>53</v>
      </c>
      <c r="F88" s="36" t="s">
        <v>301</v>
      </c>
      <c r="G88" s="36" t="s">
        <v>342</v>
      </c>
      <c r="H88" s="37">
        <v>46091</v>
      </c>
      <c r="I88" s="37"/>
      <c r="J88" s="37"/>
      <c r="K88" s="36"/>
    </row>
    <row r="89" spans="1:11" hidden="1" x14ac:dyDescent="0.35">
      <c r="A89" s="32">
        <v>53</v>
      </c>
      <c r="B89" s="32">
        <v>5141</v>
      </c>
      <c r="C89" s="33" t="s">
        <v>6</v>
      </c>
      <c r="D89" s="32" t="s">
        <v>7</v>
      </c>
      <c r="E89" s="35" t="s">
        <v>37</v>
      </c>
      <c r="F89" s="36" t="s">
        <v>284</v>
      </c>
      <c r="G89" s="36" t="s">
        <v>343</v>
      </c>
      <c r="H89" s="37">
        <v>46099</v>
      </c>
      <c r="I89" s="37" t="str">
        <f>VLOOKUP(A89,[1]Programación!$A:$J,10,0)</f>
        <v>2 Días</v>
      </c>
      <c r="J89" s="37"/>
      <c r="K89" s="36"/>
    </row>
    <row r="90" spans="1:11" hidden="1" x14ac:dyDescent="0.35">
      <c r="A90" s="32">
        <v>40</v>
      </c>
      <c r="B90" s="32">
        <v>5142</v>
      </c>
      <c r="C90" s="33" t="s">
        <v>6</v>
      </c>
      <c r="D90" s="32" t="s">
        <v>7</v>
      </c>
      <c r="E90" s="35" t="s">
        <v>36</v>
      </c>
      <c r="F90" s="36" t="s">
        <v>301</v>
      </c>
      <c r="G90" s="36" t="s">
        <v>344</v>
      </c>
      <c r="H90" s="37">
        <v>46091</v>
      </c>
      <c r="I90" s="37"/>
      <c r="J90" s="37"/>
      <c r="K90" s="36"/>
    </row>
    <row r="91" spans="1:11" hidden="1" x14ac:dyDescent="0.35">
      <c r="A91" s="32">
        <v>927</v>
      </c>
      <c r="B91" s="32">
        <v>5143</v>
      </c>
      <c r="C91" s="33" t="s">
        <v>6</v>
      </c>
      <c r="D91" s="32" t="s">
        <v>7</v>
      </c>
      <c r="E91" s="35" t="s">
        <v>95</v>
      </c>
      <c r="F91" s="36" t="s">
        <v>282</v>
      </c>
      <c r="G91" s="36" t="s">
        <v>345</v>
      </c>
      <c r="H91" s="37">
        <v>46099</v>
      </c>
      <c r="I91" s="37"/>
      <c r="J91" s="37"/>
      <c r="K91" s="36"/>
    </row>
    <row r="92" spans="1:11" hidden="1" x14ac:dyDescent="0.35">
      <c r="A92" s="32">
        <v>812</v>
      </c>
      <c r="B92" s="32">
        <v>5144</v>
      </c>
      <c r="C92" s="33" t="s">
        <v>6</v>
      </c>
      <c r="D92" s="32" t="s">
        <v>7</v>
      </c>
      <c r="E92" s="35" t="s">
        <v>188</v>
      </c>
      <c r="F92" s="36" t="s">
        <v>275</v>
      </c>
      <c r="G92" s="36" t="s">
        <v>346</v>
      </c>
      <c r="H92" s="37">
        <v>46091</v>
      </c>
      <c r="I92" s="37"/>
      <c r="J92" s="37"/>
      <c r="K92" s="36"/>
    </row>
    <row r="93" spans="1:11" hidden="1" x14ac:dyDescent="0.35">
      <c r="A93" s="32">
        <v>279</v>
      </c>
      <c r="B93" s="32">
        <v>5147</v>
      </c>
      <c r="C93" s="33" t="s">
        <v>6</v>
      </c>
      <c r="D93" s="32" t="s">
        <v>7</v>
      </c>
      <c r="E93" s="35" t="s">
        <v>155</v>
      </c>
      <c r="F93" s="36" t="s">
        <v>285</v>
      </c>
      <c r="G93" s="36" t="s">
        <v>480</v>
      </c>
      <c r="H93" s="37">
        <v>46098</v>
      </c>
      <c r="I93" s="37"/>
      <c r="J93" s="37"/>
      <c r="K93" s="36"/>
    </row>
    <row r="94" spans="1:11" hidden="1" x14ac:dyDescent="0.35">
      <c r="A94" s="32">
        <v>91</v>
      </c>
      <c r="B94" s="32">
        <v>5148</v>
      </c>
      <c r="C94" s="33" t="s">
        <v>6</v>
      </c>
      <c r="D94" s="32" t="s">
        <v>7</v>
      </c>
      <c r="E94" s="35" t="s">
        <v>113</v>
      </c>
      <c r="F94" s="36" t="s">
        <v>347</v>
      </c>
      <c r="G94" s="36" t="s">
        <v>416</v>
      </c>
      <c r="H94" s="37">
        <v>46092</v>
      </c>
      <c r="I94" s="37" t="str">
        <f>VLOOKUP(A94,[1]Programación!$A:$J,10,0)</f>
        <v>2 Días</v>
      </c>
      <c r="J94" s="37"/>
      <c r="K94" s="36"/>
    </row>
    <row r="95" spans="1:11" hidden="1" x14ac:dyDescent="0.35">
      <c r="A95" s="32">
        <v>358</v>
      </c>
      <c r="B95" s="32">
        <v>5149</v>
      </c>
      <c r="C95" s="33" t="s">
        <v>6</v>
      </c>
      <c r="D95" s="32" t="s">
        <v>7</v>
      </c>
      <c r="E95" s="35" t="s">
        <v>114</v>
      </c>
      <c r="F95" s="36" t="s">
        <v>298</v>
      </c>
      <c r="G95" s="36" t="s">
        <v>348</v>
      </c>
      <c r="H95" s="37">
        <v>46092</v>
      </c>
      <c r="I95" s="37"/>
      <c r="J95" s="37"/>
      <c r="K95" s="36"/>
    </row>
    <row r="96" spans="1:11" hidden="1" x14ac:dyDescent="0.35">
      <c r="A96" s="32">
        <v>262</v>
      </c>
      <c r="B96" s="32">
        <v>5153</v>
      </c>
      <c r="C96" s="33" t="s">
        <v>6</v>
      </c>
      <c r="D96" s="32" t="s">
        <v>7</v>
      </c>
      <c r="E96" s="35" t="s">
        <v>51</v>
      </c>
      <c r="F96" s="36" t="s">
        <v>298</v>
      </c>
      <c r="G96" s="36" t="s">
        <v>349</v>
      </c>
      <c r="H96" s="37">
        <v>46100</v>
      </c>
      <c r="I96" s="37"/>
      <c r="J96" s="37"/>
      <c r="K96" s="36"/>
    </row>
    <row r="97" spans="1:11" hidden="1" x14ac:dyDescent="0.35">
      <c r="A97" s="32">
        <v>258</v>
      </c>
      <c r="B97" s="32">
        <v>5155</v>
      </c>
      <c r="C97" s="33" t="s">
        <v>6</v>
      </c>
      <c r="D97" s="32" t="s">
        <v>7</v>
      </c>
      <c r="E97" s="35" t="s">
        <v>153</v>
      </c>
      <c r="F97" s="36" t="s">
        <v>298</v>
      </c>
      <c r="G97" s="36" t="s">
        <v>350</v>
      </c>
      <c r="H97" s="37">
        <v>46093</v>
      </c>
      <c r="I97" s="37"/>
      <c r="J97" s="37"/>
      <c r="K97" s="36"/>
    </row>
    <row r="98" spans="1:11" hidden="1" x14ac:dyDescent="0.35">
      <c r="A98" s="32">
        <v>806</v>
      </c>
      <c r="B98" s="32">
        <v>5156</v>
      </c>
      <c r="C98" s="33" t="s">
        <v>6</v>
      </c>
      <c r="D98" s="32" t="s">
        <v>7</v>
      </c>
      <c r="E98" s="35" t="s">
        <v>86</v>
      </c>
      <c r="F98" s="36" t="s">
        <v>287</v>
      </c>
      <c r="G98" s="36" t="s">
        <v>481</v>
      </c>
      <c r="H98" s="37">
        <v>46092</v>
      </c>
      <c r="I98" s="37"/>
      <c r="J98" s="37"/>
      <c r="K98" s="36"/>
    </row>
    <row r="99" spans="1:11" hidden="1" x14ac:dyDescent="0.35">
      <c r="A99" s="32">
        <v>750</v>
      </c>
      <c r="B99" s="32">
        <v>5157</v>
      </c>
      <c r="C99" s="33" t="s">
        <v>6</v>
      </c>
      <c r="D99" s="32" t="s">
        <v>7</v>
      </c>
      <c r="E99" s="35" t="s">
        <v>181</v>
      </c>
      <c r="F99" s="36" t="s">
        <v>275</v>
      </c>
      <c r="G99" s="36" t="s">
        <v>351</v>
      </c>
      <c r="H99" s="37">
        <v>46099</v>
      </c>
      <c r="I99" s="37"/>
      <c r="J99" s="37"/>
      <c r="K99" s="36"/>
    </row>
    <row r="100" spans="1:11" hidden="1" x14ac:dyDescent="0.35">
      <c r="A100" s="32">
        <v>70</v>
      </c>
      <c r="B100" s="32">
        <v>5164</v>
      </c>
      <c r="C100" s="33" t="s">
        <v>6</v>
      </c>
      <c r="D100" s="32" t="s">
        <v>7</v>
      </c>
      <c r="E100" s="35" t="s">
        <v>18</v>
      </c>
      <c r="F100" s="36" t="s">
        <v>292</v>
      </c>
      <c r="G100" s="36" t="s">
        <v>352</v>
      </c>
      <c r="H100" s="37">
        <v>46091</v>
      </c>
      <c r="I100" s="37"/>
      <c r="J100" s="37"/>
      <c r="K100" s="36"/>
    </row>
    <row r="101" spans="1:11" hidden="1" x14ac:dyDescent="0.35">
      <c r="A101" s="32">
        <v>725</v>
      </c>
      <c r="B101" s="32">
        <v>5166</v>
      </c>
      <c r="C101" s="33" t="s">
        <v>6</v>
      </c>
      <c r="D101" s="32" t="s">
        <v>7</v>
      </c>
      <c r="E101" s="35" t="s">
        <v>78</v>
      </c>
      <c r="F101" s="36" t="s">
        <v>292</v>
      </c>
      <c r="G101" s="36" t="s">
        <v>669</v>
      </c>
      <c r="H101" s="37">
        <v>46092</v>
      </c>
      <c r="I101" s="37"/>
      <c r="J101" s="37"/>
      <c r="K101" s="36"/>
    </row>
    <row r="102" spans="1:11" hidden="1" x14ac:dyDescent="0.35">
      <c r="A102" s="32">
        <v>667</v>
      </c>
      <c r="B102" s="32">
        <v>5167</v>
      </c>
      <c r="C102" s="33" t="s">
        <v>6</v>
      </c>
      <c r="D102" s="32" t="s">
        <v>7</v>
      </c>
      <c r="E102" s="35" t="s">
        <v>72</v>
      </c>
      <c r="F102" s="36" t="s">
        <v>287</v>
      </c>
      <c r="G102" s="36" t="s">
        <v>353</v>
      </c>
      <c r="H102" s="37">
        <v>46100</v>
      </c>
      <c r="I102" s="37"/>
      <c r="J102" s="37"/>
      <c r="K102" s="36"/>
    </row>
    <row r="103" spans="1:11" hidden="1" x14ac:dyDescent="0.35">
      <c r="A103" s="32">
        <v>363</v>
      </c>
      <c r="B103" s="32">
        <v>5168</v>
      </c>
      <c r="C103" s="33" t="s">
        <v>6</v>
      </c>
      <c r="D103" s="32" t="s">
        <v>7</v>
      </c>
      <c r="E103" s="35" t="s">
        <v>160</v>
      </c>
      <c r="F103" s="36" t="s">
        <v>298</v>
      </c>
      <c r="G103" s="36" t="s">
        <v>354</v>
      </c>
      <c r="H103" s="37">
        <v>46098</v>
      </c>
      <c r="I103" s="37"/>
      <c r="J103" s="37"/>
      <c r="K103" s="36"/>
    </row>
    <row r="104" spans="1:11" hidden="1" x14ac:dyDescent="0.35">
      <c r="A104" s="32">
        <v>388</v>
      </c>
      <c r="B104" s="32">
        <v>5169</v>
      </c>
      <c r="C104" s="33" t="s">
        <v>6</v>
      </c>
      <c r="D104" s="32" t="s">
        <v>7</v>
      </c>
      <c r="E104" s="35" t="s">
        <v>162</v>
      </c>
      <c r="F104" s="36" t="s">
        <v>287</v>
      </c>
      <c r="G104" s="36" t="s">
        <v>482</v>
      </c>
      <c r="H104" s="37">
        <v>46086</v>
      </c>
      <c r="I104" s="37"/>
      <c r="J104" s="37"/>
      <c r="K104" s="36"/>
    </row>
    <row r="105" spans="1:11" hidden="1" x14ac:dyDescent="0.35">
      <c r="A105" s="32">
        <v>302</v>
      </c>
      <c r="B105" s="32">
        <v>5170</v>
      </c>
      <c r="C105" s="33" t="s">
        <v>6</v>
      </c>
      <c r="D105" s="32" t="s">
        <v>7</v>
      </c>
      <c r="E105" s="35" t="s">
        <v>54</v>
      </c>
      <c r="F105" s="36" t="s">
        <v>277</v>
      </c>
      <c r="G105" s="36" t="s">
        <v>355</v>
      </c>
      <c r="H105" s="37">
        <v>46091</v>
      </c>
      <c r="I105" s="37"/>
      <c r="J105" s="37"/>
      <c r="K105" s="36"/>
    </row>
    <row r="106" spans="1:11" hidden="1" x14ac:dyDescent="0.35">
      <c r="A106" s="32">
        <v>420</v>
      </c>
      <c r="B106" s="32">
        <v>5173</v>
      </c>
      <c r="C106" s="33" t="s">
        <v>6</v>
      </c>
      <c r="D106" s="32" t="s">
        <v>7</v>
      </c>
      <c r="E106" s="35" t="s">
        <v>59</v>
      </c>
      <c r="F106" s="36" t="s">
        <v>493</v>
      </c>
      <c r="G106" s="36" t="s">
        <v>454</v>
      </c>
      <c r="H106" s="37">
        <v>46093</v>
      </c>
      <c r="I106" s="37" t="str">
        <f>VLOOKUP(A106,[1]Programación!$A:$J,10,0)</f>
        <v>2 Días</v>
      </c>
      <c r="J106" s="37"/>
      <c r="K106" s="36"/>
    </row>
    <row r="107" spans="1:11" hidden="1" x14ac:dyDescent="0.35">
      <c r="A107" s="32">
        <v>253</v>
      </c>
      <c r="B107" s="32">
        <v>5176</v>
      </c>
      <c r="C107" s="33" t="s">
        <v>6</v>
      </c>
      <c r="D107" s="32" t="s">
        <v>7</v>
      </c>
      <c r="E107" s="35" t="s">
        <v>152</v>
      </c>
      <c r="F107" s="36" t="s">
        <v>339</v>
      </c>
      <c r="G107" s="36" t="s">
        <v>356</v>
      </c>
      <c r="H107" s="37">
        <v>46092</v>
      </c>
      <c r="I107" s="37"/>
      <c r="J107" s="37"/>
      <c r="K107" s="36"/>
    </row>
    <row r="108" spans="1:11" hidden="1" x14ac:dyDescent="0.35">
      <c r="A108" s="32">
        <v>198</v>
      </c>
      <c r="B108" s="32">
        <v>5179</v>
      </c>
      <c r="C108" s="33" t="s">
        <v>6</v>
      </c>
      <c r="D108" s="32" t="s">
        <v>7</v>
      </c>
      <c r="E108" s="35" t="s">
        <v>46</v>
      </c>
      <c r="F108" s="36" t="s">
        <v>323</v>
      </c>
      <c r="G108" s="36" t="s">
        <v>357</v>
      </c>
      <c r="H108" s="37">
        <v>46093</v>
      </c>
      <c r="I108" s="37"/>
      <c r="J108" s="37"/>
      <c r="K108" s="36"/>
    </row>
    <row r="109" spans="1:11" hidden="1" x14ac:dyDescent="0.35">
      <c r="A109" s="32">
        <v>762</v>
      </c>
      <c r="B109" s="32">
        <v>5181</v>
      </c>
      <c r="C109" s="33" t="s">
        <v>6</v>
      </c>
      <c r="D109" s="32" t="s">
        <v>7</v>
      </c>
      <c r="E109" s="35" t="s">
        <v>82</v>
      </c>
      <c r="F109" s="36" t="s">
        <v>308</v>
      </c>
      <c r="G109" s="36" t="s">
        <v>358</v>
      </c>
      <c r="H109" s="37">
        <v>46099</v>
      </c>
      <c r="I109" s="37"/>
      <c r="J109" s="37"/>
      <c r="K109" s="36"/>
    </row>
    <row r="110" spans="1:11" hidden="1" x14ac:dyDescent="0.35">
      <c r="A110" s="32">
        <v>756</v>
      </c>
      <c r="B110" s="32">
        <v>5183</v>
      </c>
      <c r="C110" s="33" t="s">
        <v>99</v>
      </c>
      <c r="D110" s="32" t="s">
        <v>7</v>
      </c>
      <c r="E110" s="35" t="s">
        <v>182</v>
      </c>
      <c r="F110" s="36" t="s">
        <v>308</v>
      </c>
      <c r="G110" s="36" t="s">
        <v>450</v>
      </c>
      <c r="H110" s="37">
        <v>46098</v>
      </c>
      <c r="I110" s="37"/>
      <c r="J110" s="37"/>
      <c r="K110" s="36"/>
    </row>
    <row r="111" spans="1:11" hidden="1" x14ac:dyDescent="0.35">
      <c r="A111" s="32">
        <v>541</v>
      </c>
      <c r="B111" s="32">
        <v>5185</v>
      </c>
      <c r="C111" s="33" t="s">
        <v>6</v>
      </c>
      <c r="D111" s="32" t="s">
        <v>7</v>
      </c>
      <c r="E111" s="35" t="s">
        <v>19</v>
      </c>
      <c r="F111" s="36" t="s">
        <v>285</v>
      </c>
      <c r="G111" s="36" t="s">
        <v>670</v>
      </c>
      <c r="H111" s="37">
        <v>46086</v>
      </c>
      <c r="I111" s="37"/>
      <c r="J111" s="37"/>
      <c r="K111" s="36"/>
    </row>
    <row r="112" spans="1:11" hidden="1" x14ac:dyDescent="0.35">
      <c r="A112" s="32">
        <v>698</v>
      </c>
      <c r="B112" s="32">
        <v>5187</v>
      </c>
      <c r="C112" s="33" t="s">
        <v>6</v>
      </c>
      <c r="D112" s="32" t="s">
        <v>7</v>
      </c>
      <c r="E112" s="35" t="s">
        <v>77</v>
      </c>
      <c r="F112" s="36" t="s">
        <v>301</v>
      </c>
      <c r="G112" s="36" t="s">
        <v>360</v>
      </c>
      <c r="H112" s="37">
        <v>46092</v>
      </c>
      <c r="I112" s="37"/>
      <c r="J112" s="37"/>
      <c r="K112" s="36"/>
    </row>
    <row r="113" spans="1:11" hidden="1" x14ac:dyDescent="0.35">
      <c r="A113" s="32">
        <v>664</v>
      </c>
      <c r="B113" s="32">
        <v>5191</v>
      </c>
      <c r="C113" s="33" t="s">
        <v>6</v>
      </c>
      <c r="D113" s="32" t="s">
        <v>7</v>
      </c>
      <c r="E113" s="35" t="s">
        <v>71</v>
      </c>
      <c r="F113" s="36" t="s">
        <v>287</v>
      </c>
      <c r="G113" s="36" t="s">
        <v>361</v>
      </c>
      <c r="H113" s="37">
        <v>46092</v>
      </c>
      <c r="I113" s="37"/>
      <c r="J113" s="37"/>
      <c r="K113" s="36"/>
    </row>
    <row r="114" spans="1:11" hidden="1" x14ac:dyDescent="0.35">
      <c r="A114" s="32">
        <v>716</v>
      </c>
      <c r="B114" s="32">
        <v>5192</v>
      </c>
      <c r="C114" s="33" t="s">
        <v>6</v>
      </c>
      <c r="D114" s="32" t="s">
        <v>7</v>
      </c>
      <c r="E114" s="35" t="s">
        <v>178</v>
      </c>
      <c r="F114" s="36" t="s">
        <v>275</v>
      </c>
      <c r="G114" s="36" t="s">
        <v>362</v>
      </c>
      <c r="H114" s="37">
        <v>46091</v>
      </c>
      <c r="I114" s="37"/>
      <c r="J114" s="37"/>
      <c r="K114" s="36"/>
    </row>
    <row r="115" spans="1:11" hidden="1" x14ac:dyDescent="0.35">
      <c r="A115" s="32">
        <v>383</v>
      </c>
      <c r="B115" s="32">
        <v>5194</v>
      </c>
      <c r="C115" s="33" t="s">
        <v>6</v>
      </c>
      <c r="D115" s="32" t="s">
        <v>7</v>
      </c>
      <c r="E115" s="35" t="s">
        <v>58</v>
      </c>
      <c r="F115" s="36" t="s">
        <v>363</v>
      </c>
      <c r="G115" s="36" t="s">
        <v>364</v>
      </c>
      <c r="H115" s="37">
        <v>46098</v>
      </c>
      <c r="I115" s="37"/>
      <c r="J115" s="37"/>
      <c r="K115" s="36"/>
    </row>
    <row r="116" spans="1:11" hidden="1" x14ac:dyDescent="0.35">
      <c r="A116" s="32">
        <v>432</v>
      </c>
      <c r="B116" s="32">
        <v>5195</v>
      </c>
      <c r="C116" s="33" t="s">
        <v>6</v>
      </c>
      <c r="D116" s="32" t="s">
        <v>7</v>
      </c>
      <c r="E116" s="35" t="s">
        <v>61</v>
      </c>
      <c r="F116" s="36" t="s">
        <v>273</v>
      </c>
      <c r="G116" s="36" t="s">
        <v>515</v>
      </c>
      <c r="H116" s="37">
        <v>46098</v>
      </c>
      <c r="I116" s="37" t="str">
        <f>VLOOKUP(A116,[1]Programación!$A:$J,10,0)</f>
        <v>2 Días</v>
      </c>
      <c r="J116" s="37"/>
      <c r="K116" s="36"/>
    </row>
    <row r="117" spans="1:11" hidden="1" x14ac:dyDescent="0.35">
      <c r="A117" s="32">
        <v>250</v>
      </c>
      <c r="B117" s="32">
        <v>5197</v>
      </c>
      <c r="C117" s="33" t="s">
        <v>6</v>
      </c>
      <c r="D117" s="32" t="s">
        <v>7</v>
      </c>
      <c r="E117" s="35" t="s">
        <v>20</v>
      </c>
      <c r="F117" s="36" t="s">
        <v>294</v>
      </c>
      <c r="G117" s="36" t="s">
        <v>516</v>
      </c>
      <c r="H117" s="37">
        <v>46099</v>
      </c>
      <c r="I117" s="37"/>
      <c r="J117" s="37"/>
      <c r="K117" s="36"/>
    </row>
    <row r="118" spans="1:11" hidden="1" x14ac:dyDescent="0.35">
      <c r="A118" s="32">
        <v>674</v>
      </c>
      <c r="B118" s="32">
        <v>5200</v>
      </c>
      <c r="C118" s="33" t="s">
        <v>6</v>
      </c>
      <c r="D118" s="32" t="s">
        <v>7</v>
      </c>
      <c r="E118" s="35" t="s">
        <v>73</v>
      </c>
      <c r="F118" s="36" t="s">
        <v>294</v>
      </c>
      <c r="G118" s="36" t="s">
        <v>365</v>
      </c>
      <c r="H118" s="37">
        <v>46093</v>
      </c>
      <c r="I118" s="37"/>
      <c r="J118" s="37"/>
      <c r="K118" s="36"/>
    </row>
    <row r="119" spans="1:11" hidden="1" x14ac:dyDescent="0.35">
      <c r="A119" s="32">
        <v>606</v>
      </c>
      <c r="B119" s="32">
        <v>5201</v>
      </c>
      <c r="C119" s="33" t="s">
        <v>6</v>
      </c>
      <c r="D119" s="32" t="s">
        <v>7</v>
      </c>
      <c r="E119" s="35" t="s">
        <v>65</v>
      </c>
      <c r="F119" s="36" t="s">
        <v>298</v>
      </c>
      <c r="G119" s="36" t="s">
        <v>366</v>
      </c>
      <c r="H119" s="37">
        <v>46091</v>
      </c>
      <c r="I119" s="37"/>
      <c r="J119" s="37"/>
      <c r="K119" s="36"/>
    </row>
    <row r="120" spans="1:11" hidden="1" x14ac:dyDescent="0.35">
      <c r="A120" s="32">
        <v>77</v>
      </c>
      <c r="B120" s="32">
        <v>5204</v>
      </c>
      <c r="C120" s="33" t="s">
        <v>6</v>
      </c>
      <c r="D120" s="32" t="s">
        <v>7</v>
      </c>
      <c r="E120" s="35" t="s">
        <v>139</v>
      </c>
      <c r="F120" s="36" t="s">
        <v>275</v>
      </c>
      <c r="G120" s="36" t="s">
        <v>438</v>
      </c>
      <c r="H120" s="37">
        <v>46092</v>
      </c>
      <c r="I120" s="37" t="str">
        <f>VLOOKUP(A120,[1]Programación!$A:$J,10,0)</f>
        <v>2 Días</v>
      </c>
      <c r="J120" s="37"/>
      <c r="K120" s="36"/>
    </row>
    <row r="121" spans="1:11" hidden="1" x14ac:dyDescent="0.35">
      <c r="A121" s="32">
        <v>816</v>
      </c>
      <c r="B121" s="32">
        <v>5205</v>
      </c>
      <c r="C121" s="33" t="s">
        <v>6</v>
      </c>
      <c r="D121" s="32" t="s">
        <v>7</v>
      </c>
      <c r="E121" s="35" t="s">
        <v>87</v>
      </c>
      <c r="F121" s="36" t="s">
        <v>307</v>
      </c>
      <c r="G121" s="36" t="s">
        <v>517</v>
      </c>
      <c r="H121" s="37">
        <v>46093</v>
      </c>
      <c r="I121" s="37"/>
      <c r="J121" s="37"/>
      <c r="K121" s="36"/>
    </row>
    <row r="122" spans="1:11" hidden="1" x14ac:dyDescent="0.35">
      <c r="A122" s="32">
        <v>455</v>
      </c>
      <c r="B122" s="32">
        <v>5206</v>
      </c>
      <c r="C122" s="33" t="s">
        <v>6</v>
      </c>
      <c r="D122" s="32" t="s">
        <v>7</v>
      </c>
      <c r="E122" s="35" t="s">
        <v>21</v>
      </c>
      <c r="F122" s="36" t="s">
        <v>282</v>
      </c>
      <c r="G122" s="36" t="s">
        <v>367</v>
      </c>
      <c r="H122" s="37">
        <v>46093</v>
      </c>
      <c r="I122" s="37" t="str">
        <f>VLOOKUP(A122,[1]Programación!$A:$J,10,0)</f>
        <v>2 Días</v>
      </c>
      <c r="J122" s="37"/>
      <c r="K122" s="36"/>
    </row>
    <row r="123" spans="1:11" hidden="1" x14ac:dyDescent="0.35">
      <c r="A123" s="32">
        <v>217</v>
      </c>
      <c r="B123" s="32">
        <v>5208</v>
      </c>
      <c r="C123" s="33" t="s">
        <v>6</v>
      </c>
      <c r="D123" s="32" t="s">
        <v>7</v>
      </c>
      <c r="E123" s="35" t="s">
        <v>148</v>
      </c>
      <c r="F123" s="36" t="s">
        <v>287</v>
      </c>
      <c r="G123" s="36" t="s">
        <v>368</v>
      </c>
      <c r="H123" s="37">
        <v>46100</v>
      </c>
      <c r="I123" s="37"/>
      <c r="J123" s="37"/>
      <c r="K123" s="36"/>
    </row>
    <row r="124" spans="1:11" hidden="1" x14ac:dyDescent="0.35">
      <c r="A124" s="32">
        <v>793</v>
      </c>
      <c r="B124" s="32">
        <v>5216</v>
      </c>
      <c r="C124" s="33" t="s">
        <v>6</v>
      </c>
      <c r="D124" s="32" t="s">
        <v>7</v>
      </c>
      <c r="E124" s="35" t="s">
        <v>85</v>
      </c>
      <c r="F124" s="36" t="s">
        <v>277</v>
      </c>
      <c r="G124" s="36" t="s">
        <v>483</v>
      </c>
      <c r="H124" s="37">
        <v>46092</v>
      </c>
      <c r="I124" s="37"/>
      <c r="J124" s="37"/>
      <c r="K124" s="36"/>
    </row>
    <row r="125" spans="1:11" hidden="1" x14ac:dyDescent="0.35">
      <c r="A125" s="32">
        <v>16</v>
      </c>
      <c r="B125" s="32">
        <v>5219</v>
      </c>
      <c r="C125" s="33" t="s">
        <v>6</v>
      </c>
      <c r="D125" s="32" t="s">
        <v>7</v>
      </c>
      <c r="E125" s="35" t="s">
        <v>137</v>
      </c>
      <c r="F125" s="36" t="s">
        <v>328</v>
      </c>
      <c r="G125" s="36" t="s">
        <v>471</v>
      </c>
      <c r="H125" s="37">
        <v>46093</v>
      </c>
      <c r="I125" s="37"/>
      <c r="J125" s="37"/>
      <c r="K125" s="36"/>
    </row>
    <row r="126" spans="1:11" hidden="1" x14ac:dyDescent="0.35">
      <c r="A126" s="32">
        <v>941</v>
      </c>
      <c r="B126" s="32">
        <v>5220</v>
      </c>
      <c r="C126" s="33" t="s">
        <v>6</v>
      </c>
      <c r="D126" s="32" t="s">
        <v>7</v>
      </c>
      <c r="E126" s="35" t="s">
        <v>97</v>
      </c>
      <c r="F126" s="36" t="s">
        <v>282</v>
      </c>
      <c r="G126" s="36" t="s">
        <v>369</v>
      </c>
      <c r="H126" s="37">
        <v>46099</v>
      </c>
      <c r="I126" s="37"/>
      <c r="J126" s="37"/>
      <c r="K126" s="36"/>
    </row>
    <row r="127" spans="1:11" hidden="1" x14ac:dyDescent="0.35">
      <c r="A127" s="32">
        <v>221</v>
      </c>
      <c r="B127" s="32">
        <v>5221</v>
      </c>
      <c r="C127" s="33" t="s">
        <v>6</v>
      </c>
      <c r="D127" s="32" t="s">
        <v>7</v>
      </c>
      <c r="E127" s="35" t="s">
        <v>47</v>
      </c>
      <c r="F127" s="36" t="s">
        <v>363</v>
      </c>
      <c r="G127" s="36" t="s">
        <v>518</v>
      </c>
      <c r="H127" s="37">
        <v>46099</v>
      </c>
      <c r="I127" s="37"/>
      <c r="J127" s="37"/>
      <c r="K127" s="36"/>
    </row>
    <row r="128" spans="1:11" hidden="1" x14ac:dyDescent="0.35">
      <c r="A128" s="32">
        <v>168</v>
      </c>
      <c r="B128" s="32">
        <v>5224</v>
      </c>
      <c r="C128" s="33" t="s">
        <v>6</v>
      </c>
      <c r="D128" s="32" t="s">
        <v>7</v>
      </c>
      <c r="E128" s="35" t="s">
        <v>143</v>
      </c>
      <c r="F128" s="36" t="s">
        <v>314</v>
      </c>
      <c r="G128" s="36" t="s">
        <v>371</v>
      </c>
      <c r="H128" s="37">
        <v>46099</v>
      </c>
      <c r="I128" s="37"/>
      <c r="J128" s="37"/>
      <c r="K128" s="36"/>
    </row>
    <row r="129" spans="1:13" hidden="1" x14ac:dyDescent="0.35">
      <c r="A129" s="32">
        <v>946</v>
      </c>
      <c r="B129" s="32">
        <v>5225</v>
      </c>
      <c r="C129" s="33" t="s">
        <v>6</v>
      </c>
      <c r="D129" s="32" t="s">
        <v>7</v>
      </c>
      <c r="E129" s="35" t="s">
        <v>98</v>
      </c>
      <c r="F129" s="36" t="s">
        <v>314</v>
      </c>
      <c r="G129" s="36" t="s">
        <v>484</v>
      </c>
      <c r="H129" s="37">
        <v>46098</v>
      </c>
      <c r="I129" s="37"/>
      <c r="J129" s="37"/>
      <c r="K129" s="36"/>
    </row>
    <row r="130" spans="1:13" hidden="1" x14ac:dyDescent="0.35">
      <c r="A130" s="32">
        <v>678</v>
      </c>
      <c r="B130" s="32">
        <v>5227</v>
      </c>
      <c r="C130" s="33" t="s">
        <v>6</v>
      </c>
      <c r="D130" s="32" t="s">
        <v>7</v>
      </c>
      <c r="E130" s="35" t="s">
        <v>115</v>
      </c>
      <c r="F130" s="36" t="s">
        <v>336</v>
      </c>
      <c r="G130" s="36" t="s">
        <v>372</v>
      </c>
      <c r="H130" s="37">
        <v>46092</v>
      </c>
      <c r="I130" s="37"/>
      <c r="J130" s="37"/>
      <c r="K130" s="36"/>
    </row>
    <row r="131" spans="1:13" hidden="1" x14ac:dyDescent="0.35">
      <c r="A131" s="32">
        <v>285</v>
      </c>
      <c r="B131" s="32">
        <v>5228</v>
      </c>
      <c r="C131" s="33" t="s">
        <v>6</v>
      </c>
      <c r="D131" s="32" t="s">
        <v>7</v>
      </c>
      <c r="E131" s="35" t="s">
        <v>116</v>
      </c>
      <c r="F131" s="36" t="s">
        <v>282</v>
      </c>
      <c r="G131" s="36" t="s">
        <v>373</v>
      </c>
      <c r="H131" s="37">
        <v>46099</v>
      </c>
      <c r="I131" s="37"/>
      <c r="J131" s="37"/>
      <c r="K131" s="36"/>
    </row>
    <row r="132" spans="1:13" hidden="1" x14ac:dyDescent="0.35">
      <c r="A132" s="32">
        <v>454</v>
      </c>
      <c r="B132" s="32">
        <v>5231</v>
      </c>
      <c r="C132" s="33" t="s">
        <v>6</v>
      </c>
      <c r="D132" s="32" t="s">
        <v>7</v>
      </c>
      <c r="E132" s="35" t="s">
        <v>22</v>
      </c>
      <c r="F132" s="36" t="s">
        <v>282</v>
      </c>
      <c r="G132" s="36" t="s">
        <v>485</v>
      </c>
      <c r="H132" s="37">
        <v>46100</v>
      </c>
      <c r="I132" s="37"/>
      <c r="J132" s="37"/>
      <c r="K132" s="36"/>
    </row>
    <row r="133" spans="1:13" s="51" customFormat="1" hidden="1" x14ac:dyDescent="0.35">
      <c r="A133" s="46">
        <v>760</v>
      </c>
      <c r="B133" s="46">
        <v>6092</v>
      </c>
      <c r="C133" s="47" t="s">
        <v>6</v>
      </c>
      <c r="D133" s="46" t="s">
        <v>7</v>
      </c>
      <c r="E133" s="48" t="s">
        <v>81</v>
      </c>
      <c r="F133" s="49" t="e">
        <v>#N/A</v>
      </c>
      <c r="G133" s="49" t="e">
        <v>#N/A</v>
      </c>
      <c r="H133" s="50" t="e">
        <v>#N/A</v>
      </c>
      <c r="I133" s="50"/>
      <c r="J133" s="50"/>
      <c r="K133" s="49" t="s">
        <v>500</v>
      </c>
      <c r="L133"/>
      <c r="M133"/>
    </row>
    <row r="134" spans="1:13" hidden="1" x14ac:dyDescent="0.35">
      <c r="A134" s="32">
        <v>625</v>
      </c>
      <c r="B134" s="32">
        <v>6096</v>
      </c>
      <c r="C134" s="33" t="s">
        <v>6</v>
      </c>
      <c r="D134" s="32" t="s">
        <v>7</v>
      </c>
      <c r="E134" s="35" t="s">
        <v>67</v>
      </c>
      <c r="F134" s="36" t="s">
        <v>493</v>
      </c>
      <c r="G134" s="36" t="s">
        <v>671</v>
      </c>
      <c r="H134" s="37">
        <v>46086</v>
      </c>
      <c r="I134" s="37" t="str">
        <f>VLOOKUP(A134,[1]Programación!$A:$J,10,0)</f>
        <v>2 Días</v>
      </c>
      <c r="J134" s="37"/>
      <c r="K134" s="36"/>
    </row>
    <row r="135" spans="1:13" hidden="1" x14ac:dyDescent="0.35">
      <c r="A135" s="32">
        <v>868</v>
      </c>
      <c r="B135" s="32">
        <v>6149</v>
      </c>
      <c r="C135" s="33" t="s">
        <v>99</v>
      </c>
      <c r="D135" s="32" t="s">
        <v>7</v>
      </c>
      <c r="E135" s="35" t="s">
        <v>193</v>
      </c>
      <c r="F135" s="36" t="s">
        <v>309</v>
      </c>
      <c r="G135" s="36" t="s">
        <v>376</v>
      </c>
      <c r="H135" s="37">
        <v>46099</v>
      </c>
      <c r="I135" s="37"/>
      <c r="J135" s="37"/>
      <c r="K135" s="36"/>
    </row>
    <row r="136" spans="1:13" hidden="1" x14ac:dyDescent="0.35">
      <c r="A136" s="32">
        <v>571</v>
      </c>
      <c r="B136" s="32">
        <v>6150</v>
      </c>
      <c r="C136" s="33" t="s">
        <v>6</v>
      </c>
      <c r="D136" s="32" t="s">
        <v>7</v>
      </c>
      <c r="E136" s="35" t="s">
        <v>117</v>
      </c>
      <c r="F136" s="36" t="s">
        <v>323</v>
      </c>
      <c r="G136" s="36" t="s">
        <v>377</v>
      </c>
      <c r="H136" s="37">
        <v>46086</v>
      </c>
      <c r="I136" s="37"/>
      <c r="J136" s="37"/>
      <c r="K136" s="36"/>
    </row>
    <row r="137" spans="1:13" hidden="1" x14ac:dyDescent="0.35">
      <c r="A137" s="32">
        <v>844</v>
      </c>
      <c r="B137" s="32">
        <v>6169</v>
      </c>
      <c r="C137" s="33" t="s">
        <v>6</v>
      </c>
      <c r="D137" s="32" t="s">
        <v>7</v>
      </c>
      <c r="E137" s="35" t="s">
        <v>91</v>
      </c>
      <c r="F137" s="36" t="s">
        <v>494</v>
      </c>
      <c r="G137" s="36" t="s">
        <v>672</v>
      </c>
      <c r="H137" s="37">
        <v>46093</v>
      </c>
      <c r="I137" s="37"/>
      <c r="J137" s="37"/>
      <c r="K137" s="36"/>
    </row>
    <row r="138" spans="1:13" hidden="1" x14ac:dyDescent="0.35">
      <c r="A138" s="32">
        <v>30</v>
      </c>
      <c r="B138" s="32">
        <v>6172</v>
      </c>
      <c r="C138" s="33" t="s">
        <v>6</v>
      </c>
      <c r="D138" s="32" t="s">
        <v>7</v>
      </c>
      <c r="E138" s="35" t="s">
        <v>23</v>
      </c>
      <c r="F138" s="36" t="s">
        <v>284</v>
      </c>
      <c r="G138" s="36" t="s">
        <v>468</v>
      </c>
      <c r="H138" s="37">
        <v>46099</v>
      </c>
      <c r="I138" s="37"/>
      <c r="J138" s="37"/>
      <c r="K138" s="36"/>
    </row>
    <row r="139" spans="1:13" hidden="1" x14ac:dyDescent="0.35">
      <c r="A139" s="32">
        <v>820</v>
      </c>
      <c r="B139" s="32">
        <v>6174</v>
      </c>
      <c r="C139" s="33" t="s">
        <v>6</v>
      </c>
      <c r="D139" s="32" t="s">
        <v>7</v>
      </c>
      <c r="E139" s="35" t="s">
        <v>88</v>
      </c>
      <c r="F139" s="36" t="s">
        <v>307</v>
      </c>
      <c r="G139" s="36" t="s">
        <v>453</v>
      </c>
      <c r="H139" s="37">
        <v>46093</v>
      </c>
      <c r="I139" s="37" t="str">
        <f>VLOOKUP(A139,[1]Programación!$A:$J,10,0)</f>
        <v>2 Días</v>
      </c>
      <c r="J139" s="37"/>
      <c r="K139" s="36"/>
    </row>
    <row r="140" spans="1:13" hidden="1" x14ac:dyDescent="0.35">
      <c r="A140" s="32">
        <v>690</v>
      </c>
      <c r="B140" s="32">
        <v>6180</v>
      </c>
      <c r="C140" s="33" t="s">
        <v>6</v>
      </c>
      <c r="D140" s="32" t="s">
        <v>7</v>
      </c>
      <c r="E140" s="35" t="s">
        <v>75</v>
      </c>
      <c r="F140" s="36" t="s">
        <v>284</v>
      </c>
      <c r="G140" s="36" t="s">
        <v>495</v>
      </c>
      <c r="H140" s="37">
        <v>46093</v>
      </c>
      <c r="I140" s="37"/>
      <c r="J140" s="37"/>
      <c r="K140" s="36"/>
    </row>
    <row r="141" spans="1:13" hidden="1" x14ac:dyDescent="0.35">
      <c r="A141" s="32">
        <v>351</v>
      </c>
      <c r="B141" s="32">
        <v>6182</v>
      </c>
      <c r="C141" s="33" t="s">
        <v>6</v>
      </c>
      <c r="D141" s="32" t="s">
        <v>7</v>
      </c>
      <c r="E141" s="35" t="s">
        <v>57</v>
      </c>
      <c r="F141" s="36" t="s">
        <v>493</v>
      </c>
      <c r="G141" s="36" t="s">
        <v>379</v>
      </c>
      <c r="H141" s="37">
        <v>46099</v>
      </c>
      <c r="I141" s="37"/>
      <c r="J141" s="37"/>
      <c r="K141" s="36"/>
    </row>
    <row r="142" spans="1:13" hidden="1" x14ac:dyDescent="0.35">
      <c r="A142" s="32">
        <v>267</v>
      </c>
      <c r="B142" s="32">
        <v>6186</v>
      </c>
      <c r="C142" s="33" t="s">
        <v>6</v>
      </c>
      <c r="D142" s="32" t="s">
        <v>7</v>
      </c>
      <c r="E142" s="35" t="s">
        <v>24</v>
      </c>
      <c r="F142" s="36" t="s">
        <v>328</v>
      </c>
      <c r="G142" s="36" t="s">
        <v>486</v>
      </c>
      <c r="H142" s="37">
        <v>46100</v>
      </c>
      <c r="I142" s="37"/>
      <c r="J142" s="37"/>
      <c r="K142" s="36"/>
    </row>
    <row r="143" spans="1:13" hidden="1" x14ac:dyDescent="0.35">
      <c r="A143" s="32">
        <v>54</v>
      </c>
      <c r="B143" s="32">
        <v>6204</v>
      </c>
      <c r="C143" s="33" t="s">
        <v>6</v>
      </c>
      <c r="D143" s="32" t="s">
        <v>7</v>
      </c>
      <c r="E143" s="35" t="s">
        <v>38</v>
      </c>
      <c r="F143" s="36" t="s">
        <v>323</v>
      </c>
      <c r="G143" s="36" t="s">
        <v>487</v>
      </c>
      <c r="H143" s="37">
        <v>46086</v>
      </c>
      <c r="I143" s="37"/>
      <c r="J143" s="37"/>
      <c r="K143" s="36"/>
    </row>
    <row r="144" spans="1:13" hidden="1" x14ac:dyDescent="0.35">
      <c r="A144" s="32">
        <v>688</v>
      </c>
      <c r="B144" s="32">
        <v>6209</v>
      </c>
      <c r="C144" s="33" t="s">
        <v>99</v>
      </c>
      <c r="D144" s="32" t="s">
        <v>7</v>
      </c>
      <c r="E144" s="35" t="s">
        <v>176</v>
      </c>
      <c r="F144" s="36" t="s">
        <v>323</v>
      </c>
      <c r="G144" s="36" t="s">
        <v>381</v>
      </c>
      <c r="H144" s="37">
        <v>46093</v>
      </c>
      <c r="I144" s="37"/>
      <c r="J144" s="37"/>
      <c r="K144" s="36"/>
    </row>
    <row r="145" spans="1:11" hidden="1" x14ac:dyDescent="0.35">
      <c r="A145" s="32">
        <v>74</v>
      </c>
      <c r="B145" s="32">
        <v>6215</v>
      </c>
      <c r="C145" s="33" t="s">
        <v>99</v>
      </c>
      <c r="D145" s="32" t="s">
        <v>7</v>
      </c>
      <c r="E145" s="35" t="s">
        <v>138</v>
      </c>
      <c r="F145" s="36" t="s">
        <v>309</v>
      </c>
      <c r="G145" s="36" t="s">
        <v>519</v>
      </c>
      <c r="H145" s="37">
        <v>46093</v>
      </c>
      <c r="I145" s="37"/>
      <c r="J145" s="37"/>
      <c r="K145" s="36"/>
    </row>
    <row r="146" spans="1:11" hidden="1" x14ac:dyDescent="0.35">
      <c r="A146" s="32">
        <v>178</v>
      </c>
      <c r="B146" s="32">
        <v>6218</v>
      </c>
      <c r="C146" s="33" t="s">
        <v>6</v>
      </c>
      <c r="D146" s="32" t="s">
        <v>7</v>
      </c>
      <c r="E146" s="35" t="s">
        <v>145</v>
      </c>
      <c r="F146" s="36" t="s">
        <v>301</v>
      </c>
      <c r="G146" s="36" t="s">
        <v>382</v>
      </c>
      <c r="H146" s="37">
        <v>46099</v>
      </c>
      <c r="I146" s="37"/>
      <c r="J146" s="37"/>
      <c r="K146" s="36"/>
    </row>
    <row r="147" spans="1:11" hidden="1" x14ac:dyDescent="0.35">
      <c r="A147" s="32">
        <v>236</v>
      </c>
      <c r="B147" s="32">
        <v>6242</v>
      </c>
      <c r="C147" s="33" t="s">
        <v>6</v>
      </c>
      <c r="D147" s="32" t="s">
        <v>7</v>
      </c>
      <c r="E147" s="35" t="s">
        <v>150</v>
      </c>
      <c r="F147" s="36" t="s">
        <v>273</v>
      </c>
      <c r="G147" s="36" t="s">
        <v>383</v>
      </c>
      <c r="H147" s="37">
        <v>46093</v>
      </c>
      <c r="I147" s="37"/>
      <c r="J147" s="37"/>
      <c r="K147" s="36"/>
    </row>
    <row r="148" spans="1:11" hidden="1" x14ac:dyDescent="0.35">
      <c r="A148" s="32">
        <v>231</v>
      </c>
      <c r="B148" s="32">
        <v>6243</v>
      </c>
      <c r="C148" s="33" t="s">
        <v>6</v>
      </c>
      <c r="D148" s="32" t="s">
        <v>7</v>
      </c>
      <c r="E148" s="35" t="s">
        <v>48</v>
      </c>
      <c r="F148" s="36" t="s">
        <v>284</v>
      </c>
      <c r="G148" s="36" t="s">
        <v>384</v>
      </c>
      <c r="H148" s="37">
        <v>46086</v>
      </c>
      <c r="I148" s="37"/>
      <c r="J148" s="37"/>
      <c r="K148" s="36"/>
    </row>
    <row r="149" spans="1:11" hidden="1" x14ac:dyDescent="0.35">
      <c r="A149" s="32">
        <v>79</v>
      </c>
      <c r="B149" s="32">
        <v>6245</v>
      </c>
      <c r="C149" s="33" t="s">
        <v>6</v>
      </c>
      <c r="D149" s="32" t="s">
        <v>7</v>
      </c>
      <c r="E149" s="35" t="s">
        <v>41</v>
      </c>
      <c r="F149" s="36" t="s">
        <v>327</v>
      </c>
      <c r="G149" s="36" t="s">
        <v>385</v>
      </c>
      <c r="H149" s="37">
        <v>46086</v>
      </c>
      <c r="I149" s="37"/>
      <c r="J149" s="37"/>
      <c r="K149" s="36"/>
    </row>
    <row r="150" spans="1:11" hidden="1" x14ac:dyDescent="0.35">
      <c r="A150" s="32">
        <v>78</v>
      </c>
      <c r="B150" s="32">
        <v>6246</v>
      </c>
      <c r="C150" s="33" t="s">
        <v>6</v>
      </c>
      <c r="D150" s="32" t="s">
        <v>7</v>
      </c>
      <c r="E150" s="35" t="s">
        <v>118</v>
      </c>
      <c r="F150" s="36" t="s">
        <v>277</v>
      </c>
      <c r="G150" s="36" t="s">
        <v>444</v>
      </c>
      <c r="H150" s="37">
        <v>46099</v>
      </c>
      <c r="I150" s="37"/>
      <c r="J150" s="37"/>
      <c r="K150" s="36"/>
    </row>
    <row r="151" spans="1:11" hidden="1" x14ac:dyDescent="0.35">
      <c r="A151" s="32">
        <v>718</v>
      </c>
      <c r="B151" s="32">
        <v>6248</v>
      </c>
      <c r="C151" s="33" t="s">
        <v>6</v>
      </c>
      <c r="D151" s="32" t="s">
        <v>7</v>
      </c>
      <c r="E151" s="35" t="s">
        <v>179</v>
      </c>
      <c r="F151" s="36" t="s">
        <v>327</v>
      </c>
      <c r="G151" s="36" t="s">
        <v>380</v>
      </c>
      <c r="H151" s="37">
        <v>46093</v>
      </c>
      <c r="I151" s="37"/>
      <c r="J151" s="37"/>
      <c r="K151" s="36"/>
    </row>
    <row r="152" spans="1:11" hidden="1" x14ac:dyDescent="0.35">
      <c r="A152" s="32">
        <v>477</v>
      </c>
      <c r="B152" s="32">
        <v>6251</v>
      </c>
      <c r="C152" s="33" t="s">
        <v>6</v>
      </c>
      <c r="D152" s="32" t="s">
        <v>7</v>
      </c>
      <c r="E152" s="35" t="s">
        <v>168</v>
      </c>
      <c r="F152" s="36" t="s">
        <v>278</v>
      </c>
      <c r="G152" s="36" t="s">
        <v>520</v>
      </c>
      <c r="H152" s="37">
        <v>46092</v>
      </c>
      <c r="I152" s="37" t="str">
        <f>VLOOKUP(A152,[1]Programación!$A:$J,10,0)</f>
        <v>2 Días</v>
      </c>
      <c r="J152" s="37"/>
      <c r="K152" s="36"/>
    </row>
    <row r="153" spans="1:11" hidden="1" x14ac:dyDescent="0.35">
      <c r="A153" s="32">
        <v>337</v>
      </c>
      <c r="B153" s="32">
        <v>6253</v>
      </c>
      <c r="C153" s="33" t="s">
        <v>6</v>
      </c>
      <c r="D153" s="32" t="s">
        <v>7</v>
      </c>
      <c r="E153" s="35" t="s">
        <v>56</v>
      </c>
      <c r="F153" s="36" t="s">
        <v>314</v>
      </c>
      <c r="G153" s="36" t="s">
        <v>387</v>
      </c>
      <c r="H153" s="37">
        <v>46099</v>
      </c>
      <c r="I153" s="37" t="str">
        <f>VLOOKUP(A153,[1]Programación!$A:$J,10,0)</f>
        <v>2 Días</v>
      </c>
      <c r="J153" s="37"/>
      <c r="K153" s="36"/>
    </row>
    <row r="154" spans="1:11" hidden="1" x14ac:dyDescent="0.35">
      <c r="A154" s="32">
        <v>524</v>
      </c>
      <c r="B154" s="32">
        <v>6336</v>
      </c>
      <c r="C154" s="33" t="s">
        <v>6</v>
      </c>
      <c r="D154" s="32" t="s">
        <v>7</v>
      </c>
      <c r="E154" s="35" t="s">
        <v>25</v>
      </c>
      <c r="F154" s="36" t="s">
        <v>296</v>
      </c>
      <c r="G154" s="36" t="s">
        <v>448</v>
      </c>
      <c r="H154" s="37">
        <v>46093</v>
      </c>
      <c r="I154" s="37"/>
      <c r="J154" s="37"/>
      <c r="K154" s="36"/>
    </row>
    <row r="155" spans="1:11" hidden="1" x14ac:dyDescent="0.35">
      <c r="A155" s="32">
        <v>37</v>
      </c>
      <c r="B155" s="32">
        <v>6406</v>
      </c>
      <c r="C155" s="33" t="s">
        <v>6</v>
      </c>
      <c r="D155" s="32" t="s">
        <v>7</v>
      </c>
      <c r="E155" s="35" t="s">
        <v>35</v>
      </c>
      <c r="F155" s="36" t="s">
        <v>284</v>
      </c>
      <c r="G155" s="36" t="s">
        <v>388</v>
      </c>
      <c r="H155" s="37">
        <v>46093</v>
      </c>
      <c r="I155" s="37"/>
      <c r="J155" s="37"/>
      <c r="K155" s="36"/>
    </row>
    <row r="156" spans="1:11" hidden="1" x14ac:dyDescent="0.35">
      <c r="A156" s="32">
        <v>601</v>
      </c>
      <c r="B156" s="32">
        <v>6407</v>
      </c>
      <c r="C156" s="33" t="s">
        <v>6</v>
      </c>
      <c r="D156" s="32" t="s">
        <v>7</v>
      </c>
      <c r="E156" s="35" t="s">
        <v>26</v>
      </c>
      <c r="F156" s="36" t="s">
        <v>323</v>
      </c>
      <c r="G156" s="36" t="s">
        <v>389</v>
      </c>
      <c r="H156" s="37">
        <v>46098</v>
      </c>
      <c r="I156" s="37"/>
      <c r="J156" s="37"/>
      <c r="K156" s="36"/>
    </row>
    <row r="157" spans="1:11" hidden="1" x14ac:dyDescent="0.35">
      <c r="A157" s="32">
        <v>379</v>
      </c>
      <c r="B157" s="32">
        <v>6465</v>
      </c>
      <c r="C157" s="33" t="s">
        <v>6</v>
      </c>
      <c r="D157" s="32" t="s">
        <v>7</v>
      </c>
      <c r="E157" s="35" t="s">
        <v>199</v>
      </c>
      <c r="F157" s="36" t="s">
        <v>328</v>
      </c>
      <c r="G157" s="36" t="s">
        <v>305</v>
      </c>
      <c r="H157" s="37">
        <v>46092</v>
      </c>
      <c r="I157" s="37"/>
      <c r="J157" s="37"/>
      <c r="K157" s="36"/>
    </row>
    <row r="158" spans="1:11" hidden="1" x14ac:dyDescent="0.35">
      <c r="A158" s="32">
        <v>894</v>
      </c>
      <c r="B158" s="32">
        <v>6466</v>
      </c>
      <c r="C158" s="33" t="s">
        <v>6</v>
      </c>
      <c r="D158" s="32" t="s">
        <v>7</v>
      </c>
      <c r="E158" s="35" t="s">
        <v>195</v>
      </c>
      <c r="F158" s="36" t="s">
        <v>309</v>
      </c>
      <c r="G158" s="36" t="s">
        <v>390</v>
      </c>
      <c r="H158" s="37">
        <v>46100</v>
      </c>
      <c r="I158" s="37"/>
      <c r="J158" s="37"/>
      <c r="K158" s="36"/>
    </row>
    <row r="159" spans="1:11" hidden="1" x14ac:dyDescent="0.35">
      <c r="A159" s="32">
        <v>237</v>
      </c>
      <c r="B159" s="32">
        <v>6467</v>
      </c>
      <c r="C159" s="33" t="s">
        <v>6</v>
      </c>
      <c r="D159" s="32" t="s">
        <v>7</v>
      </c>
      <c r="E159" s="35" t="s">
        <v>49</v>
      </c>
      <c r="F159" s="36" t="s">
        <v>294</v>
      </c>
      <c r="G159" s="36" t="s">
        <v>391</v>
      </c>
      <c r="H159" s="37">
        <v>46093</v>
      </c>
      <c r="I159" s="37"/>
      <c r="J159" s="37"/>
      <c r="K159" s="36"/>
    </row>
    <row r="160" spans="1:11" hidden="1" x14ac:dyDescent="0.35">
      <c r="A160" s="32">
        <v>202</v>
      </c>
      <c r="B160" s="32">
        <v>6608</v>
      </c>
      <c r="C160" s="33" t="s">
        <v>6</v>
      </c>
      <c r="D160" s="32" t="s">
        <v>7</v>
      </c>
      <c r="E160" s="35" t="s">
        <v>147</v>
      </c>
      <c r="F160" s="36" t="s">
        <v>323</v>
      </c>
      <c r="G160" s="36" t="s">
        <v>392</v>
      </c>
      <c r="H160" s="37">
        <v>46098</v>
      </c>
      <c r="I160" s="37"/>
      <c r="J160" s="37"/>
      <c r="K160" s="36"/>
    </row>
    <row r="161" spans="1:11" hidden="1" x14ac:dyDescent="0.35">
      <c r="A161" s="32">
        <v>317</v>
      </c>
      <c r="B161" s="32">
        <v>6613</v>
      </c>
      <c r="C161" s="33" t="s">
        <v>99</v>
      </c>
      <c r="D161" s="32" t="s">
        <v>7</v>
      </c>
      <c r="E161" s="35" t="s">
        <v>119</v>
      </c>
      <c r="F161" s="36" t="s">
        <v>307</v>
      </c>
      <c r="G161" s="36" t="s">
        <v>393</v>
      </c>
      <c r="H161" s="37">
        <v>46099</v>
      </c>
      <c r="I161" s="37"/>
      <c r="J161" s="37"/>
      <c r="K161" s="36"/>
    </row>
    <row r="162" spans="1:11" hidden="1" x14ac:dyDescent="0.35">
      <c r="A162" s="32">
        <v>352</v>
      </c>
      <c r="B162" s="32">
        <v>6618</v>
      </c>
      <c r="C162" s="33" t="s">
        <v>6</v>
      </c>
      <c r="D162" s="32" t="s">
        <v>7</v>
      </c>
      <c r="E162" s="35" t="s">
        <v>159</v>
      </c>
      <c r="F162" s="36" t="s">
        <v>298</v>
      </c>
      <c r="G162" s="36" t="s">
        <v>488</v>
      </c>
      <c r="H162" s="37">
        <v>46091</v>
      </c>
      <c r="I162" s="37"/>
      <c r="J162" s="37"/>
      <c r="K162" s="36"/>
    </row>
    <row r="163" spans="1:11" hidden="1" x14ac:dyDescent="0.35">
      <c r="A163" s="32">
        <v>138</v>
      </c>
      <c r="B163" s="32">
        <v>6628</v>
      </c>
      <c r="C163" s="33" t="s">
        <v>99</v>
      </c>
      <c r="D163" s="32" t="s">
        <v>7</v>
      </c>
      <c r="E163" s="35" t="s">
        <v>142</v>
      </c>
      <c r="F163" s="36" t="s">
        <v>363</v>
      </c>
      <c r="G163" s="36" t="s">
        <v>394</v>
      </c>
      <c r="H163" s="37">
        <v>46093</v>
      </c>
      <c r="I163" s="37"/>
      <c r="J163" s="37"/>
      <c r="K163" s="36"/>
    </row>
    <row r="164" spans="1:11" hidden="1" x14ac:dyDescent="0.35">
      <c r="A164" s="32">
        <v>613</v>
      </c>
      <c r="B164" s="32">
        <v>6713</v>
      </c>
      <c r="C164" s="33" t="s">
        <v>99</v>
      </c>
      <c r="D164" s="32" t="s">
        <v>7</v>
      </c>
      <c r="E164" s="35" t="s">
        <v>172</v>
      </c>
      <c r="F164" s="36" t="s">
        <v>273</v>
      </c>
      <c r="G164" s="36" t="s">
        <v>395</v>
      </c>
      <c r="H164" s="37">
        <v>46093</v>
      </c>
      <c r="I164" s="37"/>
      <c r="J164" s="37"/>
      <c r="K164" s="36"/>
    </row>
    <row r="165" spans="1:11" hidden="1" x14ac:dyDescent="0.35">
      <c r="A165" s="32">
        <v>764</v>
      </c>
      <c r="B165" s="32">
        <v>6715</v>
      </c>
      <c r="C165" s="33" t="s">
        <v>6</v>
      </c>
      <c r="D165" s="32" t="s">
        <v>7</v>
      </c>
      <c r="E165" s="35" t="s">
        <v>183</v>
      </c>
      <c r="F165" s="36" t="s">
        <v>275</v>
      </c>
      <c r="G165" s="36" t="s">
        <v>396</v>
      </c>
      <c r="H165" s="37">
        <v>46100</v>
      </c>
      <c r="I165" s="37"/>
      <c r="J165" s="37"/>
      <c r="K165" s="36"/>
    </row>
    <row r="166" spans="1:11" hidden="1" x14ac:dyDescent="0.35">
      <c r="A166" s="32">
        <v>843</v>
      </c>
      <c r="B166" s="32">
        <v>6716</v>
      </c>
      <c r="C166" s="33" t="s">
        <v>6</v>
      </c>
      <c r="D166" s="32" t="s">
        <v>7</v>
      </c>
      <c r="E166" s="35" t="s">
        <v>120</v>
      </c>
      <c r="F166" s="36" t="s">
        <v>375</v>
      </c>
      <c r="G166" s="36" t="s">
        <v>673</v>
      </c>
      <c r="H166" s="37">
        <v>46091</v>
      </c>
      <c r="I166" s="37"/>
      <c r="J166" s="37"/>
      <c r="K166" s="36"/>
    </row>
    <row r="167" spans="1:11" hidden="1" x14ac:dyDescent="0.35">
      <c r="A167" s="32">
        <v>371</v>
      </c>
      <c r="B167" s="32">
        <v>6718</v>
      </c>
      <c r="C167" s="33" t="s">
        <v>6</v>
      </c>
      <c r="D167" s="32" t="s">
        <v>7</v>
      </c>
      <c r="E167" s="35" t="s">
        <v>121</v>
      </c>
      <c r="F167" s="36" t="s">
        <v>347</v>
      </c>
      <c r="G167" s="36" t="s">
        <v>397</v>
      </c>
      <c r="H167" s="37">
        <v>46093</v>
      </c>
      <c r="I167" s="37"/>
      <c r="J167" s="37"/>
      <c r="K167" s="36"/>
    </row>
    <row r="168" spans="1:11" hidden="1" x14ac:dyDescent="0.35">
      <c r="A168" s="32">
        <v>348</v>
      </c>
      <c r="B168" s="32">
        <v>6724</v>
      </c>
      <c r="C168" s="33" t="s">
        <v>99</v>
      </c>
      <c r="D168" s="32" t="s">
        <v>7</v>
      </c>
      <c r="E168" s="35" t="s">
        <v>122</v>
      </c>
      <c r="F168" s="36" t="s">
        <v>336</v>
      </c>
      <c r="G168" s="36" t="s">
        <v>398</v>
      </c>
      <c r="H168" s="37">
        <v>46093</v>
      </c>
      <c r="I168" s="37"/>
      <c r="J168" s="37"/>
      <c r="K168" s="36"/>
    </row>
    <row r="169" spans="1:11" hidden="1" x14ac:dyDescent="0.35">
      <c r="A169" s="32">
        <v>96</v>
      </c>
      <c r="B169" s="32">
        <v>6735</v>
      </c>
      <c r="C169" s="33" t="s">
        <v>6</v>
      </c>
      <c r="D169" s="32" t="s">
        <v>7</v>
      </c>
      <c r="E169" s="35" t="s">
        <v>123</v>
      </c>
      <c r="F169" s="36" t="s">
        <v>296</v>
      </c>
      <c r="G169" s="36" t="s">
        <v>513</v>
      </c>
      <c r="H169" s="37">
        <v>46086</v>
      </c>
      <c r="I169" s="37"/>
      <c r="J169" s="37"/>
      <c r="K169" s="36"/>
    </row>
    <row r="170" spans="1:11" hidden="1" x14ac:dyDescent="0.35">
      <c r="A170" s="32">
        <v>888</v>
      </c>
      <c r="B170" s="32">
        <v>6818</v>
      </c>
      <c r="C170" s="34" t="s">
        <v>6</v>
      </c>
      <c r="D170" s="38" t="s">
        <v>7</v>
      </c>
      <c r="E170" s="35" t="s">
        <v>258</v>
      </c>
      <c r="F170" s="36" t="s">
        <v>309</v>
      </c>
      <c r="G170" s="36" t="s">
        <v>521</v>
      </c>
      <c r="H170" s="37">
        <v>46091</v>
      </c>
      <c r="I170" s="37"/>
      <c r="J170" s="37"/>
      <c r="K170" s="36" t="s">
        <v>266</v>
      </c>
    </row>
    <row r="171" spans="1:11" hidden="1" x14ac:dyDescent="0.35">
      <c r="A171" s="32">
        <v>20</v>
      </c>
      <c r="B171" s="32">
        <v>6839</v>
      </c>
      <c r="C171" s="33" t="s">
        <v>6</v>
      </c>
      <c r="D171" s="32" t="s">
        <v>7</v>
      </c>
      <c r="E171" s="35" t="s">
        <v>17</v>
      </c>
      <c r="F171" s="36" t="s">
        <v>277</v>
      </c>
      <c r="G171" s="36" t="s">
        <v>386</v>
      </c>
      <c r="H171" s="37">
        <v>46093</v>
      </c>
      <c r="I171" s="37"/>
      <c r="J171" s="37"/>
      <c r="K171" s="36"/>
    </row>
    <row r="172" spans="1:11" hidden="1" x14ac:dyDescent="0.35">
      <c r="A172" s="32">
        <v>741</v>
      </c>
      <c r="B172" s="32">
        <v>6843</v>
      </c>
      <c r="C172" s="33" t="s">
        <v>99</v>
      </c>
      <c r="D172" s="32" t="s">
        <v>7</v>
      </c>
      <c r="E172" s="35" t="s">
        <v>203</v>
      </c>
      <c r="F172" s="36" t="s">
        <v>275</v>
      </c>
      <c r="G172" s="36" t="s">
        <v>399</v>
      </c>
      <c r="H172" s="37">
        <v>46099</v>
      </c>
      <c r="I172" s="37" t="str">
        <f>VLOOKUP(A172,[1]Programación!$A:$J,10,0)</f>
        <v>2 Días</v>
      </c>
      <c r="J172" s="37"/>
      <c r="K172" s="36"/>
    </row>
    <row r="173" spans="1:11" hidden="1" x14ac:dyDescent="0.35">
      <c r="A173" s="32">
        <v>796</v>
      </c>
      <c r="B173" s="32">
        <v>6911</v>
      </c>
      <c r="C173" s="33" t="s">
        <v>6</v>
      </c>
      <c r="D173" s="32" t="s">
        <v>7</v>
      </c>
      <c r="E173" s="35" t="s">
        <v>186</v>
      </c>
      <c r="F173" s="36" t="s">
        <v>289</v>
      </c>
      <c r="G173" s="36" t="s">
        <v>400</v>
      </c>
      <c r="H173" s="37">
        <v>46098</v>
      </c>
      <c r="I173" s="37"/>
      <c r="J173" s="37"/>
      <c r="K173" s="36"/>
    </row>
    <row r="174" spans="1:11" hidden="1" x14ac:dyDescent="0.35">
      <c r="A174" s="32">
        <v>536</v>
      </c>
      <c r="B174" s="32">
        <v>6927</v>
      </c>
      <c r="C174" s="33" t="s">
        <v>99</v>
      </c>
      <c r="D174" s="32" t="s">
        <v>7</v>
      </c>
      <c r="E174" s="35" t="s">
        <v>124</v>
      </c>
      <c r="F174" s="36" t="s">
        <v>339</v>
      </c>
      <c r="G174" s="36" t="s">
        <v>401</v>
      </c>
      <c r="H174" s="37">
        <v>46092</v>
      </c>
      <c r="I174" s="37"/>
      <c r="J174" s="37"/>
      <c r="K174" s="36"/>
    </row>
    <row r="175" spans="1:11" hidden="1" x14ac:dyDescent="0.35">
      <c r="A175" s="32">
        <v>658</v>
      </c>
      <c r="B175" s="32">
        <v>7074</v>
      </c>
      <c r="C175" s="33" t="s">
        <v>99</v>
      </c>
      <c r="D175" s="32" t="s">
        <v>7</v>
      </c>
      <c r="E175" s="35" t="s">
        <v>174</v>
      </c>
      <c r="F175" s="36" t="s">
        <v>323</v>
      </c>
      <c r="G175" s="36" t="s">
        <v>402</v>
      </c>
      <c r="H175" s="37">
        <v>46099</v>
      </c>
      <c r="I175" s="37" t="str">
        <f>VLOOKUP(A175,[1]Programación!$A:$J,10,0)</f>
        <v>2 Días</v>
      </c>
      <c r="J175" s="37"/>
      <c r="K175" s="36"/>
    </row>
    <row r="176" spans="1:11" hidden="1" x14ac:dyDescent="0.35">
      <c r="A176" s="32">
        <v>306</v>
      </c>
      <c r="B176" s="32">
        <v>7097</v>
      </c>
      <c r="C176" s="33" t="s">
        <v>99</v>
      </c>
      <c r="D176" s="32" t="s">
        <v>7</v>
      </c>
      <c r="E176" s="35" t="s">
        <v>125</v>
      </c>
      <c r="F176" s="36" t="s">
        <v>289</v>
      </c>
      <c r="G176" s="36" t="s">
        <v>674</v>
      </c>
      <c r="H176" s="37">
        <v>46099</v>
      </c>
      <c r="I176" s="37"/>
      <c r="J176" s="37"/>
      <c r="K176" s="36"/>
    </row>
    <row r="177" spans="1:11" hidden="1" x14ac:dyDescent="0.35">
      <c r="A177" s="32">
        <v>549</v>
      </c>
      <c r="B177" s="32">
        <v>7123</v>
      </c>
      <c r="C177" s="33" t="s">
        <v>6</v>
      </c>
      <c r="D177" s="32" t="s">
        <v>7</v>
      </c>
      <c r="E177" s="35" t="s">
        <v>205</v>
      </c>
      <c r="F177" s="36" t="s">
        <v>339</v>
      </c>
      <c r="G177" s="36" t="s">
        <v>403</v>
      </c>
      <c r="H177" s="37">
        <v>46093</v>
      </c>
      <c r="I177" s="37"/>
      <c r="J177" s="37"/>
      <c r="K177" s="36"/>
    </row>
    <row r="178" spans="1:11" hidden="1" x14ac:dyDescent="0.35">
      <c r="A178" s="32">
        <v>677</v>
      </c>
      <c r="B178" s="32">
        <v>7124</v>
      </c>
      <c r="C178" s="33" t="s">
        <v>99</v>
      </c>
      <c r="D178" s="32" t="s">
        <v>7</v>
      </c>
      <c r="E178" s="35" t="s">
        <v>175</v>
      </c>
      <c r="F178" s="36" t="s">
        <v>347</v>
      </c>
      <c r="G178" s="49" t="s">
        <v>675</v>
      </c>
      <c r="H178" s="37">
        <v>46092</v>
      </c>
      <c r="I178" s="37"/>
      <c r="J178" s="37"/>
      <c r="K178" s="36"/>
    </row>
    <row r="179" spans="1:11" hidden="1" x14ac:dyDescent="0.35">
      <c r="A179" s="32">
        <v>484</v>
      </c>
      <c r="B179" s="32">
        <v>7125</v>
      </c>
      <c r="C179" s="33" t="s">
        <v>99</v>
      </c>
      <c r="D179" s="32" t="s">
        <v>7</v>
      </c>
      <c r="E179" s="35" t="s">
        <v>169</v>
      </c>
      <c r="F179" s="36" t="s">
        <v>347</v>
      </c>
      <c r="G179" s="36" t="s">
        <v>404</v>
      </c>
      <c r="H179" s="37">
        <v>46092</v>
      </c>
      <c r="I179" s="37"/>
      <c r="J179" s="37"/>
      <c r="K179" s="36"/>
    </row>
    <row r="180" spans="1:11" hidden="1" x14ac:dyDescent="0.35">
      <c r="A180" s="32">
        <v>93</v>
      </c>
      <c r="B180" s="32">
        <v>7126</v>
      </c>
      <c r="C180" s="33" t="s">
        <v>6</v>
      </c>
      <c r="D180" s="32" t="s">
        <v>7</v>
      </c>
      <c r="E180" s="35" t="s">
        <v>140</v>
      </c>
      <c r="F180" s="36" t="s">
        <v>347</v>
      </c>
      <c r="G180" s="36" t="s">
        <v>405</v>
      </c>
      <c r="H180" s="37">
        <v>46099</v>
      </c>
      <c r="I180" s="37"/>
      <c r="J180" s="37"/>
      <c r="K180" s="36"/>
    </row>
    <row r="181" spans="1:11" hidden="1" x14ac:dyDescent="0.35">
      <c r="A181" s="32">
        <v>123</v>
      </c>
      <c r="B181" s="32">
        <v>7134</v>
      </c>
      <c r="C181" s="33" t="s">
        <v>99</v>
      </c>
      <c r="D181" s="32" t="s">
        <v>7</v>
      </c>
      <c r="E181" s="35" t="s">
        <v>126</v>
      </c>
      <c r="F181" s="36" t="s">
        <v>304</v>
      </c>
      <c r="G181" s="36" t="s">
        <v>510</v>
      </c>
      <c r="H181" s="37">
        <v>46099</v>
      </c>
      <c r="I181" s="37" t="str">
        <f>VLOOKUP(A181,[1]Programación!$A:$J,10,0)</f>
        <v>2 Días</v>
      </c>
      <c r="J181" s="37"/>
      <c r="K181" s="36"/>
    </row>
    <row r="182" spans="1:11" hidden="1" x14ac:dyDescent="0.35">
      <c r="A182" s="32">
        <v>385</v>
      </c>
      <c r="B182" s="32">
        <v>7139</v>
      </c>
      <c r="C182" s="33" t="s">
        <v>6</v>
      </c>
      <c r="D182" s="32" t="s">
        <v>7</v>
      </c>
      <c r="E182" s="35" t="s">
        <v>127</v>
      </c>
      <c r="F182" s="36" t="s">
        <v>363</v>
      </c>
      <c r="G182" s="36" t="s">
        <v>927</v>
      </c>
      <c r="H182" s="37">
        <v>46093</v>
      </c>
      <c r="I182" s="37"/>
      <c r="J182" s="37"/>
      <c r="K182" s="36"/>
    </row>
    <row r="183" spans="1:11" hidden="1" x14ac:dyDescent="0.35">
      <c r="A183" s="32">
        <v>233</v>
      </c>
      <c r="B183" s="32">
        <v>7212</v>
      </c>
      <c r="C183" s="33" t="s">
        <v>6</v>
      </c>
      <c r="D183" s="32" t="s">
        <v>7</v>
      </c>
      <c r="E183" s="35" t="s">
        <v>149</v>
      </c>
      <c r="F183" s="36" t="s">
        <v>287</v>
      </c>
      <c r="G183" s="36" t="s">
        <v>406</v>
      </c>
      <c r="H183" s="37">
        <v>46093</v>
      </c>
      <c r="I183" s="37"/>
      <c r="J183" s="37"/>
      <c r="K183" s="36"/>
    </row>
    <row r="184" spans="1:11" hidden="1" x14ac:dyDescent="0.35">
      <c r="A184" s="32">
        <v>8</v>
      </c>
      <c r="B184" s="32">
        <v>7272</v>
      </c>
      <c r="C184" s="33" t="s">
        <v>99</v>
      </c>
      <c r="D184" s="32" t="s">
        <v>7</v>
      </c>
      <c r="E184" s="35" t="s">
        <v>136</v>
      </c>
      <c r="F184" s="36" t="s">
        <v>493</v>
      </c>
      <c r="G184" s="36" t="s">
        <v>324</v>
      </c>
      <c r="H184" s="37">
        <v>46099</v>
      </c>
      <c r="I184" s="37"/>
      <c r="J184" s="37"/>
      <c r="K184" s="36"/>
    </row>
    <row r="185" spans="1:11" hidden="1" x14ac:dyDescent="0.35">
      <c r="A185" s="32">
        <v>506</v>
      </c>
      <c r="B185" s="32">
        <v>7316</v>
      </c>
      <c r="C185" s="33" t="s">
        <v>99</v>
      </c>
      <c r="D185" s="32" t="s">
        <v>7</v>
      </c>
      <c r="E185" s="35" t="s">
        <v>128</v>
      </c>
      <c r="F185" s="36" t="s">
        <v>347</v>
      </c>
      <c r="G185" s="36" t="s">
        <v>489</v>
      </c>
      <c r="H185" s="37">
        <v>46091</v>
      </c>
      <c r="I185" s="37"/>
      <c r="J185" s="37"/>
      <c r="K185" s="36"/>
    </row>
    <row r="186" spans="1:11" hidden="1" x14ac:dyDescent="0.35">
      <c r="A186" s="32">
        <v>651</v>
      </c>
      <c r="B186" s="32">
        <v>7318</v>
      </c>
      <c r="C186" s="33" t="s">
        <v>99</v>
      </c>
      <c r="D186" s="32" t="s">
        <v>7</v>
      </c>
      <c r="E186" s="35" t="s">
        <v>173</v>
      </c>
      <c r="F186" s="36" t="s">
        <v>339</v>
      </c>
      <c r="G186" s="36" t="s">
        <v>407</v>
      </c>
      <c r="H186" s="37">
        <v>46091</v>
      </c>
      <c r="I186" s="37"/>
      <c r="J186" s="37"/>
      <c r="K186" s="36"/>
    </row>
    <row r="187" spans="1:11" hidden="1" x14ac:dyDescent="0.35">
      <c r="A187" s="32">
        <v>389</v>
      </c>
      <c r="B187" s="32">
        <v>7327</v>
      </c>
      <c r="C187" s="33" t="s">
        <v>6</v>
      </c>
      <c r="D187" s="32" t="s">
        <v>7</v>
      </c>
      <c r="E187" s="35" t="s">
        <v>163</v>
      </c>
      <c r="F187" s="36" t="s">
        <v>327</v>
      </c>
      <c r="G187" s="36" t="s">
        <v>408</v>
      </c>
      <c r="H187" s="37">
        <v>46099</v>
      </c>
      <c r="I187" s="37"/>
      <c r="J187" s="37"/>
      <c r="K187" s="36"/>
    </row>
    <row r="188" spans="1:11" hidden="1" x14ac:dyDescent="0.35">
      <c r="A188" s="32">
        <v>41</v>
      </c>
      <c r="B188" s="32">
        <v>7341</v>
      </c>
      <c r="C188" s="33" t="s">
        <v>99</v>
      </c>
      <c r="D188" s="32" t="s">
        <v>7</v>
      </c>
      <c r="E188" s="35" t="s">
        <v>129</v>
      </c>
      <c r="F188" s="36" t="s">
        <v>284</v>
      </c>
      <c r="G188" s="36" t="s">
        <v>409</v>
      </c>
      <c r="H188" s="37">
        <v>46091</v>
      </c>
      <c r="I188" s="37"/>
      <c r="J188" s="37"/>
      <c r="K188" s="36"/>
    </row>
    <row r="189" spans="1:11" hidden="1" x14ac:dyDescent="0.35">
      <c r="A189" s="32">
        <v>848</v>
      </c>
      <c r="B189" s="32">
        <v>7374</v>
      </c>
      <c r="C189" s="33" t="s">
        <v>99</v>
      </c>
      <c r="D189" s="32" t="s">
        <v>7</v>
      </c>
      <c r="E189" s="35" t="s">
        <v>190</v>
      </c>
      <c r="F189" s="36" t="s">
        <v>308</v>
      </c>
      <c r="G189" s="36" t="s">
        <v>676</v>
      </c>
      <c r="H189" s="37">
        <v>46099</v>
      </c>
      <c r="I189" s="37"/>
      <c r="J189" s="37"/>
      <c r="K189" s="36"/>
    </row>
    <row r="190" spans="1:11" hidden="1" x14ac:dyDescent="0.35">
      <c r="A190" s="32">
        <v>623</v>
      </c>
      <c r="B190" s="32">
        <v>7375</v>
      </c>
      <c r="C190" s="33" t="s">
        <v>6</v>
      </c>
      <c r="D190" s="32" t="s">
        <v>7</v>
      </c>
      <c r="E190" s="35" t="s">
        <v>66</v>
      </c>
      <c r="F190" s="36" t="s">
        <v>292</v>
      </c>
      <c r="G190" s="36" t="s">
        <v>312</v>
      </c>
      <c r="H190" s="37">
        <v>46086</v>
      </c>
      <c r="I190" s="37"/>
      <c r="J190" s="37"/>
      <c r="K190" s="36"/>
    </row>
    <row r="191" spans="1:11" hidden="1" x14ac:dyDescent="0.35">
      <c r="A191" s="32">
        <v>172</v>
      </c>
      <c r="B191" s="32">
        <v>7429</v>
      </c>
      <c r="C191" s="33" t="s">
        <v>6</v>
      </c>
      <c r="D191" s="32" t="s">
        <v>7</v>
      </c>
      <c r="E191" s="35" t="s">
        <v>144</v>
      </c>
      <c r="F191" s="36" t="s">
        <v>323</v>
      </c>
      <c r="G191" s="36" t="s">
        <v>410</v>
      </c>
      <c r="H191" s="37">
        <v>46092</v>
      </c>
      <c r="I191" s="37"/>
      <c r="J191" s="37"/>
      <c r="K191" s="36"/>
    </row>
    <row r="192" spans="1:11" hidden="1" x14ac:dyDescent="0.35">
      <c r="A192" s="32">
        <v>332</v>
      </c>
      <c r="B192" s="32">
        <v>7569</v>
      </c>
      <c r="C192" s="33" t="s">
        <v>6</v>
      </c>
      <c r="D192" s="32" t="s">
        <v>7</v>
      </c>
      <c r="E192" s="35" t="s">
        <v>55</v>
      </c>
      <c r="F192" s="36" t="s">
        <v>314</v>
      </c>
      <c r="G192" s="36" t="s">
        <v>411</v>
      </c>
      <c r="H192" s="37">
        <v>46100</v>
      </c>
      <c r="I192" s="37"/>
      <c r="J192" s="37"/>
      <c r="K192" s="36"/>
    </row>
    <row r="193" spans="1:11" hidden="1" x14ac:dyDescent="0.35">
      <c r="A193" s="32">
        <v>812</v>
      </c>
      <c r="B193" s="32">
        <v>7613</v>
      </c>
      <c r="C193" s="33" t="s">
        <v>99</v>
      </c>
      <c r="D193" s="32" t="s">
        <v>7</v>
      </c>
      <c r="E193" s="35" t="s">
        <v>188</v>
      </c>
      <c r="F193" s="36" t="s">
        <v>275</v>
      </c>
      <c r="G193" s="36" t="s">
        <v>346</v>
      </c>
      <c r="H193" s="37">
        <v>46091</v>
      </c>
      <c r="I193" s="37"/>
      <c r="J193" s="37"/>
      <c r="K193" s="36"/>
    </row>
    <row r="194" spans="1:11" hidden="1" x14ac:dyDescent="0.35">
      <c r="A194" s="32">
        <v>812</v>
      </c>
      <c r="B194" s="32">
        <v>7614</v>
      </c>
      <c r="C194" s="33" t="s">
        <v>99</v>
      </c>
      <c r="D194" s="32" t="s">
        <v>7</v>
      </c>
      <c r="E194" s="35" t="s">
        <v>188</v>
      </c>
      <c r="F194" s="36" t="s">
        <v>275</v>
      </c>
      <c r="G194" s="36" t="s">
        <v>346</v>
      </c>
      <c r="H194" s="37">
        <v>46091</v>
      </c>
      <c r="I194" s="37"/>
      <c r="J194" s="37"/>
      <c r="K194" s="36"/>
    </row>
    <row r="195" spans="1:11" hidden="1" x14ac:dyDescent="0.35">
      <c r="A195" s="32">
        <v>318</v>
      </c>
      <c r="B195" s="32">
        <v>7680</v>
      </c>
      <c r="C195" s="33" t="s">
        <v>6</v>
      </c>
      <c r="D195" s="32" t="s">
        <v>7</v>
      </c>
      <c r="E195" s="35" t="s">
        <v>112</v>
      </c>
      <c r="F195" s="36" t="s">
        <v>307</v>
      </c>
      <c r="G195" s="36" t="s">
        <v>341</v>
      </c>
      <c r="H195" s="37">
        <v>46091</v>
      </c>
      <c r="I195" s="37" t="str">
        <f>VLOOKUP(A195,[1]Programación!$A:$J,10,0)</f>
        <v>2 Días</v>
      </c>
      <c r="J195" s="37"/>
      <c r="K195" s="36"/>
    </row>
    <row r="196" spans="1:11" hidden="1" x14ac:dyDescent="0.35">
      <c r="A196" s="32">
        <v>476</v>
      </c>
      <c r="B196" s="32">
        <v>7759</v>
      </c>
      <c r="C196" s="33" t="s">
        <v>99</v>
      </c>
      <c r="D196" s="32" t="s">
        <v>7</v>
      </c>
      <c r="E196" s="35" t="s">
        <v>167</v>
      </c>
      <c r="F196" s="36" t="s">
        <v>307</v>
      </c>
      <c r="G196" s="36" t="s">
        <v>677</v>
      </c>
      <c r="H196" s="37">
        <v>46091</v>
      </c>
      <c r="I196" s="37"/>
      <c r="J196" s="37"/>
      <c r="K196" s="36"/>
    </row>
    <row r="197" spans="1:11" hidden="1" x14ac:dyDescent="0.35">
      <c r="A197" s="32">
        <v>7</v>
      </c>
      <c r="B197" s="32">
        <v>7812</v>
      </c>
      <c r="C197" s="33" t="s">
        <v>99</v>
      </c>
      <c r="D197" s="32" t="s">
        <v>7</v>
      </c>
      <c r="E197" s="35" t="s">
        <v>102</v>
      </c>
      <c r="F197" s="36" t="s">
        <v>273</v>
      </c>
      <c r="G197" s="36" t="s">
        <v>318</v>
      </c>
      <c r="H197" s="37">
        <v>46091</v>
      </c>
      <c r="I197" s="37"/>
      <c r="J197" s="37"/>
      <c r="K197" s="36"/>
    </row>
    <row r="198" spans="1:11" hidden="1" x14ac:dyDescent="0.35">
      <c r="A198" s="32">
        <v>609</v>
      </c>
      <c r="B198" s="32">
        <v>7875</v>
      </c>
      <c r="C198" s="33" t="s">
        <v>6</v>
      </c>
      <c r="D198" s="32" t="s">
        <v>7</v>
      </c>
      <c r="E198" s="35" t="s">
        <v>204</v>
      </c>
      <c r="F198" s="36" t="s">
        <v>285</v>
      </c>
      <c r="G198" s="36" t="s">
        <v>412</v>
      </c>
      <c r="H198" s="37">
        <v>46098</v>
      </c>
      <c r="I198" s="37"/>
      <c r="J198" s="37"/>
      <c r="K198" s="36"/>
    </row>
    <row r="199" spans="1:11" hidden="1" x14ac:dyDescent="0.35">
      <c r="A199" s="32">
        <v>609</v>
      </c>
      <c r="B199" s="32">
        <v>7888</v>
      </c>
      <c r="C199" s="33" t="s">
        <v>6</v>
      </c>
      <c r="D199" s="32" t="s">
        <v>7</v>
      </c>
      <c r="E199" s="35" t="s">
        <v>204</v>
      </c>
      <c r="F199" s="36" t="s">
        <v>285</v>
      </c>
      <c r="G199" s="36" t="s">
        <v>412</v>
      </c>
      <c r="H199" s="37">
        <v>46098</v>
      </c>
      <c r="I199" s="37"/>
      <c r="J199" s="37"/>
      <c r="K199" s="36"/>
    </row>
    <row r="200" spans="1:11" hidden="1" x14ac:dyDescent="0.35">
      <c r="A200" s="32">
        <v>166</v>
      </c>
      <c r="B200" s="32">
        <v>7939</v>
      </c>
      <c r="C200" s="33" t="s">
        <v>6</v>
      </c>
      <c r="D200" s="32" t="s">
        <v>7</v>
      </c>
      <c r="E200" s="35" t="s">
        <v>27</v>
      </c>
      <c r="F200" s="36" t="s">
        <v>347</v>
      </c>
      <c r="G200" s="36" t="s">
        <v>413</v>
      </c>
      <c r="H200" s="37">
        <v>46091</v>
      </c>
      <c r="I200" s="37"/>
      <c r="J200" s="37"/>
      <c r="K200" s="36"/>
    </row>
    <row r="201" spans="1:11" hidden="1" x14ac:dyDescent="0.35">
      <c r="A201" s="32">
        <v>166</v>
      </c>
      <c r="B201" s="32">
        <v>7940</v>
      </c>
      <c r="C201" s="33" t="s">
        <v>6</v>
      </c>
      <c r="D201" s="32" t="s">
        <v>7</v>
      </c>
      <c r="E201" s="35" t="s">
        <v>27</v>
      </c>
      <c r="F201" s="36" t="s">
        <v>347</v>
      </c>
      <c r="G201" s="36" t="s">
        <v>413</v>
      </c>
      <c r="H201" s="37">
        <v>46091</v>
      </c>
      <c r="I201" s="37"/>
      <c r="J201" s="37"/>
      <c r="K201" s="36"/>
    </row>
    <row r="202" spans="1:11" hidden="1" x14ac:dyDescent="0.35">
      <c r="A202" s="32">
        <v>91</v>
      </c>
      <c r="B202" s="32">
        <v>7943</v>
      </c>
      <c r="C202" s="33" t="s">
        <v>99</v>
      </c>
      <c r="D202" s="32" t="s">
        <v>7</v>
      </c>
      <c r="E202" s="35" t="s">
        <v>113</v>
      </c>
      <c r="F202" s="36" t="s">
        <v>347</v>
      </c>
      <c r="G202" s="36" t="s">
        <v>416</v>
      </c>
      <c r="H202" s="37">
        <v>46092</v>
      </c>
      <c r="I202" s="37" t="str">
        <f>VLOOKUP(A202,[1]Programación!$A:$J,10,0)</f>
        <v>2 Días</v>
      </c>
      <c r="J202" s="37"/>
      <c r="K202" s="36"/>
    </row>
    <row r="203" spans="1:11" hidden="1" x14ac:dyDescent="0.35">
      <c r="A203" s="32">
        <v>693</v>
      </c>
      <c r="B203" s="32">
        <v>7979</v>
      </c>
      <c r="C203" s="33" t="s">
        <v>6</v>
      </c>
      <c r="D203" s="32" t="s">
        <v>7</v>
      </c>
      <c r="E203" s="35" t="s">
        <v>76</v>
      </c>
      <c r="F203" s="36" t="s">
        <v>328</v>
      </c>
      <c r="G203" s="36" t="s">
        <v>414</v>
      </c>
      <c r="H203" s="37">
        <v>46093</v>
      </c>
      <c r="I203" s="37"/>
      <c r="J203" s="37"/>
      <c r="K203" s="36"/>
    </row>
    <row r="204" spans="1:11" hidden="1" x14ac:dyDescent="0.35">
      <c r="A204" s="32">
        <v>419</v>
      </c>
      <c r="B204" s="32">
        <v>7980</v>
      </c>
      <c r="C204" s="33" t="s">
        <v>6</v>
      </c>
      <c r="D204" s="32" t="s">
        <v>7</v>
      </c>
      <c r="E204" s="35" t="s">
        <v>105</v>
      </c>
      <c r="F204" s="36" t="s">
        <v>323</v>
      </c>
      <c r="G204" s="36" t="s">
        <v>447</v>
      </c>
      <c r="H204" s="37">
        <v>46091</v>
      </c>
      <c r="I204" s="37"/>
      <c r="J204" s="37"/>
      <c r="K204" s="36"/>
    </row>
    <row r="205" spans="1:11" hidden="1" x14ac:dyDescent="0.35">
      <c r="A205" s="32">
        <v>453</v>
      </c>
      <c r="B205" s="32">
        <v>8018</v>
      </c>
      <c r="C205" s="33" t="s">
        <v>6</v>
      </c>
      <c r="D205" s="32" t="s">
        <v>7</v>
      </c>
      <c r="E205" s="35" t="s">
        <v>208</v>
      </c>
      <c r="F205" s="36" t="s">
        <v>282</v>
      </c>
      <c r="G205" s="36" t="s">
        <v>415</v>
      </c>
      <c r="H205" s="37">
        <v>46093</v>
      </c>
      <c r="I205" s="37"/>
      <c r="J205" s="37"/>
      <c r="K205" s="36"/>
    </row>
    <row r="206" spans="1:11" hidden="1" x14ac:dyDescent="0.35">
      <c r="A206" s="32">
        <v>453</v>
      </c>
      <c r="B206" s="32">
        <v>8019</v>
      </c>
      <c r="C206" s="33" t="s">
        <v>6</v>
      </c>
      <c r="D206" s="32" t="s">
        <v>7</v>
      </c>
      <c r="E206" s="35" t="s">
        <v>208</v>
      </c>
      <c r="F206" s="36" t="s">
        <v>282</v>
      </c>
      <c r="G206" s="36" t="s">
        <v>415</v>
      </c>
      <c r="H206" s="37">
        <v>46093</v>
      </c>
      <c r="I206" s="37"/>
      <c r="J206" s="37"/>
      <c r="K206" s="36"/>
    </row>
    <row r="207" spans="1:11" hidden="1" x14ac:dyDescent="0.35">
      <c r="A207" s="32">
        <v>725</v>
      </c>
      <c r="B207" s="32">
        <v>8090</v>
      </c>
      <c r="C207" s="33" t="s">
        <v>6</v>
      </c>
      <c r="D207" s="32" t="s">
        <v>7</v>
      </c>
      <c r="E207" s="35" t="s">
        <v>78</v>
      </c>
      <c r="F207" s="36" t="s">
        <v>292</v>
      </c>
      <c r="G207" s="36" t="s">
        <v>669</v>
      </c>
      <c r="H207" s="37">
        <v>46092</v>
      </c>
      <c r="I207" s="37"/>
      <c r="J207" s="37"/>
      <c r="K207" s="36"/>
    </row>
    <row r="208" spans="1:11" hidden="1" x14ac:dyDescent="0.35">
      <c r="A208" s="32">
        <v>569</v>
      </c>
      <c r="B208" s="32">
        <v>8129</v>
      </c>
      <c r="C208" s="33" t="s">
        <v>99</v>
      </c>
      <c r="D208" s="32" t="s">
        <v>7</v>
      </c>
      <c r="E208" s="35" t="s">
        <v>130</v>
      </c>
      <c r="F208" s="36" t="s">
        <v>347</v>
      </c>
      <c r="G208" s="36" t="s">
        <v>522</v>
      </c>
      <c r="H208" s="37">
        <v>46091</v>
      </c>
      <c r="I208" s="37"/>
      <c r="J208" s="37"/>
      <c r="K208" s="36"/>
    </row>
    <row r="209" spans="1:11" hidden="1" x14ac:dyDescent="0.35">
      <c r="A209" s="32">
        <v>291</v>
      </c>
      <c r="B209" s="32">
        <v>8139</v>
      </c>
      <c r="C209" s="33" t="s">
        <v>99</v>
      </c>
      <c r="D209" s="32" t="s">
        <v>7</v>
      </c>
      <c r="E209" s="35" t="s">
        <v>14</v>
      </c>
      <c r="F209" s="36" t="s">
        <v>277</v>
      </c>
      <c r="G209" s="36" t="s">
        <v>280</v>
      </c>
      <c r="H209" s="37">
        <v>46091</v>
      </c>
      <c r="I209" s="37"/>
      <c r="J209" s="37"/>
      <c r="K209" s="36"/>
    </row>
    <row r="210" spans="1:11" hidden="1" x14ac:dyDescent="0.35">
      <c r="A210" s="32">
        <v>810</v>
      </c>
      <c r="B210" s="32">
        <v>8204</v>
      </c>
      <c r="C210" s="33" t="s">
        <v>6</v>
      </c>
      <c r="D210" s="32" t="s">
        <v>7</v>
      </c>
      <c r="E210" s="35" t="s">
        <v>187</v>
      </c>
      <c r="F210" s="36" t="s">
        <v>275</v>
      </c>
      <c r="G210" s="36" t="s">
        <v>452</v>
      </c>
      <c r="H210" s="37">
        <v>46091</v>
      </c>
      <c r="I210" s="37"/>
      <c r="J210" s="37"/>
      <c r="K210" s="36"/>
    </row>
    <row r="211" spans="1:11" hidden="1" x14ac:dyDescent="0.35">
      <c r="A211" s="32">
        <v>554</v>
      </c>
      <c r="B211" s="32">
        <v>8294</v>
      </c>
      <c r="C211" s="33" t="s">
        <v>6</v>
      </c>
      <c r="D211" s="32" t="s">
        <v>7</v>
      </c>
      <c r="E211" s="35" t="s">
        <v>28</v>
      </c>
      <c r="F211" s="36" t="s">
        <v>281</v>
      </c>
      <c r="G211" s="36" t="s">
        <v>502</v>
      </c>
      <c r="H211" s="37">
        <v>46093</v>
      </c>
      <c r="I211" s="37" t="str">
        <f>VLOOKUP(A211,[1]Programación!$A:$J,10,0)</f>
        <v>2 Días</v>
      </c>
      <c r="J211" s="37"/>
      <c r="K211" s="36"/>
    </row>
    <row r="212" spans="1:11" hidden="1" x14ac:dyDescent="0.35">
      <c r="A212" s="32">
        <v>554</v>
      </c>
      <c r="B212" s="32">
        <v>8295</v>
      </c>
      <c r="C212" s="33" t="s">
        <v>6</v>
      </c>
      <c r="D212" s="32" t="s">
        <v>7</v>
      </c>
      <c r="E212" s="35" t="s">
        <v>28</v>
      </c>
      <c r="F212" s="36" t="s">
        <v>281</v>
      </c>
      <c r="G212" s="36" t="s">
        <v>502</v>
      </c>
      <c r="H212" s="37">
        <v>46093</v>
      </c>
      <c r="I212" s="37" t="str">
        <f>VLOOKUP(A212,[1]Programación!$A:$J,10,0)</f>
        <v>2 Días</v>
      </c>
      <c r="J212" s="37"/>
      <c r="K212" s="36"/>
    </row>
    <row r="213" spans="1:11" hidden="1" x14ac:dyDescent="0.35">
      <c r="A213" s="32">
        <v>915</v>
      </c>
      <c r="B213" s="32">
        <v>8313</v>
      </c>
      <c r="C213" s="33" t="s">
        <v>6</v>
      </c>
      <c r="D213" s="32" t="s">
        <v>7</v>
      </c>
      <c r="E213" s="35" t="s">
        <v>94</v>
      </c>
      <c r="F213" s="36" t="s">
        <v>301</v>
      </c>
      <c r="G213" s="36" t="s">
        <v>417</v>
      </c>
      <c r="H213" s="37">
        <v>46092</v>
      </c>
      <c r="I213" s="37"/>
      <c r="J213" s="37"/>
      <c r="K213" s="36"/>
    </row>
    <row r="214" spans="1:11" hidden="1" x14ac:dyDescent="0.35">
      <c r="A214" s="32">
        <v>915</v>
      </c>
      <c r="B214" s="32">
        <v>8314</v>
      </c>
      <c r="C214" s="33" t="s">
        <v>6</v>
      </c>
      <c r="D214" s="32" t="s">
        <v>7</v>
      </c>
      <c r="E214" s="35" t="s">
        <v>94</v>
      </c>
      <c r="F214" s="36" t="s">
        <v>301</v>
      </c>
      <c r="G214" s="36" t="s">
        <v>417</v>
      </c>
      <c r="H214" s="37">
        <v>46092</v>
      </c>
      <c r="I214" s="37"/>
      <c r="J214" s="37"/>
      <c r="K214" s="36"/>
    </row>
    <row r="215" spans="1:11" hidden="1" x14ac:dyDescent="0.35">
      <c r="A215" s="32">
        <v>556</v>
      </c>
      <c r="B215" s="32">
        <v>8333</v>
      </c>
      <c r="C215" s="33" t="s">
        <v>6</v>
      </c>
      <c r="D215" s="32" t="s">
        <v>7</v>
      </c>
      <c r="E215" s="35" t="s">
        <v>29</v>
      </c>
      <c r="F215" s="36" t="s">
        <v>304</v>
      </c>
      <c r="G215" s="36" t="s">
        <v>418</v>
      </c>
      <c r="H215" s="37">
        <v>46093</v>
      </c>
      <c r="I215" s="37"/>
      <c r="J215" s="37"/>
      <c r="K215" s="36"/>
    </row>
    <row r="216" spans="1:11" hidden="1" x14ac:dyDescent="0.35">
      <c r="A216" s="32">
        <v>944</v>
      </c>
      <c r="B216" s="32">
        <v>8353</v>
      </c>
      <c r="C216" s="33" t="s">
        <v>6</v>
      </c>
      <c r="D216" s="32" t="s">
        <v>7</v>
      </c>
      <c r="E216" s="35" t="s">
        <v>132</v>
      </c>
      <c r="F216" s="36" t="s">
        <v>314</v>
      </c>
      <c r="G216" s="36" t="s">
        <v>419</v>
      </c>
      <c r="H216" s="37">
        <v>46098</v>
      </c>
      <c r="I216" s="37"/>
      <c r="J216" s="37"/>
      <c r="K216" s="36"/>
    </row>
    <row r="217" spans="1:11" hidden="1" x14ac:dyDescent="0.35">
      <c r="A217" s="32">
        <v>944</v>
      </c>
      <c r="B217" s="32">
        <v>8354</v>
      </c>
      <c r="C217" s="33" t="s">
        <v>6</v>
      </c>
      <c r="D217" s="32" t="s">
        <v>7</v>
      </c>
      <c r="E217" s="35" t="s">
        <v>132</v>
      </c>
      <c r="F217" s="36" t="s">
        <v>314</v>
      </c>
      <c r="G217" s="36" t="s">
        <v>419</v>
      </c>
      <c r="H217" s="37">
        <v>46098</v>
      </c>
      <c r="I217" s="37"/>
      <c r="J217" s="37"/>
      <c r="K217" s="36"/>
    </row>
    <row r="218" spans="1:11" hidden="1" x14ac:dyDescent="0.35">
      <c r="A218" s="32">
        <v>495</v>
      </c>
      <c r="B218" s="32">
        <v>8482</v>
      </c>
      <c r="C218" s="33" t="s">
        <v>6</v>
      </c>
      <c r="D218" s="32" t="s">
        <v>7</v>
      </c>
      <c r="E218" s="35" t="s">
        <v>62</v>
      </c>
      <c r="F218" s="36" t="s">
        <v>336</v>
      </c>
      <c r="G218" s="36" t="s">
        <v>523</v>
      </c>
      <c r="H218" s="37">
        <v>46091</v>
      </c>
      <c r="I218" s="37" t="str">
        <f>VLOOKUP(A218,[1]Programación!$A:$J,10,0)</f>
        <v>2 Días</v>
      </c>
      <c r="J218" s="37"/>
      <c r="K218" s="36"/>
    </row>
    <row r="219" spans="1:11" hidden="1" x14ac:dyDescent="0.35">
      <c r="A219" s="32">
        <v>236</v>
      </c>
      <c r="B219" s="32">
        <v>8497</v>
      </c>
      <c r="C219" s="33" t="s">
        <v>6</v>
      </c>
      <c r="D219" s="32" t="s">
        <v>7</v>
      </c>
      <c r="E219" s="35" t="s">
        <v>150</v>
      </c>
      <c r="F219" s="36" t="s">
        <v>273</v>
      </c>
      <c r="G219" s="36" t="s">
        <v>383</v>
      </c>
      <c r="H219" s="37">
        <v>46093</v>
      </c>
      <c r="I219" s="37"/>
      <c r="J219" s="37"/>
      <c r="K219" s="36"/>
    </row>
    <row r="220" spans="1:11" hidden="1" x14ac:dyDescent="0.35">
      <c r="A220" s="32">
        <v>193</v>
      </c>
      <c r="B220" s="32">
        <v>8537</v>
      </c>
      <c r="C220" s="33" t="s">
        <v>6</v>
      </c>
      <c r="D220" s="32" t="s">
        <v>7</v>
      </c>
      <c r="E220" s="35" t="s">
        <v>45</v>
      </c>
      <c r="F220" s="36" t="s">
        <v>301</v>
      </c>
      <c r="G220" s="36" t="s">
        <v>420</v>
      </c>
      <c r="H220" s="37">
        <v>46091</v>
      </c>
      <c r="I220" s="37"/>
      <c r="J220" s="37"/>
      <c r="K220" s="36"/>
    </row>
    <row r="221" spans="1:11" hidden="1" x14ac:dyDescent="0.35">
      <c r="A221" s="32">
        <v>15</v>
      </c>
      <c r="B221" s="32">
        <v>8576</v>
      </c>
      <c r="C221" s="33" t="s">
        <v>6</v>
      </c>
      <c r="D221" s="32" t="s">
        <v>7</v>
      </c>
      <c r="E221" s="35" t="s">
        <v>30</v>
      </c>
      <c r="F221" s="36" t="s">
        <v>285</v>
      </c>
      <c r="G221" s="36" t="s">
        <v>421</v>
      </c>
      <c r="H221" s="37">
        <v>46093</v>
      </c>
      <c r="I221" s="37"/>
      <c r="J221" s="37"/>
      <c r="K221" s="36"/>
    </row>
    <row r="222" spans="1:11" hidden="1" x14ac:dyDescent="0.35">
      <c r="A222" s="32">
        <v>15</v>
      </c>
      <c r="B222" s="32">
        <v>8577</v>
      </c>
      <c r="C222" s="33" t="s">
        <v>6</v>
      </c>
      <c r="D222" s="32" t="s">
        <v>7</v>
      </c>
      <c r="E222" s="35" t="s">
        <v>30</v>
      </c>
      <c r="F222" s="36" t="s">
        <v>285</v>
      </c>
      <c r="G222" s="36" t="s">
        <v>421</v>
      </c>
      <c r="H222" s="37">
        <v>46093</v>
      </c>
      <c r="I222" s="37"/>
      <c r="J222" s="37"/>
      <c r="K222" s="36"/>
    </row>
    <row r="223" spans="1:11" hidden="1" x14ac:dyDescent="0.35">
      <c r="A223" s="32">
        <v>15</v>
      </c>
      <c r="B223" s="32">
        <v>8578</v>
      </c>
      <c r="C223" s="33" t="s">
        <v>6</v>
      </c>
      <c r="D223" s="32" t="s">
        <v>7</v>
      </c>
      <c r="E223" s="35" t="s">
        <v>30</v>
      </c>
      <c r="F223" s="36" t="s">
        <v>285</v>
      </c>
      <c r="G223" s="36" t="s">
        <v>421</v>
      </c>
      <c r="H223" s="37">
        <v>46093</v>
      </c>
      <c r="I223" s="37"/>
      <c r="J223" s="37"/>
      <c r="K223" s="36"/>
    </row>
    <row r="224" spans="1:11" hidden="1" x14ac:dyDescent="0.35">
      <c r="A224" s="32">
        <v>728</v>
      </c>
      <c r="B224" s="32">
        <v>8586</v>
      </c>
      <c r="C224" s="33" t="s">
        <v>6</v>
      </c>
      <c r="D224" s="32" t="s">
        <v>7</v>
      </c>
      <c r="E224" s="35" t="s">
        <v>79</v>
      </c>
      <c r="F224" s="36" t="s">
        <v>308</v>
      </c>
      <c r="G224" s="36" t="s">
        <v>422</v>
      </c>
      <c r="H224" s="37">
        <v>46092</v>
      </c>
      <c r="I224" s="37"/>
      <c r="J224" s="37"/>
      <c r="K224" s="36"/>
    </row>
    <row r="225" spans="1:11" hidden="1" x14ac:dyDescent="0.35">
      <c r="A225" s="32">
        <v>728</v>
      </c>
      <c r="B225" s="32">
        <v>8587</v>
      </c>
      <c r="C225" s="33" t="s">
        <v>6</v>
      </c>
      <c r="D225" s="32" t="s">
        <v>7</v>
      </c>
      <c r="E225" s="35" t="s">
        <v>79</v>
      </c>
      <c r="F225" s="36" t="s">
        <v>308</v>
      </c>
      <c r="G225" s="36" t="s">
        <v>422</v>
      </c>
      <c r="H225" s="37">
        <v>46092</v>
      </c>
      <c r="I225" s="37"/>
      <c r="J225" s="37"/>
      <c r="K225" s="36"/>
    </row>
    <row r="226" spans="1:11" hidden="1" x14ac:dyDescent="0.35">
      <c r="A226" s="32">
        <v>78</v>
      </c>
      <c r="B226" s="32">
        <v>8594</v>
      </c>
      <c r="C226" s="33" t="s">
        <v>6</v>
      </c>
      <c r="D226" s="32" t="s">
        <v>7</v>
      </c>
      <c r="E226" s="35" t="s">
        <v>118</v>
      </c>
      <c r="F226" s="36" t="s">
        <v>277</v>
      </c>
      <c r="G226" s="36" t="s">
        <v>444</v>
      </c>
      <c r="H226" s="37">
        <v>46099</v>
      </c>
      <c r="I226" s="37"/>
      <c r="J226" s="37"/>
      <c r="K226" s="36"/>
    </row>
    <row r="227" spans="1:11" hidden="1" x14ac:dyDescent="0.35">
      <c r="A227" s="32">
        <v>4</v>
      </c>
      <c r="B227" s="32">
        <v>8630</v>
      </c>
      <c r="C227" s="33" t="s">
        <v>6</v>
      </c>
      <c r="D227" s="32" t="s">
        <v>7</v>
      </c>
      <c r="E227" s="35" t="s">
        <v>31</v>
      </c>
      <c r="F227" s="36" t="s">
        <v>273</v>
      </c>
      <c r="G227" s="36" t="s">
        <v>443</v>
      </c>
      <c r="H227" s="37">
        <v>46099</v>
      </c>
      <c r="I227" s="37"/>
      <c r="J227" s="37"/>
      <c r="K227" s="36"/>
    </row>
    <row r="228" spans="1:11" hidden="1" x14ac:dyDescent="0.35">
      <c r="A228" s="32">
        <v>4</v>
      </c>
      <c r="B228" s="32">
        <v>8631</v>
      </c>
      <c r="C228" s="33" t="s">
        <v>6</v>
      </c>
      <c r="D228" s="32" t="s">
        <v>7</v>
      </c>
      <c r="E228" s="35" t="s">
        <v>31</v>
      </c>
      <c r="F228" s="36" t="s">
        <v>273</v>
      </c>
      <c r="G228" s="36" t="s">
        <v>443</v>
      </c>
      <c r="H228" s="37">
        <v>46099</v>
      </c>
      <c r="I228" s="37"/>
      <c r="J228" s="37"/>
      <c r="K228" s="36"/>
    </row>
    <row r="229" spans="1:11" hidden="1" x14ac:dyDescent="0.35">
      <c r="A229" s="32">
        <v>541</v>
      </c>
      <c r="B229" s="32">
        <v>8660</v>
      </c>
      <c r="C229" s="33" t="s">
        <v>6</v>
      </c>
      <c r="D229" s="32" t="s">
        <v>7</v>
      </c>
      <c r="E229" s="35" t="s">
        <v>19</v>
      </c>
      <c r="F229" s="36" t="s">
        <v>285</v>
      </c>
      <c r="G229" s="36" t="s">
        <v>670</v>
      </c>
      <c r="H229" s="37">
        <v>46086</v>
      </c>
      <c r="I229" s="37"/>
      <c r="J229" s="37"/>
      <c r="K229" s="36"/>
    </row>
    <row r="230" spans="1:11" hidden="1" x14ac:dyDescent="0.35">
      <c r="A230" s="32">
        <v>866</v>
      </c>
      <c r="B230" s="32">
        <v>8662</v>
      </c>
      <c r="C230" s="33" t="s">
        <v>6</v>
      </c>
      <c r="D230" s="32" t="s">
        <v>7</v>
      </c>
      <c r="E230" s="35" t="s">
        <v>201</v>
      </c>
      <c r="F230" s="36" t="s">
        <v>375</v>
      </c>
      <c r="G230" s="36" t="s">
        <v>423</v>
      </c>
      <c r="H230" s="37">
        <v>46093</v>
      </c>
      <c r="I230" s="37" t="str">
        <f>VLOOKUP(A230,[1]Programación!$A:$J,10,0)</f>
        <v>2 Días</v>
      </c>
      <c r="J230" s="37"/>
      <c r="K230" s="36"/>
    </row>
    <row r="231" spans="1:11" hidden="1" x14ac:dyDescent="0.35">
      <c r="A231" s="32">
        <v>769</v>
      </c>
      <c r="B231" s="32">
        <v>8679</v>
      </c>
      <c r="C231" s="33" t="s">
        <v>6</v>
      </c>
      <c r="D231" s="32" t="s">
        <v>7</v>
      </c>
      <c r="E231" s="35" t="s">
        <v>101</v>
      </c>
      <c r="F231" s="36" t="s">
        <v>281</v>
      </c>
      <c r="G231" s="36" t="s">
        <v>478</v>
      </c>
      <c r="H231" s="37">
        <v>46086</v>
      </c>
      <c r="I231" s="37"/>
      <c r="J231" s="37"/>
      <c r="K231" s="36"/>
    </row>
    <row r="232" spans="1:11" hidden="1" x14ac:dyDescent="0.35">
      <c r="A232" s="32">
        <v>779</v>
      </c>
      <c r="B232" s="32">
        <v>8684</v>
      </c>
      <c r="C232" s="33" t="s">
        <v>99</v>
      </c>
      <c r="D232" s="32" t="s">
        <v>7</v>
      </c>
      <c r="E232" s="35" t="s">
        <v>84</v>
      </c>
      <c r="F232" s="36" t="s">
        <v>296</v>
      </c>
      <c r="G232" s="36" t="s">
        <v>434</v>
      </c>
      <c r="H232" s="37">
        <v>46100</v>
      </c>
      <c r="I232" s="37"/>
      <c r="J232" s="37"/>
      <c r="K232" s="36"/>
    </row>
    <row r="233" spans="1:11" hidden="1" x14ac:dyDescent="0.35">
      <c r="A233" s="32">
        <v>779</v>
      </c>
      <c r="B233" s="32">
        <v>8685</v>
      </c>
      <c r="C233" s="33" t="s">
        <v>6</v>
      </c>
      <c r="D233" s="32" t="s">
        <v>7</v>
      </c>
      <c r="E233" s="35" t="s">
        <v>84</v>
      </c>
      <c r="F233" s="36" t="s">
        <v>296</v>
      </c>
      <c r="G233" s="36" t="s">
        <v>434</v>
      </c>
      <c r="H233" s="37">
        <v>46100</v>
      </c>
      <c r="I233" s="37"/>
      <c r="J233" s="37"/>
      <c r="K233" s="36"/>
    </row>
    <row r="234" spans="1:11" hidden="1" x14ac:dyDescent="0.35">
      <c r="A234" s="32">
        <v>60</v>
      </c>
      <c r="B234" s="32">
        <v>8727</v>
      </c>
      <c r="C234" s="33" t="s">
        <v>6</v>
      </c>
      <c r="D234" s="32" t="s">
        <v>7</v>
      </c>
      <c r="E234" s="35" t="s">
        <v>133</v>
      </c>
      <c r="F234" s="36" t="s">
        <v>275</v>
      </c>
      <c r="G234" s="36" t="s">
        <v>424</v>
      </c>
      <c r="H234" s="37">
        <v>46086</v>
      </c>
      <c r="I234" s="37" t="str">
        <f>VLOOKUP(A234,[1]Programación!$A:$J,10,0)</f>
        <v>2 Días</v>
      </c>
      <c r="J234" s="37"/>
      <c r="K234" s="36"/>
    </row>
    <row r="235" spans="1:11" hidden="1" x14ac:dyDescent="0.35">
      <c r="A235" s="32">
        <v>60</v>
      </c>
      <c r="B235" s="32">
        <v>8728</v>
      </c>
      <c r="C235" s="33" t="s">
        <v>99</v>
      </c>
      <c r="D235" s="32" t="s">
        <v>7</v>
      </c>
      <c r="E235" s="35" t="s">
        <v>133</v>
      </c>
      <c r="F235" s="36" t="s">
        <v>275</v>
      </c>
      <c r="G235" s="36" t="s">
        <v>424</v>
      </c>
      <c r="H235" s="37">
        <v>46086</v>
      </c>
      <c r="I235" s="37" t="str">
        <f>VLOOKUP(A235,[1]Programación!$A:$J,10,0)</f>
        <v>2 Días</v>
      </c>
      <c r="J235" s="37"/>
      <c r="K235" s="36"/>
    </row>
    <row r="236" spans="1:11" hidden="1" x14ac:dyDescent="0.35">
      <c r="A236" s="32">
        <v>60</v>
      </c>
      <c r="B236" s="32">
        <v>8729</v>
      </c>
      <c r="C236" s="33" t="s">
        <v>6</v>
      </c>
      <c r="D236" s="32" t="s">
        <v>7</v>
      </c>
      <c r="E236" s="35" t="s">
        <v>133</v>
      </c>
      <c r="F236" s="36" t="s">
        <v>275</v>
      </c>
      <c r="G236" s="36" t="s">
        <v>424</v>
      </c>
      <c r="H236" s="37">
        <v>46086</v>
      </c>
      <c r="I236" s="37" t="str">
        <f>VLOOKUP(A236,[1]Programación!$A:$J,10,0)</f>
        <v>2 Días</v>
      </c>
      <c r="J236" s="37"/>
      <c r="K236" s="36"/>
    </row>
    <row r="237" spans="1:11" hidden="1" x14ac:dyDescent="0.35">
      <c r="A237" s="32">
        <v>31</v>
      </c>
      <c r="B237" s="32">
        <v>8737</v>
      </c>
      <c r="C237" s="33" t="s">
        <v>6</v>
      </c>
      <c r="D237" s="32" t="s">
        <v>7</v>
      </c>
      <c r="E237" s="35" t="s">
        <v>33</v>
      </c>
      <c r="F237" s="36" t="s">
        <v>284</v>
      </c>
      <c r="G237" s="36" t="s">
        <v>445</v>
      </c>
      <c r="H237" s="37">
        <v>46098</v>
      </c>
      <c r="I237" s="37"/>
      <c r="J237" s="37"/>
      <c r="K237" s="36"/>
    </row>
    <row r="238" spans="1:11" hidden="1" x14ac:dyDescent="0.35">
      <c r="A238" s="32">
        <v>509</v>
      </c>
      <c r="B238" s="32">
        <v>8835</v>
      </c>
      <c r="C238" s="33" t="s">
        <v>6</v>
      </c>
      <c r="D238" s="32" t="s">
        <v>7</v>
      </c>
      <c r="E238" s="35" t="s">
        <v>212</v>
      </c>
      <c r="F238" s="36" t="s">
        <v>336</v>
      </c>
      <c r="G238" s="36" t="s">
        <v>531</v>
      </c>
      <c r="H238" s="37">
        <v>46099</v>
      </c>
      <c r="I238" s="37"/>
      <c r="J238" s="37"/>
      <c r="K238" s="36"/>
    </row>
    <row r="239" spans="1:11" hidden="1" x14ac:dyDescent="0.35">
      <c r="A239" s="32">
        <v>33</v>
      </c>
      <c r="B239" s="32">
        <v>8861</v>
      </c>
      <c r="C239" s="33" t="s">
        <v>6</v>
      </c>
      <c r="D239" s="32" t="s">
        <v>7</v>
      </c>
      <c r="E239" s="35" t="s">
        <v>200</v>
      </c>
      <c r="F239" s="36" t="s">
        <v>301</v>
      </c>
      <c r="G239" s="36" t="s">
        <v>425</v>
      </c>
      <c r="H239" s="37">
        <v>46086</v>
      </c>
      <c r="I239" s="37" t="str">
        <f>VLOOKUP(A239,[1]Programación!$A:$J,10,0)</f>
        <v>2 Días</v>
      </c>
      <c r="J239" s="37"/>
      <c r="K239" s="36"/>
    </row>
    <row r="240" spans="1:11" hidden="1" x14ac:dyDescent="0.35">
      <c r="A240" s="32">
        <v>225</v>
      </c>
      <c r="B240" s="32">
        <v>8868</v>
      </c>
      <c r="C240" s="33" t="s">
        <v>6</v>
      </c>
      <c r="D240" s="32" t="s">
        <v>7</v>
      </c>
      <c r="E240" s="35" t="s">
        <v>134</v>
      </c>
      <c r="F240" s="36" t="s">
        <v>284</v>
      </c>
      <c r="G240" s="36" t="s">
        <v>426</v>
      </c>
      <c r="H240" s="37">
        <v>46093</v>
      </c>
      <c r="I240" s="37"/>
      <c r="J240" s="37"/>
      <c r="K240" s="36"/>
    </row>
    <row r="241" spans="1:11" hidden="1" x14ac:dyDescent="0.35">
      <c r="A241" s="32">
        <v>225</v>
      </c>
      <c r="B241" s="32">
        <v>8869</v>
      </c>
      <c r="C241" s="33" t="s">
        <v>6</v>
      </c>
      <c r="D241" s="32" t="s">
        <v>7</v>
      </c>
      <c r="E241" s="35" t="s">
        <v>134</v>
      </c>
      <c r="F241" s="36" t="s">
        <v>284</v>
      </c>
      <c r="G241" s="36" t="s">
        <v>426</v>
      </c>
      <c r="H241" s="37">
        <v>46093</v>
      </c>
      <c r="I241" s="37"/>
      <c r="J241" s="37"/>
      <c r="K241" s="36"/>
    </row>
    <row r="242" spans="1:11" hidden="1" x14ac:dyDescent="0.35">
      <c r="A242" s="32">
        <v>442</v>
      </c>
      <c r="B242" s="32">
        <v>8887</v>
      </c>
      <c r="C242" s="33" t="s">
        <v>6</v>
      </c>
      <c r="D242" s="32" t="s">
        <v>7</v>
      </c>
      <c r="E242" s="35" t="s">
        <v>165</v>
      </c>
      <c r="F242" s="36" t="s">
        <v>278</v>
      </c>
      <c r="G242" s="36" t="s">
        <v>427</v>
      </c>
      <c r="H242" s="37">
        <v>46099</v>
      </c>
      <c r="I242" s="37" t="str">
        <f>VLOOKUP(A242,[1]Programación!$A:$J,10,0)</f>
        <v>2 Días</v>
      </c>
      <c r="J242" s="37"/>
      <c r="K242" s="36"/>
    </row>
    <row r="243" spans="1:11" hidden="1" x14ac:dyDescent="0.35">
      <c r="A243" s="32">
        <v>442</v>
      </c>
      <c r="B243" s="32">
        <v>8888</v>
      </c>
      <c r="C243" s="33" t="s">
        <v>6</v>
      </c>
      <c r="D243" s="32" t="s">
        <v>7</v>
      </c>
      <c r="E243" s="35" t="s">
        <v>165</v>
      </c>
      <c r="F243" s="36" t="s">
        <v>278</v>
      </c>
      <c r="G243" s="36" t="s">
        <v>427</v>
      </c>
      <c r="H243" s="37">
        <v>46099</v>
      </c>
      <c r="I243" s="37" t="str">
        <f>VLOOKUP(A243,[1]Programación!$A:$J,10,0)</f>
        <v>2 Días</v>
      </c>
      <c r="J243" s="37"/>
      <c r="K243" s="36"/>
    </row>
    <row r="244" spans="1:11" hidden="1" x14ac:dyDescent="0.35">
      <c r="A244" s="32">
        <v>721</v>
      </c>
      <c r="B244" s="32">
        <v>8896</v>
      </c>
      <c r="C244" s="33" t="s">
        <v>6</v>
      </c>
      <c r="D244" s="32" t="s">
        <v>7</v>
      </c>
      <c r="E244" s="35" t="s">
        <v>180</v>
      </c>
      <c r="F244" s="36" t="s">
        <v>292</v>
      </c>
      <c r="G244" s="36" t="s">
        <v>678</v>
      </c>
      <c r="H244" s="37">
        <v>46091</v>
      </c>
      <c r="I244" s="37"/>
      <c r="J244" s="37"/>
      <c r="K244" s="36"/>
    </row>
    <row r="245" spans="1:11" hidden="1" x14ac:dyDescent="0.35">
      <c r="A245" s="32">
        <v>721</v>
      </c>
      <c r="B245" s="32">
        <v>8897</v>
      </c>
      <c r="C245" s="33" t="s">
        <v>99</v>
      </c>
      <c r="D245" s="32" t="s">
        <v>7</v>
      </c>
      <c r="E245" s="35" t="s">
        <v>180</v>
      </c>
      <c r="F245" s="36" t="s">
        <v>292</v>
      </c>
      <c r="G245" s="36" t="s">
        <v>678</v>
      </c>
      <c r="H245" s="37">
        <v>46091</v>
      </c>
      <c r="I245" s="37"/>
      <c r="J245" s="37"/>
      <c r="K245" s="36"/>
    </row>
    <row r="246" spans="1:11" hidden="1" x14ac:dyDescent="0.35">
      <c r="A246" s="32">
        <v>20</v>
      </c>
      <c r="B246" s="32">
        <v>8927</v>
      </c>
      <c r="C246" s="33" t="s">
        <v>6</v>
      </c>
      <c r="D246" s="32" t="s">
        <v>7</v>
      </c>
      <c r="E246" s="35" t="s">
        <v>17</v>
      </c>
      <c r="F246" s="36" t="s">
        <v>277</v>
      </c>
      <c r="G246" s="36" t="s">
        <v>386</v>
      </c>
      <c r="H246" s="37">
        <v>46093</v>
      </c>
      <c r="I246" s="37"/>
      <c r="J246" s="37"/>
      <c r="K246" s="36"/>
    </row>
    <row r="247" spans="1:11" hidden="1" x14ac:dyDescent="0.35">
      <c r="A247" s="32">
        <v>85</v>
      </c>
      <c r="B247" s="32">
        <v>8974</v>
      </c>
      <c r="C247" s="33" t="s">
        <v>6</v>
      </c>
      <c r="D247" s="32" t="s">
        <v>7</v>
      </c>
      <c r="E247" s="35" t="s">
        <v>135</v>
      </c>
      <c r="F247" s="36" t="s">
        <v>336</v>
      </c>
      <c r="G247" s="36" t="s">
        <v>429</v>
      </c>
      <c r="H247" s="37">
        <v>46100</v>
      </c>
      <c r="I247" s="37"/>
      <c r="J247" s="37"/>
      <c r="K247" s="36"/>
    </row>
    <row r="248" spans="1:11" hidden="1" x14ac:dyDescent="0.35">
      <c r="A248" s="32">
        <v>536</v>
      </c>
      <c r="B248" s="32">
        <v>8988</v>
      </c>
      <c r="C248" s="33" t="s">
        <v>99</v>
      </c>
      <c r="D248" s="32" t="s">
        <v>7</v>
      </c>
      <c r="E248" s="35" t="s">
        <v>124</v>
      </c>
      <c r="F248" s="36" t="s">
        <v>339</v>
      </c>
      <c r="G248" s="36" t="s">
        <v>401</v>
      </c>
      <c r="H248" s="37">
        <v>46092</v>
      </c>
      <c r="I248" s="37"/>
      <c r="J248" s="37"/>
      <c r="K248" s="36"/>
    </row>
    <row r="249" spans="1:11" hidden="1" x14ac:dyDescent="0.35">
      <c r="A249" s="32">
        <v>457</v>
      </c>
      <c r="B249" s="32">
        <v>9004</v>
      </c>
      <c r="C249" s="33" t="s">
        <v>6</v>
      </c>
      <c r="D249" s="32" t="s">
        <v>7</v>
      </c>
      <c r="E249" s="35" t="s">
        <v>166</v>
      </c>
      <c r="F249" s="36" t="s">
        <v>282</v>
      </c>
      <c r="G249" s="36" t="s">
        <v>490</v>
      </c>
      <c r="H249" s="37">
        <v>46093</v>
      </c>
      <c r="I249" s="37"/>
      <c r="J249" s="37"/>
      <c r="K249" s="36"/>
    </row>
    <row r="250" spans="1:11" hidden="1" x14ac:dyDescent="0.35">
      <c r="A250" s="32">
        <v>348</v>
      </c>
      <c r="B250" s="32">
        <v>9009</v>
      </c>
      <c r="C250" s="33" t="s">
        <v>6</v>
      </c>
      <c r="D250" s="32" t="s">
        <v>7</v>
      </c>
      <c r="E250" s="35" t="s">
        <v>122</v>
      </c>
      <c r="F250" s="36" t="s">
        <v>336</v>
      </c>
      <c r="G250" s="36" t="s">
        <v>398</v>
      </c>
      <c r="H250" s="37">
        <v>46093</v>
      </c>
      <c r="I250" s="37"/>
      <c r="J250" s="37"/>
      <c r="K250" s="36"/>
    </row>
    <row r="251" spans="1:11" hidden="1" x14ac:dyDescent="0.35">
      <c r="A251" s="32">
        <v>467</v>
      </c>
      <c r="B251" s="32">
        <v>9051</v>
      </c>
      <c r="C251" s="33" t="s">
        <v>6</v>
      </c>
      <c r="D251" s="32" t="s">
        <v>7</v>
      </c>
      <c r="E251" s="35" t="s">
        <v>207</v>
      </c>
      <c r="F251" s="36" t="s">
        <v>294</v>
      </c>
      <c r="G251" s="36" t="s">
        <v>491</v>
      </c>
      <c r="H251" s="37">
        <v>46093</v>
      </c>
      <c r="I251" s="37"/>
      <c r="J251" s="37"/>
      <c r="K251" s="36"/>
    </row>
    <row r="252" spans="1:11" hidden="1" x14ac:dyDescent="0.35">
      <c r="A252" s="32">
        <v>467</v>
      </c>
      <c r="B252" s="32">
        <v>9052</v>
      </c>
      <c r="C252" s="33" t="s">
        <v>6</v>
      </c>
      <c r="D252" s="32" t="s">
        <v>7</v>
      </c>
      <c r="E252" s="35" t="s">
        <v>207</v>
      </c>
      <c r="F252" s="36" t="s">
        <v>294</v>
      </c>
      <c r="G252" s="36" t="s">
        <v>491</v>
      </c>
      <c r="H252" s="37">
        <v>46093</v>
      </c>
      <c r="I252" s="37"/>
      <c r="J252" s="37"/>
      <c r="K252" s="36"/>
    </row>
    <row r="253" spans="1:11" hidden="1" x14ac:dyDescent="0.35">
      <c r="A253" s="32">
        <v>20</v>
      </c>
      <c r="B253" s="32">
        <v>9204</v>
      </c>
      <c r="C253" s="33" t="s">
        <v>6</v>
      </c>
      <c r="D253" s="32" t="s">
        <v>7</v>
      </c>
      <c r="E253" s="35" t="s">
        <v>17</v>
      </c>
      <c r="F253" s="36" t="s">
        <v>277</v>
      </c>
      <c r="G253" s="36" t="s">
        <v>386</v>
      </c>
      <c r="H253" s="37">
        <v>46093</v>
      </c>
      <c r="I253" s="37"/>
      <c r="J253" s="37"/>
      <c r="K253" s="36"/>
    </row>
    <row r="254" spans="1:11" hidden="1" x14ac:dyDescent="0.35">
      <c r="A254" s="32">
        <v>845</v>
      </c>
      <c r="B254" s="32">
        <v>9232</v>
      </c>
      <c r="C254" s="33" t="s">
        <v>6</v>
      </c>
      <c r="D254" s="32" t="s">
        <v>7</v>
      </c>
      <c r="E254" s="35" t="s">
        <v>214</v>
      </c>
      <c r="F254" s="36" t="s">
        <v>282</v>
      </c>
      <c r="G254" s="36" t="s">
        <v>492</v>
      </c>
      <c r="H254" s="37">
        <v>46093</v>
      </c>
      <c r="I254" s="37" t="str">
        <f>VLOOKUP(A254,[1]Programación!$A:$J,10,0)</f>
        <v>2 Días</v>
      </c>
      <c r="J254" s="37"/>
      <c r="K254" s="36"/>
    </row>
    <row r="255" spans="1:11" hidden="1" x14ac:dyDescent="0.35">
      <c r="A255" s="32">
        <v>959</v>
      </c>
      <c r="B255" s="32">
        <v>9265</v>
      </c>
      <c r="C255" s="34" t="s">
        <v>99</v>
      </c>
      <c r="D255" s="32" t="s">
        <v>7</v>
      </c>
      <c r="E255" s="35" t="s">
        <v>269</v>
      </c>
      <c r="F255" s="36" t="s">
        <v>339</v>
      </c>
      <c r="G255" s="36" t="s">
        <v>679</v>
      </c>
      <c r="H255" s="37">
        <v>46099</v>
      </c>
      <c r="I255" s="37"/>
      <c r="J255" s="37"/>
      <c r="K255" s="36"/>
    </row>
    <row r="256" spans="1:11" hidden="1" x14ac:dyDescent="0.35">
      <c r="A256" s="32">
        <v>64</v>
      </c>
      <c r="B256" s="32">
        <v>9306</v>
      </c>
      <c r="C256" s="34" t="s">
        <v>6</v>
      </c>
      <c r="D256" s="38" t="s">
        <v>7</v>
      </c>
      <c r="E256" s="35" t="s">
        <v>250</v>
      </c>
      <c r="F256" s="36" t="s">
        <v>275</v>
      </c>
      <c r="G256" s="36" t="s">
        <v>430</v>
      </c>
      <c r="H256" s="37">
        <v>46098</v>
      </c>
      <c r="I256" s="37"/>
      <c r="J256" s="37"/>
      <c r="K256" s="36"/>
    </row>
    <row r="257" spans="1:11" hidden="1" x14ac:dyDescent="0.35">
      <c r="A257" s="38">
        <v>451</v>
      </c>
      <c r="B257" s="38">
        <v>9434</v>
      </c>
      <c r="C257" s="34" t="s">
        <v>6</v>
      </c>
      <c r="D257" s="38" t="s">
        <v>7</v>
      </c>
      <c r="E257" s="35" t="s">
        <v>249</v>
      </c>
      <c r="F257" s="36" t="s">
        <v>282</v>
      </c>
      <c r="G257" s="36" t="s">
        <v>524</v>
      </c>
      <c r="H257" s="37">
        <v>46092</v>
      </c>
      <c r="I257" s="37"/>
      <c r="J257" s="37"/>
      <c r="K257" s="36"/>
    </row>
    <row r="258" spans="1:11" hidden="1" x14ac:dyDescent="0.35">
      <c r="A258" s="32">
        <v>957</v>
      </c>
      <c r="B258" s="32">
        <v>9512</v>
      </c>
      <c r="C258" s="34" t="s">
        <v>6</v>
      </c>
      <c r="D258" s="38" t="s">
        <v>7</v>
      </c>
      <c r="E258" s="35" t="s">
        <v>255</v>
      </c>
      <c r="F258" s="36" t="s">
        <v>281</v>
      </c>
      <c r="G258" s="36" t="s">
        <v>431</v>
      </c>
      <c r="H258" s="37">
        <v>46086</v>
      </c>
      <c r="I258" s="37" t="str">
        <f>VLOOKUP(A258,[1]Programación!$A:$J,10,0)</f>
        <v>2 Días</v>
      </c>
      <c r="J258" s="37"/>
      <c r="K258" s="36"/>
    </row>
    <row r="259" spans="1:11" hidden="1" x14ac:dyDescent="0.35">
      <c r="A259" s="32">
        <v>957</v>
      </c>
      <c r="B259" s="32">
        <v>9513</v>
      </c>
      <c r="C259" s="34" t="s">
        <v>6</v>
      </c>
      <c r="D259" s="38" t="s">
        <v>7</v>
      </c>
      <c r="E259" s="35" t="s">
        <v>255</v>
      </c>
      <c r="F259" s="36" t="s">
        <v>281</v>
      </c>
      <c r="G259" s="36" t="s">
        <v>431</v>
      </c>
      <c r="H259" s="37">
        <v>46086</v>
      </c>
      <c r="I259" s="37" t="str">
        <f>VLOOKUP(A259,[1]Programación!$A:$J,10,0)</f>
        <v>2 Días</v>
      </c>
      <c r="J259" s="37"/>
      <c r="K259" s="36"/>
    </row>
    <row r="260" spans="1:11" hidden="1" x14ac:dyDescent="0.35">
      <c r="A260" s="32">
        <v>367</v>
      </c>
      <c r="B260" s="32">
        <v>9580</v>
      </c>
      <c r="C260" s="33" t="s">
        <v>6</v>
      </c>
      <c r="D260" s="32" t="s">
        <v>7</v>
      </c>
      <c r="E260" s="35" t="s">
        <v>210</v>
      </c>
      <c r="F260" s="36" t="s">
        <v>494</v>
      </c>
      <c r="G260" s="36" t="s">
        <v>432</v>
      </c>
      <c r="H260" s="37">
        <v>46093</v>
      </c>
      <c r="I260" s="37"/>
      <c r="J260" s="37"/>
      <c r="K260" s="36"/>
    </row>
    <row r="261" spans="1:11" hidden="1" x14ac:dyDescent="0.35">
      <c r="A261" s="32">
        <v>890</v>
      </c>
      <c r="B261" s="32">
        <v>9584</v>
      </c>
      <c r="C261" s="33" t="s">
        <v>6</v>
      </c>
      <c r="D261" s="32" t="s">
        <v>7</v>
      </c>
      <c r="E261" s="35" t="s">
        <v>213</v>
      </c>
      <c r="F261" s="36" t="s">
        <v>494</v>
      </c>
      <c r="G261" s="36" t="s">
        <v>433</v>
      </c>
      <c r="H261" s="37">
        <v>46099</v>
      </c>
      <c r="I261" s="37"/>
      <c r="J261" s="37"/>
      <c r="K261" s="36"/>
    </row>
    <row r="262" spans="1:11" hidden="1" x14ac:dyDescent="0.35">
      <c r="A262" s="32">
        <v>229</v>
      </c>
      <c r="B262" s="32">
        <v>9604</v>
      </c>
      <c r="C262" s="33" t="s">
        <v>6</v>
      </c>
      <c r="D262" s="32" t="s">
        <v>7</v>
      </c>
      <c r="E262" s="35" t="s">
        <v>209</v>
      </c>
      <c r="F262" s="36" t="s">
        <v>363</v>
      </c>
      <c r="G262" s="36" t="s">
        <v>436</v>
      </c>
      <c r="H262" s="37">
        <v>46091</v>
      </c>
      <c r="I262" s="37"/>
      <c r="J262" s="37"/>
      <c r="K262" s="36"/>
    </row>
    <row r="263" spans="1:11" hidden="1" x14ac:dyDescent="0.35">
      <c r="A263" s="32">
        <v>229</v>
      </c>
      <c r="B263" s="32">
        <v>9605</v>
      </c>
      <c r="C263" s="33" t="s">
        <v>6</v>
      </c>
      <c r="D263" s="32" t="s">
        <v>7</v>
      </c>
      <c r="E263" s="35" t="s">
        <v>209</v>
      </c>
      <c r="F263" s="36" t="s">
        <v>363</v>
      </c>
      <c r="G263" s="36" t="s">
        <v>436</v>
      </c>
      <c r="H263" s="37">
        <v>46091</v>
      </c>
      <c r="I263" s="37"/>
      <c r="J263" s="37"/>
      <c r="K263" s="36"/>
    </row>
    <row r="264" spans="1:11" hidden="1" x14ac:dyDescent="0.35">
      <c r="A264" s="32">
        <v>551</v>
      </c>
      <c r="B264" s="32">
        <v>9643</v>
      </c>
      <c r="C264" s="33" t="s">
        <v>6</v>
      </c>
      <c r="D264" s="32" t="s">
        <v>7</v>
      </c>
      <c r="E264" s="35" t="s">
        <v>211</v>
      </c>
      <c r="F264" s="36" t="s">
        <v>273</v>
      </c>
      <c r="G264" s="36" t="s">
        <v>525</v>
      </c>
      <c r="H264" s="37">
        <v>46093</v>
      </c>
      <c r="I264" s="37"/>
      <c r="J264" s="37"/>
      <c r="K264" s="36"/>
    </row>
    <row r="265" spans="1:11" hidden="1" x14ac:dyDescent="0.35">
      <c r="A265" s="32">
        <v>551</v>
      </c>
      <c r="B265" s="32">
        <v>9644</v>
      </c>
      <c r="C265" s="33" t="s">
        <v>6</v>
      </c>
      <c r="D265" s="32" t="s">
        <v>7</v>
      </c>
      <c r="E265" s="35" t="s">
        <v>211</v>
      </c>
      <c r="F265" s="36" t="s">
        <v>273</v>
      </c>
      <c r="G265" s="36" t="s">
        <v>525</v>
      </c>
      <c r="H265" s="37">
        <v>46093</v>
      </c>
      <c r="I265" s="37"/>
      <c r="J265" s="37"/>
      <c r="K265" s="36"/>
    </row>
    <row r="266" spans="1:11" hidden="1" x14ac:dyDescent="0.35">
      <c r="A266" s="32">
        <v>876</v>
      </c>
      <c r="B266" s="32">
        <v>9682</v>
      </c>
      <c r="C266" s="33" t="s">
        <v>6</v>
      </c>
      <c r="D266" s="32" t="s">
        <v>7</v>
      </c>
      <c r="E266" s="35" t="s">
        <v>202</v>
      </c>
      <c r="F266" s="36" t="s">
        <v>281</v>
      </c>
      <c r="G266" s="36" t="s">
        <v>503</v>
      </c>
      <c r="H266" s="37">
        <v>46093</v>
      </c>
      <c r="I266" s="37"/>
      <c r="J266" s="37"/>
      <c r="K266" s="36"/>
    </row>
    <row r="267" spans="1:11" hidden="1" x14ac:dyDescent="0.35">
      <c r="A267" s="32">
        <v>849</v>
      </c>
      <c r="B267" s="32">
        <v>9724</v>
      </c>
      <c r="C267" s="33" t="s">
        <v>6</v>
      </c>
      <c r="D267" s="32" t="s">
        <v>7</v>
      </c>
      <c r="E267" s="35" t="s">
        <v>92</v>
      </c>
      <c r="F267" s="36" t="s">
        <v>494</v>
      </c>
      <c r="G267" s="36" t="s">
        <v>437</v>
      </c>
      <c r="H267" s="37">
        <v>46091</v>
      </c>
      <c r="I267" s="37"/>
      <c r="J267" s="37"/>
      <c r="K267" s="36"/>
    </row>
    <row r="268" spans="1:11" hidden="1" x14ac:dyDescent="0.35">
      <c r="A268" s="32">
        <v>849</v>
      </c>
      <c r="B268" s="32">
        <v>9725</v>
      </c>
      <c r="C268" s="33" t="s">
        <v>6</v>
      </c>
      <c r="D268" s="32" t="s">
        <v>7</v>
      </c>
      <c r="E268" s="35" t="s">
        <v>92</v>
      </c>
      <c r="F268" s="36" t="s">
        <v>494</v>
      </c>
      <c r="G268" s="36" t="s">
        <v>437</v>
      </c>
      <c r="H268" s="37">
        <v>46091</v>
      </c>
      <c r="I268" s="37"/>
      <c r="J268" s="37"/>
      <c r="K268" s="36"/>
    </row>
    <row r="269" spans="1:11" hidden="1" x14ac:dyDescent="0.35">
      <c r="A269" s="32">
        <v>516</v>
      </c>
      <c r="B269" s="32">
        <v>9729</v>
      </c>
      <c r="C269" s="33" t="s">
        <v>6</v>
      </c>
      <c r="D269" s="32" t="s">
        <v>7</v>
      </c>
      <c r="E269" s="35" t="s">
        <v>64</v>
      </c>
      <c r="F269" s="36" t="s">
        <v>296</v>
      </c>
      <c r="G269" s="36" t="s">
        <v>317</v>
      </c>
      <c r="H269" s="37">
        <v>46099</v>
      </c>
      <c r="I269" s="37"/>
      <c r="J269" s="37"/>
      <c r="K269" s="36"/>
    </row>
    <row r="270" spans="1:11" x14ac:dyDescent="0.35">
      <c r="A270" s="32">
        <v>499</v>
      </c>
      <c r="B270" s="32">
        <v>9810</v>
      </c>
      <c r="C270" s="33" t="s">
        <v>6</v>
      </c>
      <c r="D270" s="32" t="s">
        <v>7</v>
      </c>
      <c r="E270" s="35" t="s">
        <v>32</v>
      </c>
      <c r="F270" s="36" t="s">
        <v>339</v>
      </c>
      <c r="G270" s="36" t="s">
        <v>435</v>
      </c>
      <c r="H270" s="37">
        <v>46098</v>
      </c>
      <c r="I270" s="37"/>
      <c r="J270" s="37"/>
      <c r="K270" s="36"/>
    </row>
    <row r="271" spans="1:11" x14ac:dyDescent="0.35">
      <c r="A271" s="32">
        <v>499</v>
      </c>
      <c r="B271" s="32">
        <v>9811</v>
      </c>
      <c r="C271" s="33" t="s">
        <v>6</v>
      </c>
      <c r="D271" s="32" t="s">
        <v>7</v>
      </c>
      <c r="E271" s="35" t="s">
        <v>32</v>
      </c>
      <c r="F271" s="36" t="s">
        <v>339</v>
      </c>
      <c r="G271" s="36" t="s">
        <v>435</v>
      </c>
      <c r="H271" s="37">
        <v>46098</v>
      </c>
      <c r="I271" s="37"/>
      <c r="J271" s="37"/>
      <c r="K271" s="36"/>
    </row>
    <row r="272" spans="1:11" hidden="1" x14ac:dyDescent="0.35">
      <c r="A272" s="32">
        <v>264</v>
      </c>
      <c r="B272" s="32">
        <v>9906</v>
      </c>
      <c r="C272" s="34" t="s">
        <v>6</v>
      </c>
      <c r="D272" s="32" t="s">
        <v>7</v>
      </c>
      <c r="E272" s="35" t="s">
        <v>252</v>
      </c>
      <c r="F272" s="36" t="s">
        <v>363</v>
      </c>
      <c r="G272" s="36" t="s">
        <v>370</v>
      </c>
      <c r="H272" s="37">
        <v>46091</v>
      </c>
      <c r="I272" s="37"/>
      <c r="J272" s="37"/>
      <c r="K272" s="36" t="s">
        <v>253</v>
      </c>
    </row>
    <row r="273" spans="1:11" hidden="1" x14ac:dyDescent="0.35">
      <c r="A273" s="32">
        <v>57</v>
      </c>
      <c r="B273" s="32">
        <v>9963</v>
      </c>
      <c r="C273" s="34" t="s">
        <v>6</v>
      </c>
      <c r="D273" s="32" t="s">
        <v>7</v>
      </c>
      <c r="E273" s="35" t="s">
        <v>270</v>
      </c>
      <c r="F273" s="36" t="s">
        <v>494</v>
      </c>
      <c r="G273" s="36" t="s">
        <v>378</v>
      </c>
      <c r="H273" s="37">
        <v>46099</v>
      </c>
      <c r="I273" s="37" t="str">
        <f>VLOOKUP(A273,[1]Programación!$A:$J,10,0)</f>
        <v>2 Días</v>
      </c>
      <c r="J273" s="37"/>
      <c r="K273" s="36"/>
    </row>
    <row r="274" spans="1:11" hidden="1" x14ac:dyDescent="0.35">
      <c r="A274" s="32">
        <v>4</v>
      </c>
      <c r="B274" s="32">
        <v>316</v>
      </c>
      <c r="C274" s="34" t="s">
        <v>6</v>
      </c>
      <c r="D274" s="36" t="s">
        <v>7</v>
      </c>
      <c r="E274" s="36" t="s">
        <v>31</v>
      </c>
      <c r="F274" s="36" t="s">
        <v>273</v>
      </c>
      <c r="G274" s="36" t="s">
        <v>443</v>
      </c>
      <c r="H274" s="37">
        <v>46099</v>
      </c>
      <c r="I274" s="37"/>
      <c r="J274" s="36"/>
      <c r="K274" s="36" t="s">
        <v>469</v>
      </c>
    </row>
    <row r="275" spans="1:11" x14ac:dyDescent="0.35">
      <c r="A275" s="32">
        <v>499</v>
      </c>
      <c r="B275" s="32">
        <v>172</v>
      </c>
      <c r="C275" s="33" t="s">
        <v>99</v>
      </c>
      <c r="D275" s="32" t="s">
        <v>7</v>
      </c>
      <c r="E275" s="35" t="s">
        <v>32</v>
      </c>
      <c r="F275" s="36" t="s">
        <v>339</v>
      </c>
      <c r="G275" s="36" t="s">
        <v>435</v>
      </c>
      <c r="H275" s="37">
        <v>46098</v>
      </c>
      <c r="I275" s="37"/>
      <c r="J275" s="37"/>
      <c r="K275" s="36" t="s">
        <v>473</v>
      </c>
    </row>
    <row r="276" spans="1:11" hidden="1" x14ac:dyDescent="0.35">
      <c r="A276" s="32">
        <v>292</v>
      </c>
      <c r="B276" s="32">
        <v>278</v>
      </c>
      <c r="C276" s="33" t="s">
        <v>6</v>
      </c>
      <c r="D276" s="32" t="s">
        <v>7</v>
      </c>
      <c r="E276" s="35" t="s">
        <v>110</v>
      </c>
      <c r="F276" s="36" t="s">
        <v>285</v>
      </c>
      <c r="G276" s="36" t="s">
        <v>335</v>
      </c>
      <c r="H276" s="37">
        <v>46098</v>
      </c>
      <c r="I276" s="37"/>
      <c r="J276" s="37"/>
      <c r="K276" s="36" t="s">
        <v>473</v>
      </c>
    </row>
    <row r="277" spans="1:11" hidden="1" x14ac:dyDescent="0.35">
      <c r="A277" s="32">
        <v>306</v>
      </c>
      <c r="B277" s="32">
        <v>428</v>
      </c>
      <c r="C277" s="33" t="s">
        <v>99</v>
      </c>
      <c r="D277" s="32" t="s">
        <v>7</v>
      </c>
      <c r="E277" s="35" t="s">
        <v>125</v>
      </c>
      <c r="F277" s="36" t="s">
        <v>289</v>
      </c>
      <c r="G277" s="36" t="s">
        <v>674</v>
      </c>
      <c r="H277" s="37">
        <v>46099</v>
      </c>
      <c r="I277" s="37"/>
      <c r="J277" s="37"/>
      <c r="K277" s="36"/>
    </row>
    <row r="278" spans="1:11" s="44" customFormat="1" hidden="1" x14ac:dyDescent="0.35">
      <c r="A278" s="39">
        <v>214</v>
      </c>
      <c r="B278" s="39">
        <v>1469</v>
      </c>
      <c r="C278" s="40" t="s">
        <v>6</v>
      </c>
      <c r="D278" s="39" t="s">
        <v>7</v>
      </c>
      <c r="E278" s="41" t="s">
        <v>496</v>
      </c>
      <c r="F278" s="42" t="s">
        <v>336</v>
      </c>
      <c r="G278" s="42" t="s">
        <v>526</v>
      </c>
      <c r="H278" s="43">
        <v>46099</v>
      </c>
      <c r="I278" s="43"/>
      <c r="J278" s="43"/>
      <c r="K278" s="42" t="s">
        <v>497</v>
      </c>
    </row>
    <row r="279" spans="1:11" hidden="1" x14ac:dyDescent="0.35">
      <c r="A279" s="32">
        <v>185</v>
      </c>
      <c r="B279" s="32">
        <v>2208</v>
      </c>
      <c r="C279" s="33" t="s">
        <v>99</v>
      </c>
      <c r="D279" s="32" t="s">
        <v>7</v>
      </c>
      <c r="E279" s="35" t="s">
        <v>498</v>
      </c>
      <c r="F279" s="36" t="s">
        <v>375</v>
      </c>
      <c r="G279" s="36" t="s">
        <v>527</v>
      </c>
      <c r="H279" s="37">
        <v>46086</v>
      </c>
      <c r="I279" s="37"/>
      <c r="J279" s="37"/>
      <c r="K279" s="36"/>
    </row>
  </sheetData>
  <autoFilter ref="A1:M279" xr:uid="{5A66E49A-AF98-426A-B983-FA3CB7B8841B}">
    <filterColumn colId="4">
      <filters>
        <filter val="PARQUE FABRICATO"/>
      </filters>
    </filterColumn>
  </autoFilter>
  <sortState xmlns:xlrd2="http://schemas.microsoft.com/office/spreadsheetml/2017/richdata2" ref="A2:K273">
    <sortCondition ref="B2:B273"/>
  </sortState>
  <conditionalFormatting sqref="B222:B252">
    <cfRule type="duplicateValues" dxfId="3" priority="9"/>
  </conditionalFormatting>
  <conditionalFormatting sqref="B224">
    <cfRule type="duplicateValues" dxfId="2" priority="8"/>
  </conditionalFormatting>
  <conditionalFormatting sqref="H1:J1">
    <cfRule type="timePeriod" dxfId="1" priority="7" timePeriod="yesterday">
      <formula>FLOOR(H1,1)=TODAY()-1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AF96-424E-43D5-B4E8-C22E533E7A50}">
  <sheetPr codeName="Hoja4"/>
  <dimension ref="A2:O618"/>
  <sheetViews>
    <sheetView topLeftCell="A6" workbookViewId="0">
      <selection activeCell="B13" sqref="B13"/>
    </sheetView>
  </sheetViews>
  <sheetFormatPr baseColWidth="10" defaultRowHeight="14.5" x14ac:dyDescent="0.35"/>
  <cols>
    <col min="1" max="1" width="48.26953125" style="10" customWidth="1"/>
    <col min="2" max="2" width="39.1796875" style="10" customWidth="1"/>
    <col min="3" max="3" width="11.1796875" bestFit="1" customWidth="1"/>
  </cols>
  <sheetData>
    <row r="2" spans="1:2" ht="29" x14ac:dyDescent="0.35">
      <c r="A2" s="12" t="s">
        <v>220</v>
      </c>
    </row>
    <row r="3" spans="1:2" x14ac:dyDescent="0.35">
      <c r="A3" s="12" t="s">
        <v>221</v>
      </c>
      <c r="B3" s="24" t="s">
        <v>262</v>
      </c>
    </row>
    <row r="5" spans="1:2" x14ac:dyDescent="0.35">
      <c r="B5" s="23" t="s">
        <v>271</v>
      </c>
    </row>
    <row r="6" spans="1:2" x14ac:dyDescent="0.35">
      <c r="B6" s="4" t="s">
        <v>261</v>
      </c>
    </row>
    <row r="7" spans="1:2" ht="43.5" x14ac:dyDescent="0.35">
      <c r="A7" s="12" t="s">
        <v>222</v>
      </c>
      <c r="B7" s="13" t="s">
        <v>628</v>
      </c>
    </row>
    <row r="8" spans="1:2" ht="29" x14ac:dyDescent="0.35">
      <c r="A8" s="12" t="s">
        <v>223</v>
      </c>
      <c r="B8" s="9" t="s">
        <v>661</v>
      </c>
    </row>
    <row r="9" spans="1:2" ht="29" x14ac:dyDescent="0.35">
      <c r="A9" s="12" t="s">
        <v>224</v>
      </c>
      <c r="B9" s="4" t="s">
        <v>528</v>
      </c>
    </row>
    <row r="10" spans="1:2" x14ac:dyDescent="0.35">
      <c r="A10" s="12" t="s">
        <v>225</v>
      </c>
      <c r="B10" s="4" t="s">
        <v>246</v>
      </c>
    </row>
    <row r="11" spans="1:2" ht="29" x14ac:dyDescent="0.35">
      <c r="A11" s="12" t="s">
        <v>226</v>
      </c>
      <c r="B11" s="4" t="s">
        <v>624</v>
      </c>
    </row>
    <row r="12" spans="1:2" ht="43.5" x14ac:dyDescent="0.35">
      <c r="A12" s="12" t="s">
        <v>227</v>
      </c>
      <c r="B12" s="4" t="s">
        <v>470</v>
      </c>
    </row>
    <row r="13" spans="1:2" x14ac:dyDescent="0.35">
      <c r="A13" s="12" t="s">
        <v>228</v>
      </c>
      <c r="B13" s="4" t="s">
        <v>881</v>
      </c>
    </row>
    <row r="14" spans="1:2" x14ac:dyDescent="0.35">
      <c r="A14" s="12" t="s">
        <v>229</v>
      </c>
    </row>
    <row r="15" spans="1:2" x14ac:dyDescent="0.35">
      <c r="A15" s="12"/>
      <c r="B15" s="4"/>
    </row>
    <row r="17" spans="1:1" ht="29" x14ac:dyDescent="0.35">
      <c r="A17" s="11" t="s">
        <v>230</v>
      </c>
    </row>
    <row r="18" spans="1:1" ht="145" x14ac:dyDescent="0.35">
      <c r="A18" s="12" t="s">
        <v>231</v>
      </c>
    </row>
    <row r="20" spans="1:1" x14ac:dyDescent="0.35">
      <c r="A20" s="14" t="s">
        <v>232</v>
      </c>
    </row>
    <row r="21" spans="1:1" ht="29" x14ac:dyDescent="0.35">
      <c r="A21" s="15" t="s">
        <v>233</v>
      </c>
    </row>
    <row r="22" spans="1:1" x14ac:dyDescent="0.35">
      <c r="A22" s="15" t="s">
        <v>234</v>
      </c>
    </row>
    <row r="23" spans="1:1" x14ac:dyDescent="0.35">
      <c r="A23" s="4" t="s">
        <v>235</v>
      </c>
    </row>
    <row r="24" spans="1:1" x14ac:dyDescent="0.35">
      <c r="A24" s="15" t="s">
        <v>236</v>
      </c>
    </row>
    <row r="25" spans="1:1" x14ac:dyDescent="0.35">
      <c r="A25" s="15" t="s">
        <v>237</v>
      </c>
    </row>
    <row r="27" spans="1:1" ht="72.5" x14ac:dyDescent="0.35">
      <c r="A27" s="26" t="s">
        <v>267</v>
      </c>
    </row>
    <row r="30" spans="1:1" ht="116" x14ac:dyDescent="0.35">
      <c r="A30" s="12" t="s">
        <v>268</v>
      </c>
    </row>
    <row r="563" spans="15:15" x14ac:dyDescent="0.35">
      <c r="O563" s="17"/>
    </row>
    <row r="564" spans="15:15" x14ac:dyDescent="0.35">
      <c r="O564" s="17"/>
    </row>
    <row r="565" spans="15:15" x14ac:dyDescent="0.35">
      <c r="O565" s="17"/>
    </row>
    <row r="566" spans="15:15" x14ac:dyDescent="0.35">
      <c r="O566" s="17"/>
    </row>
    <row r="567" spans="15:15" x14ac:dyDescent="0.35">
      <c r="O567" s="17"/>
    </row>
    <row r="568" spans="15:15" x14ac:dyDescent="0.35">
      <c r="O568" s="17"/>
    </row>
    <row r="569" spans="15:15" x14ac:dyDescent="0.35">
      <c r="O569" s="17"/>
    </row>
    <row r="570" spans="15:15" x14ac:dyDescent="0.35">
      <c r="O570" s="17"/>
    </row>
    <row r="571" spans="15:15" x14ac:dyDescent="0.35">
      <c r="O571" s="17"/>
    </row>
    <row r="572" spans="15:15" x14ac:dyDescent="0.35">
      <c r="O572" s="17"/>
    </row>
    <row r="573" spans="15:15" x14ac:dyDescent="0.35">
      <c r="O573" s="17"/>
    </row>
    <row r="574" spans="15:15" x14ac:dyDescent="0.35">
      <c r="O574" s="17"/>
    </row>
    <row r="575" spans="15:15" x14ac:dyDescent="0.35">
      <c r="O575" s="17"/>
    </row>
    <row r="576" spans="15:15" x14ac:dyDescent="0.35">
      <c r="O576" s="17"/>
    </row>
    <row r="577" spans="15:15" x14ac:dyDescent="0.35">
      <c r="O577" s="17"/>
    </row>
    <row r="578" spans="15:15" x14ac:dyDescent="0.35">
      <c r="O578" s="17"/>
    </row>
    <row r="579" spans="15:15" x14ac:dyDescent="0.35">
      <c r="O579" s="17"/>
    </row>
    <row r="580" spans="15:15" x14ac:dyDescent="0.35">
      <c r="O580" s="17"/>
    </row>
    <row r="581" spans="15:15" x14ac:dyDescent="0.35">
      <c r="O581" s="17"/>
    </row>
    <row r="582" spans="15:15" x14ac:dyDescent="0.35">
      <c r="O582" s="17"/>
    </row>
    <row r="583" spans="15:15" x14ac:dyDescent="0.35">
      <c r="O583" s="17"/>
    </row>
    <row r="584" spans="15:15" x14ac:dyDescent="0.35">
      <c r="O584" s="17"/>
    </row>
    <row r="585" spans="15:15" x14ac:dyDescent="0.35">
      <c r="O585" s="17"/>
    </row>
    <row r="586" spans="15:15" x14ac:dyDescent="0.35">
      <c r="O586" s="17"/>
    </row>
    <row r="587" spans="15:15" x14ac:dyDescent="0.35">
      <c r="O587" s="17"/>
    </row>
    <row r="588" spans="15:15" x14ac:dyDescent="0.35">
      <c r="O588" s="17"/>
    </row>
    <row r="589" spans="15:15" x14ac:dyDescent="0.35">
      <c r="O589" s="17"/>
    </row>
    <row r="590" spans="15:15" x14ac:dyDescent="0.35">
      <c r="O590" s="17"/>
    </row>
    <row r="591" spans="15:15" x14ac:dyDescent="0.35">
      <c r="O591" s="17"/>
    </row>
    <row r="592" spans="15:15" x14ac:dyDescent="0.35">
      <c r="O592" s="17"/>
    </row>
    <row r="593" spans="15:15" x14ac:dyDescent="0.35">
      <c r="O593" s="17"/>
    </row>
    <row r="594" spans="15:15" x14ac:dyDescent="0.35">
      <c r="O594" s="17"/>
    </row>
    <row r="595" spans="15:15" x14ac:dyDescent="0.35">
      <c r="O595" s="17"/>
    </row>
    <row r="596" spans="15:15" x14ac:dyDescent="0.35">
      <c r="O596" s="17"/>
    </row>
    <row r="597" spans="15:15" x14ac:dyDescent="0.35">
      <c r="O597" s="17"/>
    </row>
    <row r="598" spans="15:15" x14ac:dyDescent="0.35">
      <c r="O598" s="17"/>
    </row>
    <row r="599" spans="15:15" x14ac:dyDescent="0.35">
      <c r="O599" s="17"/>
    </row>
    <row r="600" spans="15:15" x14ac:dyDescent="0.35">
      <c r="O600" s="17"/>
    </row>
    <row r="601" spans="15:15" x14ac:dyDescent="0.35">
      <c r="O601" s="17"/>
    </row>
    <row r="602" spans="15:15" x14ac:dyDescent="0.35">
      <c r="O602" s="17"/>
    </row>
    <row r="603" spans="15:15" x14ac:dyDescent="0.35">
      <c r="O603" s="17"/>
    </row>
    <row r="604" spans="15:15" x14ac:dyDescent="0.35">
      <c r="O604" s="17"/>
    </row>
    <row r="605" spans="15:15" x14ac:dyDescent="0.35">
      <c r="O605" s="17"/>
    </row>
    <row r="606" spans="15:15" x14ac:dyDescent="0.35">
      <c r="O606" s="17"/>
    </row>
    <row r="607" spans="15:15" x14ac:dyDescent="0.35">
      <c r="O607" s="17"/>
    </row>
    <row r="608" spans="15:15" x14ac:dyDescent="0.35">
      <c r="O608" s="17"/>
    </row>
    <row r="609" spans="7:15" x14ac:dyDescent="0.35">
      <c r="O609" s="17"/>
    </row>
    <row r="610" spans="7:15" x14ac:dyDescent="0.35">
      <c r="O610" s="17"/>
    </row>
    <row r="611" spans="7:15" x14ac:dyDescent="0.35">
      <c r="G611" s="16">
        <v>0.39791666666666664</v>
      </c>
      <c r="O611" s="17"/>
    </row>
    <row r="612" spans="7:15" x14ac:dyDescent="0.35">
      <c r="O612" s="17"/>
    </row>
    <row r="613" spans="7:15" x14ac:dyDescent="0.35">
      <c r="O613" s="17"/>
    </row>
    <row r="614" spans="7:15" x14ac:dyDescent="0.35">
      <c r="O614" s="17"/>
    </row>
    <row r="615" spans="7:15" x14ac:dyDescent="0.35">
      <c r="O615" s="17"/>
    </row>
    <row r="616" spans="7:15" x14ac:dyDescent="0.35">
      <c r="O616" s="17"/>
    </row>
    <row r="617" spans="7:15" x14ac:dyDescent="0.35">
      <c r="O617" s="17"/>
    </row>
    <row r="618" spans="7:15" x14ac:dyDescent="0.35">
      <c r="O61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7335-3229-48D9-A311-3A982766ED46}">
  <dimension ref="A1:F276"/>
  <sheetViews>
    <sheetView workbookViewId="0">
      <selection activeCell="I8" sqref="I8"/>
    </sheetView>
  </sheetViews>
  <sheetFormatPr baseColWidth="10" defaultRowHeight="14.5" x14ac:dyDescent="0.35"/>
  <cols>
    <col min="4" max="4" width="25.36328125" bestFit="1" customWidth="1"/>
  </cols>
  <sheetData>
    <row r="1" spans="1:6" s="27" customFormat="1" x14ac:dyDescent="0.35">
      <c r="A1" s="27" t="s">
        <v>461</v>
      </c>
      <c r="B1" s="27" t="s">
        <v>455</v>
      </c>
      <c r="C1" s="27" t="s">
        <v>461</v>
      </c>
      <c r="D1" s="27" t="s">
        <v>462</v>
      </c>
      <c r="E1" s="27" t="s">
        <v>463</v>
      </c>
      <c r="F1" s="27" t="s">
        <v>532</v>
      </c>
    </row>
    <row r="2" spans="1:6" x14ac:dyDescent="0.35">
      <c r="A2">
        <v>574</v>
      </c>
      <c r="B2">
        <v>331</v>
      </c>
      <c r="C2">
        <v>574</v>
      </c>
      <c r="D2" t="s">
        <v>7</v>
      </c>
      <c r="E2" t="s">
        <v>464</v>
      </c>
      <c r="F2" t="s">
        <v>6</v>
      </c>
    </row>
    <row r="3" spans="1:6" x14ac:dyDescent="0.35">
      <c r="A3">
        <v>575</v>
      </c>
      <c r="B3">
        <v>331</v>
      </c>
      <c r="C3">
        <v>575</v>
      </c>
      <c r="D3" t="s">
        <v>7</v>
      </c>
      <c r="E3" t="s">
        <v>464</v>
      </c>
      <c r="F3" t="s">
        <v>6</v>
      </c>
    </row>
    <row r="4" spans="1:6" x14ac:dyDescent="0.35">
      <c r="A4">
        <v>788</v>
      </c>
      <c r="B4">
        <v>61</v>
      </c>
      <c r="C4">
        <v>788</v>
      </c>
      <c r="D4" t="s">
        <v>7</v>
      </c>
      <c r="E4" t="s">
        <v>464</v>
      </c>
      <c r="F4" t="s">
        <v>6</v>
      </c>
    </row>
    <row r="5" spans="1:6" x14ac:dyDescent="0.35">
      <c r="A5">
        <v>907</v>
      </c>
      <c r="B5">
        <v>287</v>
      </c>
      <c r="C5">
        <v>907</v>
      </c>
      <c r="D5" t="s">
        <v>7</v>
      </c>
      <c r="E5" t="s">
        <v>464</v>
      </c>
      <c r="F5" t="s">
        <v>99</v>
      </c>
    </row>
    <row r="6" spans="1:6" x14ac:dyDescent="0.35">
      <c r="A6">
        <v>1010</v>
      </c>
      <c r="B6">
        <v>481</v>
      </c>
      <c r="C6">
        <v>1010</v>
      </c>
      <c r="D6" t="s">
        <v>7</v>
      </c>
      <c r="E6" t="s">
        <v>464</v>
      </c>
      <c r="F6" t="s">
        <v>6</v>
      </c>
    </row>
    <row r="7" spans="1:6" x14ac:dyDescent="0.35">
      <c r="A7">
        <v>1011</v>
      </c>
      <c r="B7">
        <v>481</v>
      </c>
      <c r="C7">
        <v>1011</v>
      </c>
      <c r="D7" t="s">
        <v>7</v>
      </c>
      <c r="E7" t="s">
        <v>464</v>
      </c>
      <c r="F7" t="s">
        <v>6</v>
      </c>
    </row>
    <row r="8" spans="1:6" x14ac:dyDescent="0.35">
      <c r="A8">
        <v>1027</v>
      </c>
      <c r="B8">
        <v>795</v>
      </c>
      <c r="C8">
        <v>1027</v>
      </c>
      <c r="D8" t="s">
        <v>7</v>
      </c>
      <c r="E8" t="s">
        <v>464</v>
      </c>
      <c r="F8" t="s">
        <v>6</v>
      </c>
    </row>
    <row r="9" spans="1:6" x14ac:dyDescent="0.35">
      <c r="A9">
        <v>1028</v>
      </c>
      <c r="B9">
        <v>795</v>
      </c>
      <c r="C9">
        <v>1028</v>
      </c>
      <c r="D9" t="s">
        <v>7</v>
      </c>
      <c r="E9" t="s">
        <v>464</v>
      </c>
      <c r="F9" t="s">
        <v>6</v>
      </c>
    </row>
    <row r="10" spans="1:6" x14ac:dyDescent="0.35">
      <c r="A10">
        <v>1029</v>
      </c>
      <c r="B10">
        <v>795</v>
      </c>
      <c r="C10">
        <v>1029</v>
      </c>
      <c r="D10" t="s">
        <v>7</v>
      </c>
      <c r="E10" t="s">
        <v>464</v>
      </c>
      <c r="F10" t="s">
        <v>6</v>
      </c>
    </row>
    <row r="11" spans="1:6" x14ac:dyDescent="0.35">
      <c r="A11">
        <v>1477</v>
      </c>
      <c r="B11">
        <v>745</v>
      </c>
      <c r="C11">
        <v>1477</v>
      </c>
      <c r="D11" t="s">
        <v>7</v>
      </c>
      <c r="E11" t="s">
        <v>464</v>
      </c>
      <c r="F11" t="s">
        <v>6</v>
      </c>
    </row>
    <row r="12" spans="1:6" x14ac:dyDescent="0.35">
      <c r="A12">
        <v>1508</v>
      </c>
      <c r="B12">
        <v>377</v>
      </c>
      <c r="C12">
        <v>1508</v>
      </c>
      <c r="D12" t="s">
        <v>7</v>
      </c>
      <c r="E12" t="s">
        <v>464</v>
      </c>
      <c r="F12" t="s">
        <v>99</v>
      </c>
    </row>
    <row r="13" spans="1:6" x14ac:dyDescent="0.35">
      <c r="A13">
        <v>1515</v>
      </c>
      <c r="B13">
        <v>692</v>
      </c>
      <c r="C13">
        <v>1515</v>
      </c>
      <c r="D13" t="s">
        <v>7</v>
      </c>
      <c r="E13" t="s">
        <v>464</v>
      </c>
      <c r="F13" t="s">
        <v>6</v>
      </c>
    </row>
    <row r="14" spans="1:6" x14ac:dyDescent="0.35">
      <c r="A14">
        <v>1516</v>
      </c>
      <c r="B14">
        <v>692</v>
      </c>
      <c r="C14">
        <v>1516</v>
      </c>
      <c r="D14" t="s">
        <v>7</v>
      </c>
      <c r="E14" t="s">
        <v>464</v>
      </c>
      <c r="F14" t="s">
        <v>6</v>
      </c>
    </row>
    <row r="15" spans="1:6" x14ac:dyDescent="0.35">
      <c r="A15">
        <v>1528</v>
      </c>
      <c r="B15">
        <v>395</v>
      </c>
      <c r="C15">
        <v>1528</v>
      </c>
      <c r="D15" t="s">
        <v>7</v>
      </c>
      <c r="E15" t="s">
        <v>464</v>
      </c>
      <c r="F15" t="s">
        <v>6</v>
      </c>
    </row>
    <row r="16" spans="1:6" x14ac:dyDescent="0.35">
      <c r="A16">
        <v>1529</v>
      </c>
      <c r="B16">
        <v>395</v>
      </c>
      <c r="C16">
        <v>1529</v>
      </c>
      <c r="D16" t="s">
        <v>7</v>
      </c>
      <c r="E16" t="s">
        <v>464</v>
      </c>
      <c r="F16" t="s">
        <v>6</v>
      </c>
    </row>
    <row r="17" spans="1:6" x14ac:dyDescent="0.35">
      <c r="A17">
        <v>1541</v>
      </c>
      <c r="B17">
        <v>141</v>
      </c>
      <c r="C17">
        <v>1541</v>
      </c>
      <c r="D17" t="s">
        <v>7</v>
      </c>
      <c r="E17" t="s">
        <v>464</v>
      </c>
      <c r="F17" t="s">
        <v>6</v>
      </c>
    </row>
    <row r="18" spans="1:6" x14ac:dyDescent="0.35">
      <c r="A18">
        <v>1565</v>
      </c>
      <c r="B18">
        <v>438</v>
      </c>
      <c r="C18">
        <v>1565</v>
      </c>
      <c r="D18" t="s">
        <v>7</v>
      </c>
      <c r="E18" t="s">
        <v>464</v>
      </c>
      <c r="F18" t="s">
        <v>6</v>
      </c>
    </row>
    <row r="19" spans="1:6" x14ac:dyDescent="0.35">
      <c r="A19">
        <v>2254</v>
      </c>
      <c r="B19">
        <v>108</v>
      </c>
      <c r="C19">
        <v>2254</v>
      </c>
      <c r="D19" t="s">
        <v>7</v>
      </c>
      <c r="E19" t="s">
        <v>464</v>
      </c>
      <c r="F19" t="s">
        <v>99</v>
      </c>
    </row>
    <row r="20" spans="1:6" x14ac:dyDescent="0.35">
      <c r="A20">
        <v>2444</v>
      </c>
      <c r="B20">
        <v>322</v>
      </c>
      <c r="C20">
        <v>2444</v>
      </c>
      <c r="D20" t="s">
        <v>7</v>
      </c>
      <c r="E20" t="s">
        <v>464</v>
      </c>
      <c r="F20" t="s">
        <v>6</v>
      </c>
    </row>
    <row r="21" spans="1:6" x14ac:dyDescent="0.35">
      <c r="A21">
        <v>5000</v>
      </c>
      <c r="B21">
        <v>1</v>
      </c>
      <c r="C21">
        <v>5000</v>
      </c>
      <c r="D21" t="s">
        <v>7</v>
      </c>
      <c r="E21" t="s">
        <v>464</v>
      </c>
      <c r="F21" t="s">
        <v>6</v>
      </c>
    </row>
    <row r="22" spans="1:6" x14ac:dyDescent="0.35">
      <c r="A22">
        <v>5001</v>
      </c>
      <c r="B22">
        <v>6</v>
      </c>
      <c r="C22">
        <v>5001</v>
      </c>
      <c r="D22" t="s">
        <v>7</v>
      </c>
      <c r="E22" t="s">
        <v>464</v>
      </c>
      <c r="F22" t="s">
        <v>6</v>
      </c>
    </row>
    <row r="23" spans="1:6" x14ac:dyDescent="0.35">
      <c r="A23">
        <v>5002</v>
      </c>
      <c r="B23">
        <v>59</v>
      </c>
      <c r="C23">
        <v>5002</v>
      </c>
      <c r="D23" t="s">
        <v>7</v>
      </c>
      <c r="E23" t="s">
        <v>464</v>
      </c>
      <c r="F23" t="s">
        <v>6</v>
      </c>
    </row>
    <row r="24" spans="1:6" x14ac:dyDescent="0.35">
      <c r="A24">
        <v>5005</v>
      </c>
      <c r="B24">
        <v>361</v>
      </c>
      <c r="C24">
        <v>5005</v>
      </c>
      <c r="D24" t="s">
        <v>7</v>
      </c>
      <c r="E24" t="s">
        <v>464</v>
      </c>
      <c r="F24" t="s">
        <v>6</v>
      </c>
    </row>
    <row r="25" spans="1:6" x14ac:dyDescent="0.35">
      <c r="A25">
        <v>5009</v>
      </c>
      <c r="B25">
        <v>777</v>
      </c>
      <c r="C25">
        <v>5009</v>
      </c>
      <c r="D25" t="s">
        <v>7</v>
      </c>
      <c r="E25" t="s">
        <v>464</v>
      </c>
      <c r="F25" t="s">
        <v>6</v>
      </c>
    </row>
    <row r="26" spans="1:6" x14ac:dyDescent="0.35">
      <c r="A26">
        <v>5013</v>
      </c>
      <c r="B26">
        <v>779</v>
      </c>
      <c r="C26">
        <v>5013</v>
      </c>
      <c r="D26" t="s">
        <v>7</v>
      </c>
      <c r="E26" t="s">
        <v>464</v>
      </c>
      <c r="F26" t="s">
        <v>6</v>
      </c>
    </row>
    <row r="27" spans="1:6" x14ac:dyDescent="0.35">
      <c r="A27">
        <v>5019</v>
      </c>
      <c r="B27">
        <v>907</v>
      </c>
      <c r="C27">
        <v>5019</v>
      </c>
      <c r="D27" t="s">
        <v>7</v>
      </c>
      <c r="E27" t="s">
        <v>464</v>
      </c>
      <c r="F27" t="s">
        <v>6</v>
      </c>
    </row>
    <row r="28" spans="1:6" x14ac:dyDescent="0.35">
      <c r="A28">
        <v>5020</v>
      </c>
      <c r="B28">
        <v>882</v>
      </c>
      <c r="C28">
        <v>5020</v>
      </c>
      <c r="D28" t="s">
        <v>7</v>
      </c>
      <c r="E28" t="s">
        <v>464</v>
      </c>
      <c r="F28" t="s">
        <v>6</v>
      </c>
    </row>
    <row r="29" spans="1:6" x14ac:dyDescent="0.35">
      <c r="A29">
        <v>5021</v>
      </c>
      <c r="B29">
        <v>277</v>
      </c>
      <c r="C29">
        <v>5021</v>
      </c>
      <c r="D29" t="s">
        <v>7</v>
      </c>
      <c r="E29" t="s">
        <v>464</v>
      </c>
      <c r="F29" t="s">
        <v>6</v>
      </c>
    </row>
    <row r="30" spans="1:6" x14ac:dyDescent="0.35">
      <c r="A30">
        <v>5023</v>
      </c>
      <c r="B30">
        <v>825</v>
      </c>
      <c r="C30">
        <v>5023</v>
      </c>
      <c r="D30" t="s">
        <v>7</v>
      </c>
      <c r="E30" t="s">
        <v>464</v>
      </c>
      <c r="F30" t="s">
        <v>6</v>
      </c>
    </row>
    <row r="31" spans="1:6" x14ac:dyDescent="0.35">
      <c r="A31">
        <v>5027</v>
      </c>
      <c r="B31">
        <v>32</v>
      </c>
      <c r="C31">
        <v>5027</v>
      </c>
      <c r="D31" t="s">
        <v>7</v>
      </c>
      <c r="E31" t="s">
        <v>464</v>
      </c>
      <c r="F31" t="s">
        <v>6</v>
      </c>
    </row>
    <row r="32" spans="1:6" x14ac:dyDescent="0.35">
      <c r="A32">
        <v>5030</v>
      </c>
      <c r="B32">
        <v>167</v>
      </c>
      <c r="C32">
        <v>5030</v>
      </c>
      <c r="D32" t="s">
        <v>7</v>
      </c>
      <c r="E32" t="s">
        <v>464</v>
      </c>
      <c r="F32" t="s">
        <v>6</v>
      </c>
    </row>
    <row r="33" spans="1:6" x14ac:dyDescent="0.35">
      <c r="A33">
        <v>5034</v>
      </c>
      <c r="B33">
        <v>275</v>
      </c>
      <c r="C33">
        <v>5034</v>
      </c>
      <c r="D33" t="s">
        <v>7</v>
      </c>
      <c r="E33" t="s">
        <v>464</v>
      </c>
      <c r="F33" t="s">
        <v>6</v>
      </c>
    </row>
    <row r="34" spans="1:6" x14ac:dyDescent="0.35">
      <c r="A34">
        <v>5036</v>
      </c>
      <c r="B34">
        <v>81</v>
      </c>
      <c r="C34">
        <v>5036</v>
      </c>
      <c r="D34" t="s">
        <v>7</v>
      </c>
      <c r="E34" t="s">
        <v>464</v>
      </c>
      <c r="F34" t="s">
        <v>6</v>
      </c>
    </row>
    <row r="35" spans="1:6" x14ac:dyDescent="0.35">
      <c r="A35">
        <v>5040</v>
      </c>
      <c r="B35">
        <v>824</v>
      </c>
      <c r="C35">
        <v>5040</v>
      </c>
      <c r="D35" t="s">
        <v>7</v>
      </c>
      <c r="E35" t="s">
        <v>464</v>
      </c>
      <c r="F35" t="s">
        <v>6</v>
      </c>
    </row>
    <row r="36" spans="1:6" x14ac:dyDescent="0.35">
      <c r="A36">
        <v>5041</v>
      </c>
      <c r="B36">
        <v>154</v>
      </c>
      <c r="C36">
        <v>5041</v>
      </c>
      <c r="D36" t="s">
        <v>7</v>
      </c>
      <c r="E36" t="s">
        <v>464</v>
      </c>
      <c r="F36" t="s">
        <v>6</v>
      </c>
    </row>
    <row r="37" spans="1:6" x14ac:dyDescent="0.35">
      <c r="A37">
        <v>5043</v>
      </c>
      <c r="B37" t="s">
        <v>456</v>
      </c>
      <c r="C37">
        <v>5043</v>
      </c>
      <c r="D37" t="s">
        <v>7</v>
      </c>
      <c r="E37" t="s">
        <v>464</v>
      </c>
      <c r="F37" t="s">
        <v>6</v>
      </c>
    </row>
    <row r="38" spans="1:6" x14ac:dyDescent="0.35">
      <c r="A38">
        <v>5045</v>
      </c>
      <c r="B38">
        <v>879</v>
      </c>
      <c r="C38">
        <v>5045</v>
      </c>
      <c r="D38" t="s">
        <v>7</v>
      </c>
      <c r="E38" t="s">
        <v>464</v>
      </c>
      <c r="F38" t="s">
        <v>6</v>
      </c>
    </row>
    <row r="39" spans="1:6" x14ac:dyDescent="0.35">
      <c r="A39">
        <v>5046</v>
      </c>
      <c r="B39">
        <v>723</v>
      </c>
      <c r="C39">
        <v>5046</v>
      </c>
      <c r="D39" t="s">
        <v>7</v>
      </c>
      <c r="E39" t="s">
        <v>464</v>
      </c>
      <c r="F39" t="s">
        <v>6</v>
      </c>
    </row>
    <row r="40" spans="1:6" x14ac:dyDescent="0.35">
      <c r="A40">
        <v>5047</v>
      </c>
      <c r="B40">
        <v>623</v>
      </c>
      <c r="C40">
        <v>5047</v>
      </c>
      <c r="D40" t="s">
        <v>7</v>
      </c>
      <c r="E40" t="s">
        <v>464</v>
      </c>
      <c r="F40" t="s">
        <v>6</v>
      </c>
    </row>
    <row r="41" spans="1:6" x14ac:dyDescent="0.35">
      <c r="A41">
        <v>5048</v>
      </c>
      <c r="B41">
        <v>261</v>
      </c>
      <c r="C41">
        <v>5048</v>
      </c>
      <c r="D41" t="s">
        <v>7</v>
      </c>
      <c r="E41" t="s">
        <v>464</v>
      </c>
      <c r="F41" t="s">
        <v>6</v>
      </c>
    </row>
    <row r="42" spans="1:6" x14ac:dyDescent="0.35">
      <c r="A42">
        <v>5049</v>
      </c>
      <c r="B42">
        <v>682</v>
      </c>
      <c r="C42">
        <v>5049</v>
      </c>
      <c r="D42" t="s">
        <v>7</v>
      </c>
      <c r="E42" t="s">
        <v>464</v>
      </c>
      <c r="F42" t="s">
        <v>6</v>
      </c>
    </row>
    <row r="43" spans="1:6" x14ac:dyDescent="0.35">
      <c r="A43">
        <v>5050</v>
      </c>
      <c r="B43">
        <v>852</v>
      </c>
      <c r="C43">
        <v>5050</v>
      </c>
      <c r="D43" t="s">
        <v>7</v>
      </c>
      <c r="E43" t="s">
        <v>464</v>
      </c>
      <c r="F43" t="s">
        <v>6</v>
      </c>
    </row>
    <row r="44" spans="1:6" x14ac:dyDescent="0.35">
      <c r="A44">
        <v>5051</v>
      </c>
      <c r="B44">
        <v>769</v>
      </c>
      <c r="C44">
        <v>5051</v>
      </c>
      <c r="D44" t="s">
        <v>7</v>
      </c>
      <c r="E44" t="s">
        <v>464</v>
      </c>
      <c r="F44" t="s">
        <v>6</v>
      </c>
    </row>
    <row r="45" spans="1:6" x14ac:dyDescent="0.35">
      <c r="A45">
        <v>5052</v>
      </c>
      <c r="B45">
        <v>916</v>
      </c>
      <c r="C45">
        <v>5052</v>
      </c>
      <c r="D45" t="s">
        <v>7</v>
      </c>
      <c r="E45" t="s">
        <v>464</v>
      </c>
      <c r="F45" t="s">
        <v>6</v>
      </c>
    </row>
    <row r="46" spans="1:6" x14ac:dyDescent="0.35">
      <c r="A46">
        <v>5053</v>
      </c>
      <c r="B46">
        <v>517</v>
      </c>
      <c r="C46">
        <v>5053</v>
      </c>
      <c r="D46" t="s">
        <v>7</v>
      </c>
      <c r="E46" t="s">
        <v>464</v>
      </c>
      <c r="F46" t="s">
        <v>6</v>
      </c>
    </row>
    <row r="47" spans="1:6" x14ac:dyDescent="0.35">
      <c r="A47">
        <v>5057</v>
      </c>
      <c r="B47">
        <v>781</v>
      </c>
      <c r="C47">
        <v>5057</v>
      </c>
      <c r="D47" t="s">
        <v>7</v>
      </c>
      <c r="E47" t="s">
        <v>464</v>
      </c>
      <c r="F47" t="s">
        <v>6</v>
      </c>
    </row>
    <row r="48" spans="1:6" x14ac:dyDescent="0.35">
      <c r="A48">
        <v>5059</v>
      </c>
      <c r="B48">
        <v>7</v>
      </c>
      <c r="C48">
        <v>5059</v>
      </c>
      <c r="D48" t="s">
        <v>7</v>
      </c>
      <c r="E48" t="s">
        <v>464</v>
      </c>
      <c r="F48" t="s">
        <v>6</v>
      </c>
    </row>
    <row r="49" spans="1:6" x14ac:dyDescent="0.35">
      <c r="A49">
        <v>5064</v>
      </c>
      <c r="B49">
        <v>392</v>
      </c>
      <c r="C49">
        <v>5064</v>
      </c>
      <c r="D49" t="s">
        <v>7</v>
      </c>
      <c r="E49" t="s">
        <v>464</v>
      </c>
      <c r="F49" t="s">
        <v>6</v>
      </c>
    </row>
    <row r="50" spans="1:6" x14ac:dyDescent="0.35">
      <c r="A50">
        <v>5066</v>
      </c>
      <c r="B50">
        <v>24</v>
      </c>
      <c r="C50">
        <v>5066</v>
      </c>
      <c r="D50" t="s">
        <v>7</v>
      </c>
      <c r="E50" t="s">
        <v>464</v>
      </c>
      <c r="F50" t="s">
        <v>6</v>
      </c>
    </row>
    <row r="51" spans="1:6" x14ac:dyDescent="0.35">
      <c r="A51">
        <v>5067</v>
      </c>
      <c r="B51">
        <v>211</v>
      </c>
      <c r="C51">
        <v>5067</v>
      </c>
      <c r="D51" t="s">
        <v>7</v>
      </c>
      <c r="E51" t="s">
        <v>464</v>
      </c>
      <c r="F51" t="s">
        <v>6</v>
      </c>
    </row>
    <row r="52" spans="1:6" x14ac:dyDescent="0.35">
      <c r="A52">
        <v>5070</v>
      </c>
      <c r="B52">
        <v>652</v>
      </c>
      <c r="C52">
        <v>5070</v>
      </c>
      <c r="D52" t="s">
        <v>7</v>
      </c>
      <c r="E52" t="s">
        <v>464</v>
      </c>
      <c r="F52" t="s">
        <v>6</v>
      </c>
    </row>
    <row r="53" spans="1:6" x14ac:dyDescent="0.35">
      <c r="A53">
        <v>5076</v>
      </c>
      <c r="B53">
        <v>333</v>
      </c>
      <c r="C53">
        <v>5076</v>
      </c>
      <c r="D53" t="s">
        <v>7</v>
      </c>
      <c r="E53" t="s">
        <v>464</v>
      </c>
      <c r="F53" t="s">
        <v>6</v>
      </c>
    </row>
    <row r="54" spans="1:6" x14ac:dyDescent="0.35">
      <c r="A54">
        <v>5077</v>
      </c>
      <c r="B54">
        <v>419</v>
      </c>
      <c r="C54">
        <v>5077</v>
      </c>
      <c r="D54" t="s">
        <v>7</v>
      </c>
      <c r="E54" t="s">
        <v>464</v>
      </c>
      <c r="F54" t="s">
        <v>6</v>
      </c>
    </row>
    <row r="55" spans="1:6" x14ac:dyDescent="0.35">
      <c r="A55">
        <v>5078</v>
      </c>
      <c r="B55">
        <v>19</v>
      </c>
      <c r="C55">
        <v>5078</v>
      </c>
      <c r="D55" t="s">
        <v>7</v>
      </c>
      <c r="E55" t="s">
        <v>464</v>
      </c>
      <c r="F55" t="s">
        <v>6</v>
      </c>
    </row>
    <row r="56" spans="1:6" x14ac:dyDescent="0.35">
      <c r="A56">
        <v>5079</v>
      </c>
      <c r="B56">
        <v>8</v>
      </c>
      <c r="C56">
        <v>5079</v>
      </c>
      <c r="D56" t="s">
        <v>7</v>
      </c>
      <c r="E56" t="s">
        <v>464</v>
      </c>
      <c r="F56" t="s">
        <v>6</v>
      </c>
    </row>
    <row r="57" spans="1:6" x14ac:dyDescent="0.35">
      <c r="A57">
        <v>5080</v>
      </c>
      <c r="B57">
        <v>115</v>
      </c>
      <c r="C57">
        <v>5080</v>
      </c>
      <c r="D57" t="s">
        <v>7</v>
      </c>
      <c r="E57" t="s">
        <v>464</v>
      </c>
      <c r="F57" t="s">
        <v>6</v>
      </c>
    </row>
    <row r="58" spans="1:6" x14ac:dyDescent="0.35">
      <c r="A58">
        <v>5081</v>
      </c>
      <c r="B58">
        <v>486</v>
      </c>
      <c r="C58">
        <v>5081</v>
      </c>
      <c r="D58" t="s">
        <v>7</v>
      </c>
      <c r="E58" t="s">
        <v>464</v>
      </c>
      <c r="F58" t="s">
        <v>6</v>
      </c>
    </row>
    <row r="59" spans="1:6" x14ac:dyDescent="0.35">
      <c r="A59">
        <v>5082</v>
      </c>
      <c r="B59">
        <v>523</v>
      </c>
      <c r="C59">
        <v>5082</v>
      </c>
      <c r="D59" t="s">
        <v>7</v>
      </c>
      <c r="E59" t="s">
        <v>464</v>
      </c>
      <c r="F59" t="s">
        <v>6</v>
      </c>
    </row>
    <row r="60" spans="1:6" x14ac:dyDescent="0.35">
      <c r="A60">
        <v>5083</v>
      </c>
      <c r="B60">
        <v>265</v>
      </c>
      <c r="C60">
        <v>5083</v>
      </c>
      <c r="D60" t="s">
        <v>7</v>
      </c>
      <c r="E60" t="s">
        <v>464</v>
      </c>
      <c r="F60" t="s">
        <v>6</v>
      </c>
    </row>
    <row r="61" spans="1:6" x14ac:dyDescent="0.35">
      <c r="A61">
        <v>5084</v>
      </c>
      <c r="B61">
        <v>197</v>
      </c>
      <c r="C61">
        <v>5084</v>
      </c>
      <c r="D61" t="s">
        <v>7</v>
      </c>
      <c r="E61" t="s">
        <v>464</v>
      </c>
      <c r="F61" t="s">
        <v>6</v>
      </c>
    </row>
    <row r="62" spans="1:6" x14ac:dyDescent="0.35">
      <c r="A62">
        <v>5087</v>
      </c>
      <c r="B62">
        <v>634</v>
      </c>
      <c r="C62">
        <v>5087</v>
      </c>
      <c r="D62" t="s">
        <v>7</v>
      </c>
      <c r="E62" t="s">
        <v>464</v>
      </c>
      <c r="F62" t="s">
        <v>6</v>
      </c>
    </row>
    <row r="63" spans="1:6" x14ac:dyDescent="0.35">
      <c r="A63">
        <v>5102</v>
      </c>
      <c r="B63">
        <v>659</v>
      </c>
      <c r="C63">
        <v>5102</v>
      </c>
      <c r="D63" t="s">
        <v>7</v>
      </c>
      <c r="E63" t="s">
        <v>464</v>
      </c>
      <c r="F63" t="s">
        <v>6</v>
      </c>
    </row>
    <row r="64" spans="1:6" x14ac:dyDescent="0.35">
      <c r="A64">
        <v>5103</v>
      </c>
      <c r="B64">
        <v>656</v>
      </c>
      <c r="C64">
        <v>5103</v>
      </c>
      <c r="D64" t="s">
        <v>7</v>
      </c>
      <c r="E64" t="s">
        <v>464</v>
      </c>
      <c r="F64" t="s">
        <v>6</v>
      </c>
    </row>
    <row r="65" spans="1:6" x14ac:dyDescent="0.35">
      <c r="A65">
        <v>5104</v>
      </c>
      <c r="B65">
        <v>430</v>
      </c>
      <c r="C65">
        <v>5104</v>
      </c>
      <c r="D65" t="s">
        <v>7</v>
      </c>
      <c r="E65" t="s">
        <v>464</v>
      </c>
      <c r="F65" t="s">
        <v>6</v>
      </c>
    </row>
    <row r="66" spans="1:6" x14ac:dyDescent="0.35">
      <c r="A66">
        <v>5106</v>
      </c>
      <c r="B66">
        <v>743</v>
      </c>
      <c r="C66">
        <v>5106</v>
      </c>
      <c r="D66" t="s">
        <v>7</v>
      </c>
      <c r="E66" t="s">
        <v>464</v>
      </c>
      <c r="F66" t="s">
        <v>6</v>
      </c>
    </row>
    <row r="67" spans="1:6" x14ac:dyDescent="0.35">
      <c r="A67">
        <v>5108</v>
      </c>
      <c r="B67">
        <v>73</v>
      </c>
      <c r="C67">
        <v>5108</v>
      </c>
      <c r="D67" t="s">
        <v>7</v>
      </c>
      <c r="E67" t="s">
        <v>464</v>
      </c>
      <c r="F67" t="s">
        <v>6</v>
      </c>
    </row>
    <row r="68" spans="1:6" x14ac:dyDescent="0.35">
      <c r="A68">
        <v>5111</v>
      </c>
      <c r="B68">
        <v>88</v>
      </c>
      <c r="C68">
        <v>5111</v>
      </c>
      <c r="D68" t="s">
        <v>7</v>
      </c>
      <c r="E68" t="s">
        <v>464</v>
      </c>
      <c r="F68" t="s">
        <v>6</v>
      </c>
    </row>
    <row r="69" spans="1:6" x14ac:dyDescent="0.35">
      <c r="A69">
        <v>5112</v>
      </c>
      <c r="B69">
        <v>191</v>
      </c>
      <c r="C69">
        <v>5112</v>
      </c>
      <c r="D69" t="s">
        <v>7</v>
      </c>
      <c r="E69" t="s">
        <v>464</v>
      </c>
      <c r="F69" t="s">
        <v>6</v>
      </c>
    </row>
    <row r="70" spans="1:6" x14ac:dyDescent="0.35">
      <c r="A70">
        <v>5114</v>
      </c>
      <c r="B70">
        <v>291</v>
      </c>
      <c r="C70">
        <v>5114</v>
      </c>
      <c r="D70" t="s">
        <v>7</v>
      </c>
      <c r="E70" t="s">
        <v>464</v>
      </c>
      <c r="F70" t="s">
        <v>6</v>
      </c>
    </row>
    <row r="71" spans="1:6" x14ac:dyDescent="0.35">
      <c r="A71">
        <v>5115</v>
      </c>
      <c r="B71">
        <v>937</v>
      </c>
      <c r="C71">
        <v>5115</v>
      </c>
      <c r="D71" t="s">
        <v>7</v>
      </c>
      <c r="E71" t="s">
        <v>464</v>
      </c>
      <c r="F71" t="s">
        <v>6</v>
      </c>
    </row>
    <row r="72" spans="1:6" x14ac:dyDescent="0.35">
      <c r="A72">
        <v>5116</v>
      </c>
      <c r="B72">
        <v>292</v>
      </c>
      <c r="C72">
        <v>5116</v>
      </c>
      <c r="D72" t="s">
        <v>7</v>
      </c>
      <c r="E72" t="s">
        <v>464</v>
      </c>
      <c r="F72" t="s">
        <v>6</v>
      </c>
    </row>
    <row r="73" spans="1:6" x14ac:dyDescent="0.35">
      <c r="A73">
        <v>5118</v>
      </c>
      <c r="B73">
        <v>789</v>
      </c>
      <c r="C73">
        <v>5118</v>
      </c>
      <c r="D73" t="s">
        <v>7</v>
      </c>
      <c r="E73" t="s">
        <v>464</v>
      </c>
      <c r="F73" t="s">
        <v>6</v>
      </c>
    </row>
    <row r="74" spans="1:6" x14ac:dyDescent="0.35">
      <c r="A74">
        <v>5122</v>
      </c>
      <c r="B74">
        <v>511</v>
      </c>
      <c r="C74">
        <v>5122</v>
      </c>
      <c r="D74" t="s">
        <v>7</v>
      </c>
      <c r="E74" t="s">
        <v>464</v>
      </c>
      <c r="F74" t="s">
        <v>6</v>
      </c>
    </row>
    <row r="75" spans="1:6" x14ac:dyDescent="0.35">
      <c r="A75">
        <v>5126</v>
      </c>
      <c r="B75">
        <v>76</v>
      </c>
      <c r="C75">
        <v>5126</v>
      </c>
      <c r="D75" t="s">
        <v>7</v>
      </c>
      <c r="E75" t="s">
        <v>464</v>
      </c>
      <c r="F75" t="s">
        <v>6</v>
      </c>
    </row>
    <row r="76" spans="1:6" x14ac:dyDescent="0.35">
      <c r="A76">
        <v>5128</v>
      </c>
      <c r="B76">
        <v>101</v>
      </c>
      <c r="C76">
        <v>5128</v>
      </c>
      <c r="D76" t="s">
        <v>7</v>
      </c>
      <c r="E76" t="s">
        <v>464</v>
      </c>
      <c r="F76" t="s">
        <v>6</v>
      </c>
    </row>
    <row r="77" spans="1:6" x14ac:dyDescent="0.35">
      <c r="A77">
        <v>5129</v>
      </c>
      <c r="B77" t="s">
        <v>457</v>
      </c>
      <c r="C77">
        <v>5129</v>
      </c>
      <c r="D77" t="s">
        <v>7</v>
      </c>
      <c r="E77" t="s">
        <v>464</v>
      </c>
      <c r="F77" t="s">
        <v>6</v>
      </c>
    </row>
    <row r="78" spans="1:6" x14ac:dyDescent="0.35">
      <c r="A78">
        <v>5132</v>
      </c>
      <c r="B78">
        <v>366</v>
      </c>
      <c r="C78">
        <v>5132</v>
      </c>
      <c r="D78" t="s">
        <v>7</v>
      </c>
      <c r="E78" t="s">
        <v>464</v>
      </c>
      <c r="F78" t="s">
        <v>6</v>
      </c>
    </row>
    <row r="79" spans="1:6" x14ac:dyDescent="0.35">
      <c r="A79">
        <v>5135</v>
      </c>
      <c r="B79">
        <v>68</v>
      </c>
      <c r="C79">
        <v>5135</v>
      </c>
      <c r="D79" t="s">
        <v>7</v>
      </c>
      <c r="E79" t="s">
        <v>464</v>
      </c>
      <c r="F79" t="s">
        <v>6</v>
      </c>
    </row>
    <row r="80" spans="1:6" x14ac:dyDescent="0.35">
      <c r="A80">
        <v>5136</v>
      </c>
      <c r="B80">
        <v>318</v>
      </c>
      <c r="C80">
        <v>5136</v>
      </c>
      <c r="D80" t="s">
        <v>7</v>
      </c>
      <c r="E80" t="s">
        <v>464</v>
      </c>
      <c r="F80" t="s">
        <v>6</v>
      </c>
    </row>
    <row r="81" spans="1:6" x14ac:dyDescent="0.35">
      <c r="A81">
        <v>5137</v>
      </c>
      <c r="B81" t="s">
        <v>458</v>
      </c>
      <c r="C81">
        <v>5137</v>
      </c>
      <c r="D81" t="s">
        <v>7</v>
      </c>
      <c r="E81" t="s">
        <v>464</v>
      </c>
      <c r="F81" t="s">
        <v>6</v>
      </c>
    </row>
    <row r="82" spans="1:6" x14ac:dyDescent="0.35">
      <c r="A82">
        <v>5139</v>
      </c>
      <c r="B82">
        <v>300</v>
      </c>
      <c r="C82">
        <v>5139</v>
      </c>
      <c r="D82" t="s">
        <v>7</v>
      </c>
      <c r="E82" t="s">
        <v>464</v>
      </c>
      <c r="F82" t="s">
        <v>6</v>
      </c>
    </row>
    <row r="83" spans="1:6" x14ac:dyDescent="0.35">
      <c r="A83">
        <v>5141</v>
      </c>
      <c r="B83">
        <v>53</v>
      </c>
      <c r="C83">
        <v>5141</v>
      </c>
      <c r="D83" t="s">
        <v>7</v>
      </c>
      <c r="E83" t="s">
        <v>464</v>
      </c>
      <c r="F83" t="s">
        <v>6</v>
      </c>
    </row>
    <row r="84" spans="1:6" x14ac:dyDescent="0.35">
      <c r="A84">
        <v>5142</v>
      </c>
      <c r="B84">
        <v>40</v>
      </c>
      <c r="C84">
        <v>5142</v>
      </c>
      <c r="D84" t="s">
        <v>7</v>
      </c>
      <c r="E84" t="s">
        <v>464</v>
      </c>
      <c r="F84" t="s">
        <v>6</v>
      </c>
    </row>
    <row r="85" spans="1:6" x14ac:dyDescent="0.35">
      <c r="A85">
        <v>5143</v>
      </c>
      <c r="B85">
        <v>927</v>
      </c>
      <c r="C85">
        <v>5143</v>
      </c>
      <c r="D85" t="s">
        <v>7</v>
      </c>
      <c r="E85" t="s">
        <v>464</v>
      </c>
      <c r="F85" t="s">
        <v>6</v>
      </c>
    </row>
    <row r="86" spans="1:6" x14ac:dyDescent="0.35">
      <c r="A86">
        <v>5144</v>
      </c>
      <c r="B86" t="s">
        <v>459</v>
      </c>
      <c r="C86">
        <v>5144</v>
      </c>
      <c r="D86" t="s">
        <v>7</v>
      </c>
      <c r="E86" t="s">
        <v>464</v>
      </c>
      <c r="F86" t="s">
        <v>6</v>
      </c>
    </row>
    <row r="87" spans="1:6" x14ac:dyDescent="0.35">
      <c r="A87">
        <v>5147</v>
      </c>
      <c r="B87">
        <v>279</v>
      </c>
      <c r="C87">
        <v>5147</v>
      </c>
      <c r="D87" t="s">
        <v>7</v>
      </c>
      <c r="E87" t="s">
        <v>464</v>
      </c>
      <c r="F87" t="s">
        <v>6</v>
      </c>
    </row>
    <row r="88" spans="1:6" x14ac:dyDescent="0.35">
      <c r="A88">
        <v>5148</v>
      </c>
      <c r="B88">
        <v>91</v>
      </c>
      <c r="C88">
        <v>5148</v>
      </c>
      <c r="D88" t="s">
        <v>7</v>
      </c>
      <c r="E88" t="s">
        <v>464</v>
      </c>
      <c r="F88" t="s">
        <v>6</v>
      </c>
    </row>
    <row r="89" spans="1:6" x14ac:dyDescent="0.35">
      <c r="A89">
        <v>5149</v>
      </c>
      <c r="B89">
        <v>358</v>
      </c>
      <c r="C89">
        <v>5149</v>
      </c>
      <c r="D89" t="s">
        <v>7</v>
      </c>
      <c r="E89" t="s">
        <v>464</v>
      </c>
      <c r="F89" t="s">
        <v>6</v>
      </c>
    </row>
    <row r="90" spans="1:6" x14ac:dyDescent="0.35">
      <c r="A90">
        <v>5153</v>
      </c>
      <c r="B90">
        <v>262</v>
      </c>
      <c r="C90">
        <v>5153</v>
      </c>
      <c r="D90" t="s">
        <v>7</v>
      </c>
      <c r="E90" t="s">
        <v>464</v>
      </c>
      <c r="F90" t="s">
        <v>6</v>
      </c>
    </row>
    <row r="91" spans="1:6" x14ac:dyDescent="0.35">
      <c r="A91">
        <v>5155</v>
      </c>
      <c r="B91">
        <v>258</v>
      </c>
      <c r="C91">
        <v>5155</v>
      </c>
      <c r="D91" t="s">
        <v>7</v>
      </c>
      <c r="E91" t="s">
        <v>464</v>
      </c>
      <c r="F91" t="s">
        <v>6</v>
      </c>
    </row>
    <row r="92" spans="1:6" x14ac:dyDescent="0.35">
      <c r="A92">
        <v>5156</v>
      </c>
      <c r="B92">
        <v>806</v>
      </c>
      <c r="C92">
        <v>5156</v>
      </c>
      <c r="D92" t="s">
        <v>7</v>
      </c>
      <c r="E92" t="s">
        <v>464</v>
      </c>
      <c r="F92" t="s">
        <v>6</v>
      </c>
    </row>
    <row r="93" spans="1:6" x14ac:dyDescent="0.35">
      <c r="A93">
        <v>5157</v>
      </c>
      <c r="B93">
        <v>750</v>
      </c>
      <c r="C93">
        <v>5157</v>
      </c>
      <c r="D93" t="s">
        <v>7</v>
      </c>
      <c r="E93" t="s">
        <v>464</v>
      </c>
      <c r="F93" t="s">
        <v>6</v>
      </c>
    </row>
    <row r="94" spans="1:6" x14ac:dyDescent="0.35">
      <c r="A94">
        <v>5164</v>
      </c>
      <c r="B94">
        <v>70</v>
      </c>
      <c r="C94">
        <v>5164</v>
      </c>
      <c r="D94" t="s">
        <v>7</v>
      </c>
      <c r="E94" t="s">
        <v>464</v>
      </c>
      <c r="F94" t="s">
        <v>6</v>
      </c>
    </row>
    <row r="95" spans="1:6" x14ac:dyDescent="0.35">
      <c r="A95">
        <v>5166</v>
      </c>
      <c r="B95">
        <v>725</v>
      </c>
      <c r="C95">
        <v>5166</v>
      </c>
      <c r="D95" t="s">
        <v>7</v>
      </c>
      <c r="E95" t="s">
        <v>464</v>
      </c>
      <c r="F95" t="s">
        <v>6</v>
      </c>
    </row>
    <row r="96" spans="1:6" x14ac:dyDescent="0.35">
      <c r="A96">
        <v>5167</v>
      </c>
      <c r="B96">
        <v>667</v>
      </c>
      <c r="C96">
        <v>5167</v>
      </c>
      <c r="D96" t="s">
        <v>7</v>
      </c>
      <c r="E96" t="s">
        <v>464</v>
      </c>
      <c r="F96" t="s">
        <v>6</v>
      </c>
    </row>
    <row r="97" spans="1:6" x14ac:dyDescent="0.35">
      <c r="A97">
        <v>5168</v>
      </c>
      <c r="B97">
        <v>363</v>
      </c>
      <c r="C97">
        <v>5168</v>
      </c>
      <c r="D97" t="s">
        <v>7</v>
      </c>
      <c r="E97" t="s">
        <v>464</v>
      </c>
      <c r="F97" t="s">
        <v>6</v>
      </c>
    </row>
    <row r="98" spans="1:6" x14ac:dyDescent="0.35">
      <c r="A98">
        <v>5169</v>
      </c>
      <c r="B98">
        <v>388</v>
      </c>
      <c r="C98">
        <v>5169</v>
      </c>
      <c r="D98" t="s">
        <v>7</v>
      </c>
      <c r="E98" t="s">
        <v>464</v>
      </c>
      <c r="F98" t="s">
        <v>6</v>
      </c>
    </row>
    <row r="99" spans="1:6" x14ac:dyDescent="0.35">
      <c r="A99">
        <v>5170</v>
      </c>
      <c r="B99">
        <v>302</v>
      </c>
      <c r="C99">
        <v>5170</v>
      </c>
      <c r="D99" t="s">
        <v>7</v>
      </c>
      <c r="E99" t="s">
        <v>464</v>
      </c>
      <c r="F99" t="s">
        <v>6</v>
      </c>
    </row>
    <row r="100" spans="1:6" x14ac:dyDescent="0.35">
      <c r="A100">
        <v>5173</v>
      </c>
      <c r="B100">
        <v>420</v>
      </c>
      <c r="C100">
        <v>5173</v>
      </c>
      <c r="D100" t="s">
        <v>7</v>
      </c>
      <c r="E100" t="s">
        <v>464</v>
      </c>
      <c r="F100" t="s">
        <v>6</v>
      </c>
    </row>
    <row r="101" spans="1:6" x14ac:dyDescent="0.35">
      <c r="A101">
        <v>5176</v>
      </c>
      <c r="B101">
        <v>253</v>
      </c>
      <c r="C101">
        <v>5176</v>
      </c>
      <c r="D101" t="s">
        <v>7</v>
      </c>
      <c r="E101" t="s">
        <v>464</v>
      </c>
      <c r="F101" t="s">
        <v>6</v>
      </c>
    </row>
    <row r="102" spans="1:6" x14ac:dyDescent="0.35">
      <c r="A102">
        <v>5179</v>
      </c>
      <c r="B102">
        <v>198</v>
      </c>
      <c r="C102">
        <v>5179</v>
      </c>
      <c r="D102" t="s">
        <v>7</v>
      </c>
      <c r="E102" t="s">
        <v>464</v>
      </c>
      <c r="F102" t="s">
        <v>6</v>
      </c>
    </row>
    <row r="103" spans="1:6" x14ac:dyDescent="0.35">
      <c r="A103">
        <v>5181</v>
      </c>
      <c r="B103">
        <v>762</v>
      </c>
      <c r="C103">
        <v>5181</v>
      </c>
      <c r="D103" t="s">
        <v>7</v>
      </c>
      <c r="E103" t="s">
        <v>464</v>
      </c>
      <c r="F103" t="s">
        <v>6</v>
      </c>
    </row>
    <row r="104" spans="1:6" x14ac:dyDescent="0.35">
      <c r="A104">
        <v>5183</v>
      </c>
      <c r="B104">
        <v>756</v>
      </c>
      <c r="C104">
        <v>5183</v>
      </c>
      <c r="D104" t="s">
        <v>7</v>
      </c>
      <c r="E104" t="s">
        <v>464</v>
      </c>
      <c r="F104" t="s">
        <v>6</v>
      </c>
    </row>
    <row r="105" spans="1:6" x14ac:dyDescent="0.35">
      <c r="A105">
        <v>5185</v>
      </c>
      <c r="B105">
        <v>541</v>
      </c>
      <c r="C105">
        <v>5185</v>
      </c>
      <c r="D105" t="s">
        <v>7</v>
      </c>
      <c r="E105" t="s">
        <v>464</v>
      </c>
      <c r="F105" t="s">
        <v>6</v>
      </c>
    </row>
    <row r="106" spans="1:6" x14ac:dyDescent="0.35">
      <c r="A106">
        <v>5187</v>
      </c>
      <c r="B106">
        <v>698</v>
      </c>
      <c r="C106">
        <v>5187</v>
      </c>
      <c r="D106" t="s">
        <v>7</v>
      </c>
      <c r="E106" t="s">
        <v>464</v>
      </c>
      <c r="F106" t="s">
        <v>6</v>
      </c>
    </row>
    <row r="107" spans="1:6" x14ac:dyDescent="0.35">
      <c r="A107">
        <v>5191</v>
      </c>
      <c r="B107">
        <v>664</v>
      </c>
      <c r="C107">
        <v>5191</v>
      </c>
      <c r="D107" t="s">
        <v>7</v>
      </c>
      <c r="E107" t="s">
        <v>464</v>
      </c>
      <c r="F107" t="s">
        <v>6</v>
      </c>
    </row>
    <row r="108" spans="1:6" x14ac:dyDescent="0.35">
      <c r="A108">
        <v>5192</v>
      </c>
      <c r="B108">
        <v>716</v>
      </c>
      <c r="C108">
        <v>5192</v>
      </c>
      <c r="D108" t="s">
        <v>7</v>
      </c>
      <c r="E108" t="s">
        <v>464</v>
      </c>
      <c r="F108" t="s">
        <v>6</v>
      </c>
    </row>
    <row r="109" spans="1:6" x14ac:dyDescent="0.35">
      <c r="A109">
        <v>5194</v>
      </c>
      <c r="B109">
        <v>383</v>
      </c>
      <c r="C109">
        <v>5194</v>
      </c>
      <c r="D109" t="s">
        <v>7</v>
      </c>
      <c r="E109" t="s">
        <v>464</v>
      </c>
      <c r="F109" t="s">
        <v>6</v>
      </c>
    </row>
    <row r="110" spans="1:6" x14ac:dyDescent="0.35">
      <c r="A110">
        <v>5195</v>
      </c>
      <c r="B110">
        <v>432</v>
      </c>
      <c r="C110">
        <v>5195</v>
      </c>
      <c r="D110" t="s">
        <v>7</v>
      </c>
      <c r="E110" t="s">
        <v>464</v>
      </c>
      <c r="F110" t="s">
        <v>6</v>
      </c>
    </row>
    <row r="111" spans="1:6" x14ac:dyDescent="0.35">
      <c r="A111">
        <v>5197</v>
      </c>
      <c r="B111">
        <v>250</v>
      </c>
      <c r="C111">
        <v>5197</v>
      </c>
      <c r="D111" t="s">
        <v>7</v>
      </c>
      <c r="E111" t="s">
        <v>464</v>
      </c>
      <c r="F111" t="s">
        <v>6</v>
      </c>
    </row>
    <row r="112" spans="1:6" x14ac:dyDescent="0.35">
      <c r="A112">
        <v>5200</v>
      </c>
      <c r="B112">
        <v>674</v>
      </c>
      <c r="C112">
        <v>5200</v>
      </c>
      <c r="D112" t="s">
        <v>7</v>
      </c>
      <c r="E112" t="s">
        <v>464</v>
      </c>
      <c r="F112" t="s">
        <v>6</v>
      </c>
    </row>
    <row r="113" spans="1:6" x14ac:dyDescent="0.35">
      <c r="A113">
        <v>5201</v>
      </c>
      <c r="B113">
        <v>606</v>
      </c>
      <c r="C113">
        <v>5201</v>
      </c>
      <c r="D113" t="s">
        <v>7</v>
      </c>
      <c r="E113" t="s">
        <v>464</v>
      </c>
      <c r="F113" t="s">
        <v>6</v>
      </c>
    </row>
    <row r="114" spans="1:6" x14ac:dyDescent="0.35">
      <c r="A114">
        <v>5204</v>
      </c>
      <c r="B114">
        <v>77</v>
      </c>
      <c r="C114">
        <v>5204</v>
      </c>
      <c r="D114" t="s">
        <v>7</v>
      </c>
      <c r="E114" t="s">
        <v>464</v>
      </c>
      <c r="F114" t="s">
        <v>6</v>
      </c>
    </row>
    <row r="115" spans="1:6" x14ac:dyDescent="0.35">
      <c r="A115">
        <v>5205</v>
      </c>
      <c r="B115">
        <v>816</v>
      </c>
      <c r="C115">
        <v>5205</v>
      </c>
      <c r="D115" t="s">
        <v>7</v>
      </c>
      <c r="E115" t="s">
        <v>464</v>
      </c>
      <c r="F115" t="s">
        <v>6</v>
      </c>
    </row>
    <row r="116" spans="1:6" x14ac:dyDescent="0.35">
      <c r="A116">
        <v>5206</v>
      </c>
      <c r="B116">
        <v>455</v>
      </c>
      <c r="C116">
        <v>5206</v>
      </c>
      <c r="D116" t="s">
        <v>7</v>
      </c>
      <c r="E116" t="s">
        <v>464</v>
      </c>
      <c r="F116" t="s">
        <v>6</v>
      </c>
    </row>
    <row r="117" spans="1:6" x14ac:dyDescent="0.35">
      <c r="A117">
        <v>5208</v>
      </c>
      <c r="B117">
        <v>217</v>
      </c>
      <c r="C117">
        <v>5208</v>
      </c>
      <c r="D117" t="s">
        <v>7</v>
      </c>
      <c r="E117" t="s">
        <v>464</v>
      </c>
      <c r="F117" t="s">
        <v>6</v>
      </c>
    </row>
    <row r="118" spans="1:6" x14ac:dyDescent="0.35">
      <c r="A118">
        <v>5216</v>
      </c>
      <c r="B118">
        <v>793</v>
      </c>
      <c r="C118">
        <v>5216</v>
      </c>
      <c r="D118" t="s">
        <v>7</v>
      </c>
      <c r="E118" t="s">
        <v>464</v>
      </c>
      <c r="F118" t="s">
        <v>6</v>
      </c>
    </row>
    <row r="119" spans="1:6" x14ac:dyDescent="0.35">
      <c r="A119">
        <v>5219</v>
      </c>
      <c r="B119">
        <v>16</v>
      </c>
      <c r="C119">
        <v>5219</v>
      </c>
      <c r="D119" t="s">
        <v>7</v>
      </c>
      <c r="E119" t="s">
        <v>464</v>
      </c>
      <c r="F119" t="s">
        <v>6</v>
      </c>
    </row>
    <row r="120" spans="1:6" x14ac:dyDescent="0.35">
      <c r="A120">
        <v>5220</v>
      </c>
      <c r="B120">
        <v>941</v>
      </c>
      <c r="C120">
        <v>5220</v>
      </c>
      <c r="D120" t="s">
        <v>7</v>
      </c>
      <c r="E120" t="s">
        <v>464</v>
      </c>
      <c r="F120" t="s">
        <v>6</v>
      </c>
    </row>
    <row r="121" spans="1:6" x14ac:dyDescent="0.35">
      <c r="A121">
        <v>5221</v>
      </c>
      <c r="B121">
        <v>221</v>
      </c>
      <c r="C121">
        <v>5221</v>
      </c>
      <c r="D121" t="s">
        <v>7</v>
      </c>
      <c r="E121" t="s">
        <v>464</v>
      </c>
      <c r="F121" t="s">
        <v>6</v>
      </c>
    </row>
    <row r="122" spans="1:6" x14ac:dyDescent="0.35">
      <c r="A122">
        <v>5224</v>
      </c>
      <c r="B122">
        <v>168</v>
      </c>
      <c r="C122">
        <v>5224</v>
      </c>
      <c r="D122" t="s">
        <v>7</v>
      </c>
      <c r="E122" t="s">
        <v>464</v>
      </c>
      <c r="F122" t="s">
        <v>6</v>
      </c>
    </row>
    <row r="123" spans="1:6" x14ac:dyDescent="0.35">
      <c r="A123">
        <v>5225</v>
      </c>
      <c r="B123">
        <v>946</v>
      </c>
      <c r="C123">
        <v>5225</v>
      </c>
      <c r="D123" t="s">
        <v>7</v>
      </c>
      <c r="E123" t="s">
        <v>464</v>
      </c>
      <c r="F123" t="s">
        <v>6</v>
      </c>
    </row>
    <row r="124" spans="1:6" x14ac:dyDescent="0.35">
      <c r="A124">
        <v>5227</v>
      </c>
      <c r="B124">
        <v>678</v>
      </c>
      <c r="C124">
        <v>5227</v>
      </c>
      <c r="D124" t="s">
        <v>7</v>
      </c>
      <c r="E124" t="s">
        <v>464</v>
      </c>
      <c r="F124" t="s">
        <v>6</v>
      </c>
    </row>
    <row r="125" spans="1:6" x14ac:dyDescent="0.35">
      <c r="A125">
        <v>5228</v>
      </c>
      <c r="B125">
        <v>285</v>
      </c>
      <c r="C125">
        <v>5228</v>
      </c>
      <c r="D125" t="s">
        <v>7</v>
      </c>
      <c r="E125" t="s">
        <v>464</v>
      </c>
      <c r="F125" t="s">
        <v>6</v>
      </c>
    </row>
    <row r="126" spans="1:6" x14ac:dyDescent="0.35">
      <c r="A126">
        <v>5231</v>
      </c>
      <c r="B126">
        <v>454</v>
      </c>
      <c r="C126">
        <v>5231</v>
      </c>
      <c r="D126" t="s">
        <v>7</v>
      </c>
      <c r="E126" t="s">
        <v>464</v>
      </c>
      <c r="F126" t="s">
        <v>6</v>
      </c>
    </row>
    <row r="127" spans="1:6" x14ac:dyDescent="0.35">
      <c r="A127">
        <v>6096</v>
      </c>
      <c r="B127">
        <v>625</v>
      </c>
      <c r="C127">
        <v>6096</v>
      </c>
      <c r="D127" t="s">
        <v>7</v>
      </c>
      <c r="E127" t="s">
        <v>464</v>
      </c>
      <c r="F127" t="s">
        <v>6</v>
      </c>
    </row>
    <row r="128" spans="1:6" x14ac:dyDescent="0.35">
      <c r="A128">
        <v>6149</v>
      </c>
      <c r="B128">
        <v>868</v>
      </c>
      <c r="C128">
        <v>6149</v>
      </c>
      <c r="D128" t="s">
        <v>7</v>
      </c>
      <c r="E128" t="s">
        <v>464</v>
      </c>
      <c r="F128" t="s">
        <v>99</v>
      </c>
    </row>
    <row r="129" spans="1:6" x14ac:dyDescent="0.35">
      <c r="A129">
        <v>6150</v>
      </c>
      <c r="B129">
        <v>571</v>
      </c>
      <c r="C129">
        <v>6150</v>
      </c>
      <c r="D129" t="s">
        <v>7</v>
      </c>
      <c r="E129" t="s">
        <v>464</v>
      </c>
      <c r="F129" t="s">
        <v>6</v>
      </c>
    </row>
    <row r="130" spans="1:6" x14ac:dyDescent="0.35">
      <c r="A130">
        <v>6169</v>
      </c>
      <c r="B130">
        <v>844</v>
      </c>
      <c r="C130">
        <v>6169</v>
      </c>
      <c r="D130" t="s">
        <v>7</v>
      </c>
      <c r="E130" t="s">
        <v>464</v>
      </c>
      <c r="F130" t="s">
        <v>6</v>
      </c>
    </row>
    <row r="131" spans="1:6" x14ac:dyDescent="0.35">
      <c r="A131">
        <v>6172</v>
      </c>
      <c r="B131">
        <v>30</v>
      </c>
      <c r="C131">
        <v>6172</v>
      </c>
      <c r="D131" t="s">
        <v>7</v>
      </c>
      <c r="E131" t="s">
        <v>464</v>
      </c>
      <c r="F131" t="s">
        <v>6</v>
      </c>
    </row>
    <row r="132" spans="1:6" x14ac:dyDescent="0.35">
      <c r="A132">
        <v>6174</v>
      </c>
      <c r="B132">
        <v>820</v>
      </c>
      <c r="C132">
        <v>6174</v>
      </c>
      <c r="D132" t="s">
        <v>7</v>
      </c>
      <c r="E132" t="s">
        <v>464</v>
      </c>
      <c r="F132" t="s">
        <v>6</v>
      </c>
    </row>
    <row r="133" spans="1:6" x14ac:dyDescent="0.35">
      <c r="A133">
        <v>6180</v>
      </c>
      <c r="B133">
        <v>690</v>
      </c>
      <c r="C133">
        <v>6180</v>
      </c>
      <c r="D133" t="s">
        <v>7</v>
      </c>
      <c r="E133" t="s">
        <v>464</v>
      </c>
      <c r="F133" t="s">
        <v>6</v>
      </c>
    </row>
    <row r="134" spans="1:6" x14ac:dyDescent="0.35">
      <c r="A134">
        <v>6182</v>
      </c>
      <c r="B134">
        <v>351</v>
      </c>
      <c r="C134">
        <v>6182</v>
      </c>
      <c r="D134" t="s">
        <v>7</v>
      </c>
      <c r="E134" t="s">
        <v>464</v>
      </c>
      <c r="F134" t="s">
        <v>6</v>
      </c>
    </row>
    <row r="135" spans="1:6" x14ac:dyDescent="0.35">
      <c r="A135">
        <v>6186</v>
      </c>
      <c r="B135">
        <v>267</v>
      </c>
      <c r="C135">
        <v>6186</v>
      </c>
      <c r="D135" t="s">
        <v>7</v>
      </c>
      <c r="E135" t="s">
        <v>464</v>
      </c>
      <c r="F135" t="s">
        <v>6</v>
      </c>
    </row>
    <row r="136" spans="1:6" x14ac:dyDescent="0.35">
      <c r="A136">
        <v>6204</v>
      </c>
      <c r="B136">
        <v>54</v>
      </c>
      <c r="C136">
        <v>6204</v>
      </c>
      <c r="D136" t="s">
        <v>7</v>
      </c>
      <c r="E136" t="s">
        <v>464</v>
      </c>
      <c r="F136" t="s">
        <v>6</v>
      </c>
    </row>
    <row r="137" spans="1:6" x14ac:dyDescent="0.35">
      <c r="A137">
        <v>6209</v>
      </c>
      <c r="B137">
        <v>688</v>
      </c>
      <c r="C137">
        <v>6209</v>
      </c>
      <c r="D137" t="s">
        <v>7</v>
      </c>
      <c r="E137" t="s">
        <v>464</v>
      </c>
      <c r="F137" t="s">
        <v>6</v>
      </c>
    </row>
    <row r="138" spans="1:6" x14ac:dyDescent="0.35">
      <c r="A138">
        <v>6215</v>
      </c>
      <c r="B138">
        <v>74</v>
      </c>
      <c r="C138">
        <v>6215</v>
      </c>
      <c r="D138" t="s">
        <v>7</v>
      </c>
      <c r="E138" t="s">
        <v>464</v>
      </c>
      <c r="F138" t="s">
        <v>99</v>
      </c>
    </row>
    <row r="139" spans="1:6" x14ac:dyDescent="0.35">
      <c r="A139">
        <v>6218</v>
      </c>
      <c r="B139">
        <v>178</v>
      </c>
      <c r="C139">
        <v>6218</v>
      </c>
      <c r="D139" t="s">
        <v>7</v>
      </c>
      <c r="E139" t="s">
        <v>464</v>
      </c>
      <c r="F139" t="s">
        <v>6</v>
      </c>
    </row>
    <row r="140" spans="1:6" x14ac:dyDescent="0.35">
      <c r="A140">
        <v>6242</v>
      </c>
      <c r="B140">
        <v>236</v>
      </c>
      <c r="C140">
        <v>6242</v>
      </c>
      <c r="D140" t="s">
        <v>7</v>
      </c>
      <c r="E140" t="s">
        <v>464</v>
      </c>
      <c r="F140" t="s">
        <v>6</v>
      </c>
    </row>
    <row r="141" spans="1:6" x14ac:dyDescent="0.35">
      <c r="A141">
        <v>6243</v>
      </c>
      <c r="B141">
        <v>231</v>
      </c>
      <c r="C141">
        <v>6243</v>
      </c>
      <c r="D141" t="s">
        <v>7</v>
      </c>
      <c r="E141" t="s">
        <v>464</v>
      </c>
      <c r="F141" t="s">
        <v>6</v>
      </c>
    </row>
    <row r="142" spans="1:6" x14ac:dyDescent="0.35">
      <c r="A142">
        <v>6245</v>
      </c>
      <c r="B142">
        <v>79</v>
      </c>
      <c r="C142">
        <v>6245</v>
      </c>
      <c r="D142" t="s">
        <v>7</v>
      </c>
      <c r="E142" t="s">
        <v>464</v>
      </c>
      <c r="F142" t="s">
        <v>6</v>
      </c>
    </row>
    <row r="143" spans="1:6" x14ac:dyDescent="0.35">
      <c r="A143">
        <v>6246</v>
      </c>
      <c r="B143">
        <v>78</v>
      </c>
      <c r="C143">
        <v>6246</v>
      </c>
      <c r="D143" t="s">
        <v>7</v>
      </c>
      <c r="E143" t="s">
        <v>464</v>
      </c>
      <c r="F143" t="s">
        <v>6</v>
      </c>
    </row>
    <row r="144" spans="1:6" x14ac:dyDescent="0.35">
      <c r="A144">
        <v>6248</v>
      </c>
      <c r="B144">
        <v>718</v>
      </c>
      <c r="C144">
        <v>6248</v>
      </c>
      <c r="D144" t="s">
        <v>7</v>
      </c>
      <c r="E144" t="s">
        <v>464</v>
      </c>
      <c r="F144" t="s">
        <v>6</v>
      </c>
    </row>
    <row r="145" spans="1:6" x14ac:dyDescent="0.35">
      <c r="A145">
        <v>6251</v>
      </c>
      <c r="B145">
        <v>477</v>
      </c>
      <c r="C145">
        <v>6251</v>
      </c>
      <c r="D145" t="s">
        <v>7</v>
      </c>
      <c r="E145" t="s">
        <v>464</v>
      </c>
      <c r="F145" t="s">
        <v>6</v>
      </c>
    </row>
    <row r="146" spans="1:6" x14ac:dyDescent="0.35">
      <c r="A146">
        <v>6253</v>
      </c>
      <c r="B146">
        <v>337</v>
      </c>
      <c r="C146">
        <v>6253</v>
      </c>
      <c r="D146" t="s">
        <v>7</v>
      </c>
      <c r="E146" t="s">
        <v>464</v>
      </c>
      <c r="F146" t="s">
        <v>6</v>
      </c>
    </row>
    <row r="147" spans="1:6" x14ac:dyDescent="0.35">
      <c r="A147">
        <v>6336</v>
      </c>
      <c r="B147">
        <v>524</v>
      </c>
      <c r="C147">
        <v>6336</v>
      </c>
      <c r="D147" t="s">
        <v>7</v>
      </c>
      <c r="E147" t="s">
        <v>464</v>
      </c>
      <c r="F147" t="s">
        <v>6</v>
      </c>
    </row>
    <row r="148" spans="1:6" x14ac:dyDescent="0.35">
      <c r="A148">
        <v>6406</v>
      </c>
      <c r="B148">
        <v>37</v>
      </c>
      <c r="C148">
        <v>6406</v>
      </c>
      <c r="D148" t="s">
        <v>7</v>
      </c>
      <c r="E148" t="s">
        <v>464</v>
      </c>
      <c r="F148" t="s">
        <v>6</v>
      </c>
    </row>
    <row r="149" spans="1:6" x14ac:dyDescent="0.35">
      <c r="A149">
        <v>6407</v>
      </c>
      <c r="B149">
        <v>601</v>
      </c>
      <c r="C149">
        <v>6407</v>
      </c>
      <c r="D149" t="s">
        <v>7</v>
      </c>
      <c r="E149" t="s">
        <v>464</v>
      </c>
      <c r="F149" t="s">
        <v>6</v>
      </c>
    </row>
    <row r="150" spans="1:6" x14ac:dyDescent="0.35">
      <c r="A150">
        <v>6465</v>
      </c>
      <c r="B150">
        <v>379</v>
      </c>
      <c r="C150">
        <v>6465</v>
      </c>
      <c r="D150" t="s">
        <v>7</v>
      </c>
      <c r="E150" t="s">
        <v>464</v>
      </c>
      <c r="F150" t="s">
        <v>6</v>
      </c>
    </row>
    <row r="151" spans="1:6" x14ac:dyDescent="0.35">
      <c r="A151">
        <v>6466</v>
      </c>
      <c r="B151">
        <v>894</v>
      </c>
      <c r="C151">
        <v>6466</v>
      </c>
      <c r="D151" t="s">
        <v>7</v>
      </c>
      <c r="E151" t="s">
        <v>464</v>
      </c>
      <c r="F151" t="s">
        <v>6</v>
      </c>
    </row>
    <row r="152" spans="1:6" x14ac:dyDescent="0.35">
      <c r="A152">
        <v>6467</v>
      </c>
      <c r="B152">
        <v>237</v>
      </c>
      <c r="C152">
        <v>6467</v>
      </c>
      <c r="D152" t="s">
        <v>7</v>
      </c>
      <c r="E152" t="s">
        <v>464</v>
      </c>
      <c r="F152" t="s">
        <v>6</v>
      </c>
    </row>
    <row r="153" spans="1:6" x14ac:dyDescent="0.35">
      <c r="A153">
        <v>6608</v>
      </c>
      <c r="B153">
        <v>202</v>
      </c>
      <c r="C153">
        <v>6608</v>
      </c>
      <c r="D153" t="s">
        <v>7</v>
      </c>
      <c r="E153" t="s">
        <v>464</v>
      </c>
      <c r="F153" t="s">
        <v>6</v>
      </c>
    </row>
    <row r="154" spans="1:6" x14ac:dyDescent="0.35">
      <c r="A154">
        <v>6613</v>
      </c>
      <c r="B154">
        <v>317</v>
      </c>
      <c r="C154">
        <v>6613</v>
      </c>
      <c r="D154" t="s">
        <v>7</v>
      </c>
      <c r="E154" t="s">
        <v>464</v>
      </c>
      <c r="F154" t="s">
        <v>99</v>
      </c>
    </row>
    <row r="155" spans="1:6" x14ac:dyDescent="0.35">
      <c r="A155">
        <v>6618</v>
      </c>
      <c r="B155">
        <v>352</v>
      </c>
      <c r="C155">
        <v>6618</v>
      </c>
      <c r="D155" t="s">
        <v>7</v>
      </c>
      <c r="E155" t="s">
        <v>464</v>
      </c>
      <c r="F155" t="s">
        <v>6</v>
      </c>
    </row>
    <row r="156" spans="1:6" x14ac:dyDescent="0.35">
      <c r="A156">
        <v>6628</v>
      </c>
      <c r="B156">
        <v>138</v>
      </c>
      <c r="C156">
        <v>6628</v>
      </c>
      <c r="D156" t="s">
        <v>7</v>
      </c>
      <c r="E156" t="s">
        <v>464</v>
      </c>
      <c r="F156" t="s">
        <v>6</v>
      </c>
    </row>
    <row r="157" spans="1:6" x14ac:dyDescent="0.35">
      <c r="A157">
        <v>6713</v>
      </c>
      <c r="B157">
        <v>613</v>
      </c>
      <c r="C157">
        <v>6713</v>
      </c>
      <c r="D157" t="s">
        <v>7</v>
      </c>
      <c r="E157" t="s">
        <v>464</v>
      </c>
      <c r="F157" t="s">
        <v>99</v>
      </c>
    </row>
    <row r="158" spans="1:6" x14ac:dyDescent="0.35">
      <c r="A158">
        <v>6715</v>
      </c>
      <c r="B158">
        <v>764</v>
      </c>
      <c r="C158">
        <v>6715</v>
      </c>
      <c r="D158" t="s">
        <v>7</v>
      </c>
      <c r="E158" t="s">
        <v>464</v>
      </c>
      <c r="F158" t="s">
        <v>6</v>
      </c>
    </row>
    <row r="159" spans="1:6" x14ac:dyDescent="0.35">
      <c r="A159">
        <v>6716</v>
      </c>
      <c r="B159">
        <v>843</v>
      </c>
      <c r="C159">
        <v>6716</v>
      </c>
      <c r="D159" t="s">
        <v>7</v>
      </c>
      <c r="E159" t="s">
        <v>464</v>
      </c>
      <c r="F159" t="s">
        <v>6</v>
      </c>
    </row>
    <row r="160" spans="1:6" x14ac:dyDescent="0.35">
      <c r="A160">
        <v>6718</v>
      </c>
      <c r="B160">
        <v>371</v>
      </c>
      <c r="C160">
        <v>6718</v>
      </c>
      <c r="D160" t="s">
        <v>7</v>
      </c>
      <c r="E160" t="s">
        <v>464</v>
      </c>
      <c r="F160" t="s">
        <v>6</v>
      </c>
    </row>
    <row r="161" spans="1:6" x14ac:dyDescent="0.35">
      <c r="A161">
        <v>6724</v>
      </c>
      <c r="B161">
        <v>348</v>
      </c>
      <c r="C161">
        <v>6724</v>
      </c>
      <c r="D161" t="s">
        <v>7</v>
      </c>
      <c r="E161" t="s">
        <v>464</v>
      </c>
      <c r="F161" t="s">
        <v>99</v>
      </c>
    </row>
    <row r="162" spans="1:6" x14ac:dyDescent="0.35">
      <c r="A162">
        <v>6735</v>
      </c>
      <c r="B162">
        <v>96</v>
      </c>
      <c r="C162">
        <v>6735</v>
      </c>
      <c r="D162" t="s">
        <v>7</v>
      </c>
      <c r="E162" t="s">
        <v>464</v>
      </c>
      <c r="F162" t="s">
        <v>6</v>
      </c>
    </row>
    <row r="163" spans="1:6" x14ac:dyDescent="0.35">
      <c r="A163">
        <v>6818</v>
      </c>
      <c r="B163">
        <v>888</v>
      </c>
      <c r="C163">
        <v>6818</v>
      </c>
      <c r="D163" t="s">
        <v>7</v>
      </c>
      <c r="E163" t="s">
        <v>464</v>
      </c>
      <c r="F163" t="s">
        <v>6</v>
      </c>
    </row>
    <row r="164" spans="1:6" x14ac:dyDescent="0.35">
      <c r="A164">
        <v>6839</v>
      </c>
      <c r="B164">
        <v>20</v>
      </c>
      <c r="C164">
        <v>6839</v>
      </c>
      <c r="D164" t="s">
        <v>7</v>
      </c>
      <c r="E164" t="s">
        <v>464</v>
      </c>
      <c r="F164" t="s">
        <v>6</v>
      </c>
    </row>
    <row r="165" spans="1:6" x14ac:dyDescent="0.35">
      <c r="A165">
        <v>6843</v>
      </c>
      <c r="B165">
        <v>741</v>
      </c>
      <c r="C165">
        <v>6843</v>
      </c>
      <c r="D165" t="s">
        <v>7</v>
      </c>
      <c r="E165" t="s">
        <v>464</v>
      </c>
      <c r="F165" t="s">
        <v>99</v>
      </c>
    </row>
    <row r="166" spans="1:6" x14ac:dyDescent="0.35">
      <c r="A166">
        <v>6911</v>
      </c>
      <c r="B166">
        <v>796</v>
      </c>
      <c r="C166">
        <v>6911</v>
      </c>
      <c r="D166" t="s">
        <v>7</v>
      </c>
      <c r="E166" t="s">
        <v>464</v>
      </c>
      <c r="F166" t="s">
        <v>6</v>
      </c>
    </row>
    <row r="167" spans="1:6" x14ac:dyDescent="0.35">
      <c r="A167">
        <v>6927</v>
      </c>
      <c r="B167">
        <v>536</v>
      </c>
      <c r="C167">
        <v>6927</v>
      </c>
      <c r="D167" t="s">
        <v>7</v>
      </c>
      <c r="E167" t="s">
        <v>464</v>
      </c>
      <c r="F167" t="s">
        <v>6</v>
      </c>
    </row>
    <row r="168" spans="1:6" x14ac:dyDescent="0.35">
      <c r="A168">
        <v>7074</v>
      </c>
      <c r="B168">
        <v>658</v>
      </c>
      <c r="C168">
        <v>7074</v>
      </c>
      <c r="D168" t="s">
        <v>7</v>
      </c>
      <c r="E168" t="s">
        <v>464</v>
      </c>
      <c r="F168" t="s">
        <v>6</v>
      </c>
    </row>
    <row r="169" spans="1:6" x14ac:dyDescent="0.35">
      <c r="A169">
        <v>7123</v>
      </c>
      <c r="B169">
        <v>549</v>
      </c>
      <c r="C169">
        <v>7123</v>
      </c>
      <c r="D169" t="s">
        <v>7</v>
      </c>
      <c r="E169" t="s">
        <v>464</v>
      </c>
      <c r="F169" t="s">
        <v>6</v>
      </c>
    </row>
    <row r="170" spans="1:6" x14ac:dyDescent="0.35">
      <c r="A170">
        <v>7124</v>
      </c>
      <c r="B170">
        <v>677</v>
      </c>
      <c r="C170">
        <v>7124</v>
      </c>
      <c r="D170" t="s">
        <v>7</v>
      </c>
      <c r="E170" t="s">
        <v>464</v>
      </c>
      <c r="F170" t="s">
        <v>6</v>
      </c>
    </row>
    <row r="171" spans="1:6" x14ac:dyDescent="0.35">
      <c r="A171">
        <v>7125</v>
      </c>
      <c r="B171">
        <v>484</v>
      </c>
      <c r="C171">
        <v>7125</v>
      </c>
      <c r="D171" t="s">
        <v>7</v>
      </c>
      <c r="E171" t="s">
        <v>464</v>
      </c>
      <c r="F171" t="s">
        <v>6</v>
      </c>
    </row>
    <row r="172" spans="1:6" x14ac:dyDescent="0.35">
      <c r="A172">
        <v>7126</v>
      </c>
      <c r="B172">
        <v>93</v>
      </c>
      <c r="C172">
        <v>7126</v>
      </c>
      <c r="D172" t="s">
        <v>7</v>
      </c>
      <c r="E172" t="s">
        <v>464</v>
      </c>
      <c r="F172" t="s">
        <v>6</v>
      </c>
    </row>
    <row r="173" spans="1:6" x14ac:dyDescent="0.35">
      <c r="A173">
        <v>7134</v>
      </c>
      <c r="B173">
        <v>123</v>
      </c>
      <c r="C173">
        <v>7134</v>
      </c>
      <c r="D173" t="s">
        <v>7</v>
      </c>
      <c r="E173" t="s">
        <v>464</v>
      </c>
      <c r="F173" t="s">
        <v>99</v>
      </c>
    </row>
    <row r="174" spans="1:6" x14ac:dyDescent="0.35">
      <c r="A174">
        <v>7139</v>
      </c>
      <c r="B174">
        <v>385</v>
      </c>
      <c r="C174">
        <v>7139</v>
      </c>
      <c r="D174" t="s">
        <v>7</v>
      </c>
      <c r="E174" t="s">
        <v>464</v>
      </c>
      <c r="F174" t="s">
        <v>6</v>
      </c>
    </row>
    <row r="175" spans="1:6" x14ac:dyDescent="0.35">
      <c r="A175">
        <v>7212</v>
      </c>
      <c r="B175">
        <v>233</v>
      </c>
      <c r="C175">
        <v>7212</v>
      </c>
      <c r="D175" t="s">
        <v>7</v>
      </c>
      <c r="E175" t="s">
        <v>464</v>
      </c>
      <c r="F175" t="s">
        <v>6</v>
      </c>
    </row>
    <row r="176" spans="1:6" x14ac:dyDescent="0.35">
      <c r="A176">
        <v>7316</v>
      </c>
      <c r="B176">
        <v>506</v>
      </c>
      <c r="C176">
        <v>7316</v>
      </c>
      <c r="D176" t="s">
        <v>7</v>
      </c>
      <c r="E176" t="s">
        <v>464</v>
      </c>
      <c r="F176" t="s">
        <v>6</v>
      </c>
    </row>
    <row r="177" spans="1:6" x14ac:dyDescent="0.35">
      <c r="A177">
        <v>7318</v>
      </c>
      <c r="B177">
        <v>651</v>
      </c>
      <c r="C177">
        <v>7318</v>
      </c>
      <c r="D177" t="s">
        <v>7</v>
      </c>
      <c r="E177" t="s">
        <v>464</v>
      </c>
      <c r="F177" t="s">
        <v>6</v>
      </c>
    </row>
    <row r="178" spans="1:6" x14ac:dyDescent="0.35">
      <c r="A178">
        <v>7327</v>
      </c>
      <c r="B178">
        <v>389</v>
      </c>
      <c r="C178">
        <v>7327</v>
      </c>
      <c r="D178" t="s">
        <v>7</v>
      </c>
      <c r="E178" t="s">
        <v>464</v>
      </c>
      <c r="F178" t="s">
        <v>6</v>
      </c>
    </row>
    <row r="179" spans="1:6" x14ac:dyDescent="0.35">
      <c r="A179">
        <v>7341</v>
      </c>
      <c r="B179">
        <v>41</v>
      </c>
      <c r="C179">
        <v>7341</v>
      </c>
      <c r="D179" t="s">
        <v>7</v>
      </c>
      <c r="E179" t="s">
        <v>464</v>
      </c>
      <c r="F179" t="s">
        <v>6</v>
      </c>
    </row>
    <row r="180" spans="1:6" x14ac:dyDescent="0.35">
      <c r="A180">
        <v>7374</v>
      </c>
      <c r="B180">
        <v>848</v>
      </c>
      <c r="C180">
        <v>7374</v>
      </c>
      <c r="D180" t="s">
        <v>7</v>
      </c>
      <c r="E180" t="s">
        <v>464</v>
      </c>
      <c r="F180" t="s">
        <v>99</v>
      </c>
    </row>
    <row r="181" spans="1:6" x14ac:dyDescent="0.35">
      <c r="A181">
        <v>7375</v>
      </c>
      <c r="B181">
        <v>623</v>
      </c>
      <c r="C181">
        <v>7375</v>
      </c>
      <c r="D181" t="s">
        <v>7</v>
      </c>
      <c r="E181" t="s">
        <v>464</v>
      </c>
      <c r="F181" t="s">
        <v>6</v>
      </c>
    </row>
    <row r="182" spans="1:6" x14ac:dyDescent="0.35">
      <c r="A182">
        <v>7429</v>
      </c>
      <c r="B182">
        <v>172</v>
      </c>
      <c r="C182">
        <v>7429</v>
      </c>
      <c r="D182" t="s">
        <v>7</v>
      </c>
      <c r="E182" t="s">
        <v>464</v>
      </c>
      <c r="F182" t="s">
        <v>6</v>
      </c>
    </row>
    <row r="183" spans="1:6" x14ac:dyDescent="0.35">
      <c r="A183">
        <v>7569</v>
      </c>
      <c r="B183">
        <v>332</v>
      </c>
      <c r="C183">
        <v>7569</v>
      </c>
      <c r="D183" t="s">
        <v>7</v>
      </c>
      <c r="E183" t="s">
        <v>464</v>
      </c>
      <c r="F183" t="s">
        <v>6</v>
      </c>
    </row>
    <row r="184" spans="1:6" x14ac:dyDescent="0.35">
      <c r="A184">
        <v>7613</v>
      </c>
      <c r="B184" t="s">
        <v>459</v>
      </c>
      <c r="C184">
        <v>7613</v>
      </c>
      <c r="D184" t="s">
        <v>7</v>
      </c>
      <c r="E184" t="s">
        <v>464</v>
      </c>
      <c r="F184" t="s">
        <v>99</v>
      </c>
    </row>
    <row r="185" spans="1:6" x14ac:dyDescent="0.35">
      <c r="A185">
        <v>7614</v>
      </c>
      <c r="B185" t="s">
        <v>459</v>
      </c>
      <c r="C185">
        <v>7614</v>
      </c>
      <c r="D185" t="s">
        <v>7</v>
      </c>
      <c r="E185" t="s">
        <v>464</v>
      </c>
      <c r="F185" t="s">
        <v>99</v>
      </c>
    </row>
    <row r="186" spans="1:6" x14ac:dyDescent="0.35">
      <c r="A186">
        <v>7680</v>
      </c>
      <c r="B186">
        <v>318</v>
      </c>
      <c r="C186">
        <v>7680</v>
      </c>
      <c r="D186" t="s">
        <v>7</v>
      </c>
      <c r="E186" t="s">
        <v>464</v>
      </c>
      <c r="F186" t="s">
        <v>6</v>
      </c>
    </row>
    <row r="187" spans="1:6" x14ac:dyDescent="0.35">
      <c r="A187">
        <v>7759</v>
      </c>
      <c r="B187">
        <v>476</v>
      </c>
      <c r="C187">
        <v>7759</v>
      </c>
      <c r="D187" t="s">
        <v>7</v>
      </c>
      <c r="E187" t="s">
        <v>464</v>
      </c>
      <c r="F187" t="s">
        <v>99</v>
      </c>
    </row>
    <row r="188" spans="1:6" x14ac:dyDescent="0.35">
      <c r="A188">
        <v>7812</v>
      </c>
      <c r="B188">
        <v>7</v>
      </c>
      <c r="C188">
        <v>7812</v>
      </c>
      <c r="D188" t="s">
        <v>7</v>
      </c>
      <c r="E188" t="s">
        <v>464</v>
      </c>
      <c r="F188" t="s">
        <v>99</v>
      </c>
    </row>
    <row r="189" spans="1:6" x14ac:dyDescent="0.35">
      <c r="A189">
        <v>7875</v>
      </c>
      <c r="B189">
        <v>609</v>
      </c>
      <c r="C189">
        <v>7875</v>
      </c>
      <c r="D189" t="s">
        <v>7</v>
      </c>
      <c r="E189" t="s">
        <v>464</v>
      </c>
      <c r="F189" t="s">
        <v>6</v>
      </c>
    </row>
    <row r="190" spans="1:6" x14ac:dyDescent="0.35">
      <c r="A190">
        <v>7888</v>
      </c>
      <c r="B190">
        <v>609</v>
      </c>
      <c r="C190">
        <v>7888</v>
      </c>
      <c r="D190" t="s">
        <v>7</v>
      </c>
      <c r="E190" t="s">
        <v>464</v>
      </c>
      <c r="F190" t="s">
        <v>6</v>
      </c>
    </row>
    <row r="191" spans="1:6" x14ac:dyDescent="0.35">
      <c r="A191">
        <v>7939</v>
      </c>
      <c r="B191">
        <v>166</v>
      </c>
      <c r="C191">
        <v>7939</v>
      </c>
      <c r="D191" t="s">
        <v>7</v>
      </c>
      <c r="E191" t="s">
        <v>464</v>
      </c>
      <c r="F191" t="s">
        <v>6</v>
      </c>
    </row>
    <row r="192" spans="1:6" x14ac:dyDescent="0.35">
      <c r="A192">
        <v>7940</v>
      </c>
      <c r="B192">
        <v>166</v>
      </c>
      <c r="C192">
        <v>7940</v>
      </c>
      <c r="D192" t="s">
        <v>7</v>
      </c>
      <c r="E192" t="s">
        <v>464</v>
      </c>
      <c r="F192" t="s">
        <v>6</v>
      </c>
    </row>
    <row r="193" spans="1:6" x14ac:dyDescent="0.35">
      <c r="A193">
        <v>7943</v>
      </c>
      <c r="B193">
        <v>91</v>
      </c>
      <c r="C193">
        <v>7943</v>
      </c>
      <c r="D193" t="s">
        <v>7</v>
      </c>
      <c r="E193" t="s">
        <v>464</v>
      </c>
      <c r="F193" t="s">
        <v>99</v>
      </c>
    </row>
    <row r="194" spans="1:6" x14ac:dyDescent="0.35">
      <c r="A194">
        <v>7979</v>
      </c>
      <c r="B194">
        <v>693</v>
      </c>
      <c r="C194">
        <v>7979</v>
      </c>
      <c r="D194" t="s">
        <v>7</v>
      </c>
      <c r="E194" t="s">
        <v>464</v>
      </c>
      <c r="F194" t="s">
        <v>6</v>
      </c>
    </row>
    <row r="195" spans="1:6" x14ac:dyDescent="0.35">
      <c r="A195">
        <v>7980</v>
      </c>
      <c r="B195">
        <v>419</v>
      </c>
      <c r="C195">
        <v>7980</v>
      </c>
      <c r="D195" t="s">
        <v>7</v>
      </c>
      <c r="E195" t="s">
        <v>464</v>
      </c>
      <c r="F195" t="s">
        <v>6</v>
      </c>
    </row>
    <row r="196" spans="1:6" x14ac:dyDescent="0.35">
      <c r="A196">
        <v>8018</v>
      </c>
      <c r="B196">
        <v>453</v>
      </c>
      <c r="C196">
        <v>8018</v>
      </c>
      <c r="D196" t="s">
        <v>7</v>
      </c>
      <c r="E196" t="s">
        <v>464</v>
      </c>
      <c r="F196" t="s">
        <v>6</v>
      </c>
    </row>
    <row r="197" spans="1:6" x14ac:dyDescent="0.35">
      <c r="A197">
        <v>8019</v>
      </c>
      <c r="B197">
        <v>453</v>
      </c>
      <c r="C197">
        <v>8019</v>
      </c>
      <c r="D197" t="s">
        <v>7</v>
      </c>
      <c r="E197" t="s">
        <v>464</v>
      </c>
      <c r="F197" t="s">
        <v>6</v>
      </c>
    </row>
    <row r="198" spans="1:6" x14ac:dyDescent="0.35">
      <c r="A198">
        <v>8090</v>
      </c>
      <c r="B198">
        <v>725</v>
      </c>
      <c r="C198">
        <v>8090</v>
      </c>
      <c r="D198" t="s">
        <v>7</v>
      </c>
      <c r="E198" t="s">
        <v>464</v>
      </c>
      <c r="F198" t="s">
        <v>6</v>
      </c>
    </row>
    <row r="199" spans="1:6" x14ac:dyDescent="0.35">
      <c r="A199">
        <v>8129</v>
      </c>
      <c r="B199">
        <v>569</v>
      </c>
      <c r="C199">
        <v>8129</v>
      </c>
      <c r="D199" t="s">
        <v>7</v>
      </c>
      <c r="E199" t="s">
        <v>464</v>
      </c>
      <c r="F199" t="s">
        <v>99</v>
      </c>
    </row>
    <row r="200" spans="1:6" x14ac:dyDescent="0.35">
      <c r="A200">
        <v>8139</v>
      </c>
      <c r="B200">
        <v>291</v>
      </c>
      <c r="C200">
        <v>8139</v>
      </c>
      <c r="D200" t="s">
        <v>7</v>
      </c>
      <c r="E200" t="s">
        <v>464</v>
      </c>
      <c r="F200" t="s">
        <v>99</v>
      </c>
    </row>
    <row r="201" spans="1:6" x14ac:dyDescent="0.35">
      <c r="A201">
        <v>8204</v>
      </c>
      <c r="B201">
        <v>810</v>
      </c>
      <c r="C201">
        <v>8204</v>
      </c>
      <c r="D201" t="s">
        <v>7</v>
      </c>
      <c r="E201" t="s">
        <v>464</v>
      </c>
      <c r="F201" t="s">
        <v>6</v>
      </c>
    </row>
    <row r="202" spans="1:6" x14ac:dyDescent="0.35">
      <c r="A202">
        <v>8294</v>
      </c>
      <c r="B202">
        <v>554</v>
      </c>
      <c r="C202">
        <v>8294</v>
      </c>
      <c r="D202" t="s">
        <v>7</v>
      </c>
      <c r="E202" t="s">
        <v>464</v>
      </c>
      <c r="F202" t="s">
        <v>6</v>
      </c>
    </row>
    <row r="203" spans="1:6" x14ac:dyDescent="0.35">
      <c r="A203">
        <v>8295</v>
      </c>
      <c r="B203">
        <v>554</v>
      </c>
      <c r="C203">
        <v>8295</v>
      </c>
      <c r="D203" t="s">
        <v>7</v>
      </c>
      <c r="E203" t="s">
        <v>464</v>
      </c>
      <c r="F203" t="s">
        <v>6</v>
      </c>
    </row>
    <row r="204" spans="1:6" x14ac:dyDescent="0.35">
      <c r="A204">
        <v>8313</v>
      </c>
      <c r="B204">
        <v>915</v>
      </c>
      <c r="C204">
        <v>8313</v>
      </c>
      <c r="D204" t="s">
        <v>7</v>
      </c>
      <c r="E204" t="s">
        <v>464</v>
      </c>
      <c r="F204" t="s">
        <v>6</v>
      </c>
    </row>
    <row r="205" spans="1:6" x14ac:dyDescent="0.35">
      <c r="A205">
        <v>8314</v>
      </c>
      <c r="B205">
        <v>915</v>
      </c>
      <c r="C205">
        <v>8314</v>
      </c>
      <c r="D205" t="s">
        <v>7</v>
      </c>
      <c r="E205" t="s">
        <v>464</v>
      </c>
      <c r="F205" t="s">
        <v>6</v>
      </c>
    </row>
    <row r="206" spans="1:6" x14ac:dyDescent="0.35">
      <c r="A206">
        <v>8333</v>
      </c>
      <c r="B206">
        <v>556</v>
      </c>
      <c r="C206">
        <v>8333</v>
      </c>
      <c r="D206" t="s">
        <v>7</v>
      </c>
      <c r="E206" t="s">
        <v>464</v>
      </c>
      <c r="F206" t="s">
        <v>6</v>
      </c>
    </row>
    <row r="207" spans="1:6" x14ac:dyDescent="0.35">
      <c r="A207">
        <v>8353</v>
      </c>
      <c r="B207">
        <v>944</v>
      </c>
      <c r="C207">
        <v>8353</v>
      </c>
      <c r="D207" t="s">
        <v>7</v>
      </c>
      <c r="E207" t="s">
        <v>464</v>
      </c>
      <c r="F207" t="s">
        <v>6</v>
      </c>
    </row>
    <row r="208" spans="1:6" x14ac:dyDescent="0.35">
      <c r="A208">
        <v>8354</v>
      </c>
      <c r="B208">
        <v>944</v>
      </c>
      <c r="C208">
        <v>8354</v>
      </c>
      <c r="D208" t="s">
        <v>7</v>
      </c>
      <c r="E208" t="s">
        <v>464</v>
      </c>
      <c r="F208" t="s">
        <v>6</v>
      </c>
    </row>
    <row r="209" spans="1:6" x14ac:dyDescent="0.35">
      <c r="A209">
        <v>8482</v>
      </c>
      <c r="B209">
        <v>495</v>
      </c>
      <c r="C209">
        <v>8482</v>
      </c>
      <c r="D209" t="s">
        <v>7</v>
      </c>
      <c r="E209" t="s">
        <v>464</v>
      </c>
      <c r="F209" t="s">
        <v>6</v>
      </c>
    </row>
    <row r="210" spans="1:6" x14ac:dyDescent="0.35">
      <c r="A210">
        <v>8497</v>
      </c>
      <c r="B210">
        <v>236</v>
      </c>
      <c r="C210">
        <v>8497</v>
      </c>
      <c r="D210" t="s">
        <v>7</v>
      </c>
      <c r="E210" t="s">
        <v>464</v>
      </c>
      <c r="F210" t="s">
        <v>6</v>
      </c>
    </row>
    <row r="211" spans="1:6" x14ac:dyDescent="0.35">
      <c r="A211">
        <v>8537</v>
      </c>
      <c r="B211">
        <v>193</v>
      </c>
      <c r="C211">
        <v>8537</v>
      </c>
      <c r="D211" t="s">
        <v>7</v>
      </c>
      <c r="E211" t="s">
        <v>464</v>
      </c>
      <c r="F211" t="s">
        <v>6</v>
      </c>
    </row>
    <row r="212" spans="1:6" x14ac:dyDescent="0.35">
      <c r="A212">
        <v>8576</v>
      </c>
      <c r="B212">
        <v>15</v>
      </c>
      <c r="C212">
        <v>8576</v>
      </c>
      <c r="D212" t="s">
        <v>7</v>
      </c>
      <c r="E212" t="s">
        <v>464</v>
      </c>
      <c r="F212" t="s">
        <v>6</v>
      </c>
    </row>
    <row r="213" spans="1:6" x14ac:dyDescent="0.35">
      <c r="A213">
        <v>8577</v>
      </c>
      <c r="B213">
        <v>15</v>
      </c>
      <c r="C213">
        <v>8577</v>
      </c>
      <c r="D213" t="s">
        <v>7</v>
      </c>
      <c r="E213" t="s">
        <v>464</v>
      </c>
      <c r="F213" t="s">
        <v>6</v>
      </c>
    </row>
    <row r="214" spans="1:6" x14ac:dyDescent="0.35">
      <c r="A214">
        <v>8578</v>
      </c>
      <c r="B214">
        <v>15</v>
      </c>
      <c r="C214">
        <v>8578</v>
      </c>
      <c r="D214" t="s">
        <v>7</v>
      </c>
      <c r="E214" t="s">
        <v>464</v>
      </c>
      <c r="F214" t="s">
        <v>6</v>
      </c>
    </row>
    <row r="215" spans="1:6" x14ac:dyDescent="0.35">
      <c r="A215">
        <v>8586</v>
      </c>
      <c r="B215">
        <v>728</v>
      </c>
      <c r="C215">
        <v>8586</v>
      </c>
      <c r="D215" t="s">
        <v>7</v>
      </c>
      <c r="E215" t="s">
        <v>464</v>
      </c>
      <c r="F215" t="s">
        <v>6</v>
      </c>
    </row>
    <row r="216" spans="1:6" x14ac:dyDescent="0.35">
      <c r="A216">
        <v>8587</v>
      </c>
      <c r="B216">
        <v>728</v>
      </c>
      <c r="C216">
        <v>8587</v>
      </c>
      <c r="D216" t="s">
        <v>7</v>
      </c>
      <c r="E216" t="s">
        <v>464</v>
      </c>
      <c r="F216" t="s">
        <v>6</v>
      </c>
    </row>
    <row r="217" spans="1:6" x14ac:dyDescent="0.35">
      <c r="A217">
        <v>8594</v>
      </c>
      <c r="B217">
        <v>78</v>
      </c>
      <c r="C217">
        <v>8594</v>
      </c>
      <c r="D217" t="s">
        <v>7</v>
      </c>
      <c r="E217" t="s">
        <v>464</v>
      </c>
      <c r="F217" t="s">
        <v>6</v>
      </c>
    </row>
    <row r="218" spans="1:6" x14ac:dyDescent="0.35">
      <c r="A218">
        <v>8630</v>
      </c>
      <c r="B218">
        <v>4</v>
      </c>
      <c r="C218">
        <v>8630</v>
      </c>
      <c r="D218" t="s">
        <v>7</v>
      </c>
      <c r="E218" t="s">
        <v>464</v>
      </c>
      <c r="F218" t="s">
        <v>6</v>
      </c>
    </row>
    <row r="219" spans="1:6" x14ac:dyDescent="0.35">
      <c r="A219">
        <v>8631</v>
      </c>
      <c r="B219">
        <v>4</v>
      </c>
      <c r="C219">
        <v>8631</v>
      </c>
      <c r="D219" t="s">
        <v>7</v>
      </c>
      <c r="E219" t="s">
        <v>464</v>
      </c>
      <c r="F219" t="s">
        <v>6</v>
      </c>
    </row>
    <row r="220" spans="1:6" x14ac:dyDescent="0.35">
      <c r="A220">
        <v>8660</v>
      </c>
      <c r="B220">
        <v>541</v>
      </c>
      <c r="C220">
        <v>8660</v>
      </c>
      <c r="D220" t="s">
        <v>7</v>
      </c>
      <c r="E220" t="s">
        <v>464</v>
      </c>
      <c r="F220" t="s">
        <v>6</v>
      </c>
    </row>
    <row r="221" spans="1:6" x14ac:dyDescent="0.35">
      <c r="A221">
        <v>8662</v>
      </c>
      <c r="B221">
        <v>866</v>
      </c>
      <c r="C221">
        <v>8662</v>
      </c>
      <c r="D221" t="s">
        <v>7</v>
      </c>
      <c r="E221" t="s">
        <v>464</v>
      </c>
      <c r="F221" t="s">
        <v>6</v>
      </c>
    </row>
    <row r="222" spans="1:6" x14ac:dyDescent="0.35">
      <c r="A222">
        <v>8679</v>
      </c>
      <c r="B222">
        <v>769</v>
      </c>
      <c r="C222">
        <v>8679</v>
      </c>
      <c r="D222" t="s">
        <v>7</v>
      </c>
      <c r="E222" t="s">
        <v>464</v>
      </c>
      <c r="F222" t="s">
        <v>6</v>
      </c>
    </row>
    <row r="223" spans="1:6" x14ac:dyDescent="0.35">
      <c r="A223">
        <v>8684</v>
      </c>
      <c r="B223">
        <v>779</v>
      </c>
      <c r="C223">
        <v>8684</v>
      </c>
      <c r="D223" t="s">
        <v>7</v>
      </c>
      <c r="E223" t="s">
        <v>464</v>
      </c>
      <c r="F223" t="s">
        <v>99</v>
      </c>
    </row>
    <row r="224" spans="1:6" x14ac:dyDescent="0.35">
      <c r="A224">
        <v>8685</v>
      </c>
      <c r="B224">
        <v>779</v>
      </c>
      <c r="C224">
        <v>8685</v>
      </c>
      <c r="D224" t="s">
        <v>7</v>
      </c>
      <c r="E224" t="s">
        <v>464</v>
      </c>
      <c r="F224" t="s">
        <v>6</v>
      </c>
    </row>
    <row r="225" spans="1:6" x14ac:dyDescent="0.35">
      <c r="A225">
        <v>8727</v>
      </c>
      <c r="B225">
        <v>60</v>
      </c>
      <c r="C225">
        <v>8727</v>
      </c>
      <c r="D225" t="s">
        <v>7</v>
      </c>
      <c r="E225" t="s">
        <v>464</v>
      </c>
      <c r="F225" t="s">
        <v>6</v>
      </c>
    </row>
    <row r="226" spans="1:6" x14ac:dyDescent="0.35">
      <c r="A226">
        <v>8728</v>
      </c>
      <c r="B226">
        <v>60</v>
      </c>
      <c r="C226">
        <v>8728</v>
      </c>
      <c r="D226" t="s">
        <v>7</v>
      </c>
      <c r="E226" t="s">
        <v>464</v>
      </c>
      <c r="F226" t="s">
        <v>99</v>
      </c>
    </row>
    <row r="227" spans="1:6" x14ac:dyDescent="0.35">
      <c r="A227">
        <v>8729</v>
      </c>
      <c r="B227">
        <v>60</v>
      </c>
      <c r="C227">
        <v>8729</v>
      </c>
      <c r="D227" t="s">
        <v>7</v>
      </c>
      <c r="E227" t="s">
        <v>464</v>
      </c>
      <c r="F227" t="s">
        <v>6</v>
      </c>
    </row>
    <row r="228" spans="1:6" x14ac:dyDescent="0.35">
      <c r="A228">
        <v>8737</v>
      </c>
      <c r="B228">
        <v>31</v>
      </c>
      <c r="C228">
        <v>8737</v>
      </c>
      <c r="D228" t="s">
        <v>7</v>
      </c>
      <c r="E228" t="s">
        <v>464</v>
      </c>
      <c r="F228" t="s">
        <v>6</v>
      </c>
    </row>
    <row r="229" spans="1:6" x14ac:dyDescent="0.35">
      <c r="A229">
        <v>8835</v>
      </c>
      <c r="B229" t="s">
        <v>460</v>
      </c>
      <c r="C229">
        <v>8835</v>
      </c>
      <c r="D229" t="s">
        <v>7</v>
      </c>
      <c r="E229" t="s">
        <v>464</v>
      </c>
      <c r="F229" t="s">
        <v>6</v>
      </c>
    </row>
    <row r="230" spans="1:6" x14ac:dyDescent="0.35">
      <c r="A230">
        <v>8861</v>
      </c>
      <c r="B230">
        <v>33</v>
      </c>
      <c r="C230">
        <v>8861</v>
      </c>
      <c r="D230" t="s">
        <v>7</v>
      </c>
      <c r="E230" t="s">
        <v>464</v>
      </c>
      <c r="F230" t="s">
        <v>6</v>
      </c>
    </row>
    <row r="231" spans="1:6" x14ac:dyDescent="0.35">
      <c r="A231">
        <v>8868</v>
      </c>
      <c r="B231">
        <v>225</v>
      </c>
      <c r="C231">
        <v>8868</v>
      </c>
      <c r="D231" t="s">
        <v>7</v>
      </c>
      <c r="E231" t="s">
        <v>464</v>
      </c>
      <c r="F231" t="s">
        <v>6</v>
      </c>
    </row>
    <row r="232" spans="1:6" x14ac:dyDescent="0.35">
      <c r="A232">
        <v>8869</v>
      </c>
      <c r="B232">
        <v>225</v>
      </c>
      <c r="C232">
        <v>8869</v>
      </c>
      <c r="D232" t="s">
        <v>7</v>
      </c>
      <c r="E232" t="s">
        <v>464</v>
      </c>
      <c r="F232" t="s">
        <v>6</v>
      </c>
    </row>
    <row r="233" spans="1:6" x14ac:dyDescent="0.35">
      <c r="A233">
        <v>8887</v>
      </c>
      <c r="B233">
        <v>442</v>
      </c>
      <c r="C233">
        <v>8887</v>
      </c>
      <c r="D233" t="s">
        <v>7</v>
      </c>
      <c r="E233" t="s">
        <v>464</v>
      </c>
      <c r="F233" t="s">
        <v>6</v>
      </c>
    </row>
    <row r="234" spans="1:6" x14ac:dyDescent="0.35">
      <c r="A234">
        <v>8888</v>
      </c>
      <c r="B234">
        <v>442</v>
      </c>
      <c r="C234">
        <v>8888</v>
      </c>
      <c r="D234" t="s">
        <v>7</v>
      </c>
      <c r="E234" t="s">
        <v>464</v>
      </c>
      <c r="F234" t="s">
        <v>6</v>
      </c>
    </row>
    <row r="235" spans="1:6" x14ac:dyDescent="0.35">
      <c r="A235">
        <v>8896</v>
      </c>
      <c r="B235">
        <v>721</v>
      </c>
      <c r="C235">
        <v>8896</v>
      </c>
      <c r="D235" t="s">
        <v>7</v>
      </c>
      <c r="E235" t="s">
        <v>464</v>
      </c>
      <c r="F235" t="s">
        <v>6</v>
      </c>
    </row>
    <row r="236" spans="1:6" x14ac:dyDescent="0.35">
      <c r="A236">
        <v>8897</v>
      </c>
      <c r="B236">
        <v>721</v>
      </c>
      <c r="C236">
        <v>8897</v>
      </c>
      <c r="D236" t="s">
        <v>7</v>
      </c>
      <c r="E236" t="s">
        <v>464</v>
      </c>
      <c r="F236" t="s">
        <v>99</v>
      </c>
    </row>
    <row r="237" spans="1:6" x14ac:dyDescent="0.35">
      <c r="A237">
        <v>8927</v>
      </c>
      <c r="B237">
        <v>20</v>
      </c>
      <c r="C237">
        <v>8927</v>
      </c>
      <c r="D237" t="s">
        <v>7</v>
      </c>
      <c r="E237" t="s">
        <v>464</v>
      </c>
      <c r="F237" t="s">
        <v>6</v>
      </c>
    </row>
    <row r="238" spans="1:6" x14ac:dyDescent="0.35">
      <c r="A238">
        <v>8974</v>
      </c>
      <c r="B238">
        <v>85</v>
      </c>
      <c r="C238">
        <v>8974</v>
      </c>
      <c r="D238" t="s">
        <v>7</v>
      </c>
      <c r="E238" t="s">
        <v>464</v>
      </c>
      <c r="F238" t="s">
        <v>6</v>
      </c>
    </row>
    <row r="239" spans="1:6" x14ac:dyDescent="0.35">
      <c r="A239">
        <v>8988</v>
      </c>
      <c r="B239">
        <v>536</v>
      </c>
      <c r="C239">
        <v>8988</v>
      </c>
      <c r="D239" t="s">
        <v>7</v>
      </c>
      <c r="E239" t="s">
        <v>464</v>
      </c>
      <c r="F239" t="s">
        <v>99</v>
      </c>
    </row>
    <row r="240" spans="1:6" x14ac:dyDescent="0.35">
      <c r="A240">
        <v>9004</v>
      </c>
      <c r="B240">
        <v>457</v>
      </c>
      <c r="C240">
        <v>9004</v>
      </c>
      <c r="D240" t="s">
        <v>7</v>
      </c>
      <c r="E240" t="s">
        <v>464</v>
      </c>
      <c r="F240" t="s">
        <v>6</v>
      </c>
    </row>
    <row r="241" spans="1:6" x14ac:dyDescent="0.35">
      <c r="A241">
        <v>9009</v>
      </c>
      <c r="B241">
        <v>348</v>
      </c>
      <c r="C241">
        <v>9009</v>
      </c>
      <c r="D241" t="s">
        <v>7</v>
      </c>
      <c r="E241" t="s">
        <v>464</v>
      </c>
      <c r="F241" t="s">
        <v>6</v>
      </c>
    </row>
    <row r="242" spans="1:6" x14ac:dyDescent="0.35">
      <c r="A242">
        <v>9051</v>
      </c>
      <c r="B242">
        <v>467</v>
      </c>
      <c r="C242">
        <v>9051</v>
      </c>
      <c r="D242" t="s">
        <v>7</v>
      </c>
      <c r="E242" t="s">
        <v>464</v>
      </c>
      <c r="F242" t="s">
        <v>6</v>
      </c>
    </row>
    <row r="243" spans="1:6" x14ac:dyDescent="0.35">
      <c r="A243">
        <v>9052</v>
      </c>
      <c r="B243">
        <v>467</v>
      </c>
      <c r="C243">
        <v>9052</v>
      </c>
      <c r="D243" t="s">
        <v>7</v>
      </c>
      <c r="E243" t="s">
        <v>464</v>
      </c>
      <c r="F243" t="s">
        <v>6</v>
      </c>
    </row>
    <row r="244" spans="1:6" x14ac:dyDescent="0.35">
      <c r="A244">
        <v>9204</v>
      </c>
      <c r="B244">
        <v>20</v>
      </c>
      <c r="C244">
        <v>9204</v>
      </c>
      <c r="D244" t="s">
        <v>7</v>
      </c>
      <c r="E244" t="s">
        <v>464</v>
      </c>
      <c r="F244" t="s">
        <v>6</v>
      </c>
    </row>
    <row r="245" spans="1:6" x14ac:dyDescent="0.35">
      <c r="A245">
        <v>9232</v>
      </c>
      <c r="B245">
        <v>845</v>
      </c>
      <c r="C245">
        <v>9232</v>
      </c>
      <c r="D245" t="s">
        <v>7</v>
      </c>
      <c r="E245" t="s">
        <v>464</v>
      </c>
      <c r="F245" t="s">
        <v>6</v>
      </c>
    </row>
    <row r="246" spans="1:6" x14ac:dyDescent="0.35">
      <c r="A246">
        <v>9306</v>
      </c>
      <c r="B246">
        <v>64</v>
      </c>
      <c r="C246">
        <v>9306</v>
      </c>
      <c r="D246" t="s">
        <v>7</v>
      </c>
      <c r="E246" t="s">
        <v>464</v>
      </c>
      <c r="F246" t="s">
        <v>6</v>
      </c>
    </row>
    <row r="247" spans="1:6" x14ac:dyDescent="0.35">
      <c r="A247">
        <v>9434</v>
      </c>
      <c r="B247">
        <v>451</v>
      </c>
      <c r="C247">
        <v>9434</v>
      </c>
      <c r="D247" t="s">
        <v>7</v>
      </c>
      <c r="E247" t="s">
        <v>464</v>
      </c>
      <c r="F247" t="s">
        <v>6</v>
      </c>
    </row>
    <row r="248" spans="1:6" x14ac:dyDescent="0.35">
      <c r="A248">
        <v>9512</v>
      </c>
      <c r="B248">
        <v>957</v>
      </c>
      <c r="C248">
        <v>9512</v>
      </c>
      <c r="D248" t="s">
        <v>7</v>
      </c>
      <c r="E248" t="s">
        <v>464</v>
      </c>
      <c r="F248" t="s">
        <v>6</v>
      </c>
    </row>
    <row r="249" spans="1:6" x14ac:dyDescent="0.35">
      <c r="A249">
        <v>9513</v>
      </c>
      <c r="B249">
        <v>957</v>
      </c>
      <c r="C249">
        <v>9513</v>
      </c>
      <c r="D249" t="s">
        <v>7</v>
      </c>
      <c r="E249" t="s">
        <v>464</v>
      </c>
      <c r="F249" t="s">
        <v>6</v>
      </c>
    </row>
    <row r="250" spans="1:6" x14ac:dyDescent="0.35">
      <c r="A250">
        <v>9580</v>
      </c>
      <c r="B250">
        <v>367</v>
      </c>
      <c r="C250">
        <v>9580</v>
      </c>
      <c r="D250" t="s">
        <v>7</v>
      </c>
      <c r="E250" t="s">
        <v>464</v>
      </c>
      <c r="F250" t="s">
        <v>6</v>
      </c>
    </row>
    <row r="251" spans="1:6" x14ac:dyDescent="0.35">
      <c r="A251">
        <v>9584</v>
      </c>
      <c r="B251">
        <v>890</v>
      </c>
      <c r="C251">
        <v>9584</v>
      </c>
      <c r="D251" t="s">
        <v>7</v>
      </c>
      <c r="E251" t="s">
        <v>464</v>
      </c>
      <c r="F251" t="s">
        <v>6</v>
      </c>
    </row>
    <row r="252" spans="1:6" x14ac:dyDescent="0.35">
      <c r="A252">
        <v>9604</v>
      </c>
      <c r="B252">
        <v>229</v>
      </c>
      <c r="C252">
        <v>9604</v>
      </c>
      <c r="D252" t="s">
        <v>7</v>
      </c>
      <c r="E252" t="s">
        <v>464</v>
      </c>
      <c r="F252" t="s">
        <v>6</v>
      </c>
    </row>
    <row r="253" spans="1:6" x14ac:dyDescent="0.35">
      <c r="A253">
        <v>9605</v>
      </c>
      <c r="B253">
        <v>229</v>
      </c>
      <c r="C253">
        <v>9605</v>
      </c>
      <c r="D253" t="s">
        <v>7</v>
      </c>
      <c r="E253" t="s">
        <v>464</v>
      </c>
      <c r="F253" t="s">
        <v>6</v>
      </c>
    </row>
    <row r="254" spans="1:6" x14ac:dyDescent="0.35">
      <c r="A254">
        <v>9643</v>
      </c>
      <c r="B254">
        <v>551</v>
      </c>
      <c r="C254">
        <v>9643</v>
      </c>
      <c r="D254" t="s">
        <v>7</v>
      </c>
      <c r="E254" t="s">
        <v>464</v>
      </c>
      <c r="F254" t="s">
        <v>6</v>
      </c>
    </row>
    <row r="255" spans="1:6" x14ac:dyDescent="0.35">
      <c r="A255">
        <v>9644</v>
      </c>
      <c r="B255">
        <v>551</v>
      </c>
      <c r="C255">
        <v>9644</v>
      </c>
      <c r="D255" t="s">
        <v>7</v>
      </c>
      <c r="E255" t="s">
        <v>464</v>
      </c>
      <c r="F255" t="s">
        <v>6</v>
      </c>
    </row>
    <row r="256" spans="1:6" x14ac:dyDescent="0.35">
      <c r="A256">
        <v>9682</v>
      </c>
      <c r="B256">
        <v>876</v>
      </c>
      <c r="C256">
        <v>9682</v>
      </c>
      <c r="D256" t="s">
        <v>7</v>
      </c>
      <c r="E256" t="s">
        <v>464</v>
      </c>
      <c r="F256" t="s">
        <v>6</v>
      </c>
    </row>
    <row r="257" spans="1:6" x14ac:dyDescent="0.35">
      <c r="A257">
        <v>9724</v>
      </c>
      <c r="B257">
        <v>849</v>
      </c>
      <c r="C257">
        <v>9724</v>
      </c>
      <c r="D257" t="s">
        <v>7</v>
      </c>
      <c r="E257" t="s">
        <v>464</v>
      </c>
      <c r="F257" t="s">
        <v>6</v>
      </c>
    </row>
    <row r="258" spans="1:6" x14ac:dyDescent="0.35">
      <c r="A258">
        <v>9725</v>
      </c>
      <c r="B258">
        <v>849</v>
      </c>
      <c r="C258">
        <v>9725</v>
      </c>
      <c r="D258" t="s">
        <v>7</v>
      </c>
      <c r="E258" t="s">
        <v>464</v>
      </c>
      <c r="F258" t="s">
        <v>6</v>
      </c>
    </row>
    <row r="259" spans="1:6" x14ac:dyDescent="0.35">
      <c r="A259">
        <v>9729</v>
      </c>
      <c r="B259">
        <v>516</v>
      </c>
      <c r="C259">
        <v>9729</v>
      </c>
      <c r="D259" t="s">
        <v>7</v>
      </c>
      <c r="E259" t="s">
        <v>464</v>
      </c>
      <c r="F259" t="s">
        <v>6</v>
      </c>
    </row>
    <row r="260" spans="1:6" x14ac:dyDescent="0.35">
      <c r="A260">
        <v>9810</v>
      </c>
      <c r="B260">
        <v>499</v>
      </c>
      <c r="C260">
        <v>9810</v>
      </c>
      <c r="D260" t="s">
        <v>7</v>
      </c>
      <c r="E260" t="s">
        <v>464</v>
      </c>
      <c r="F260" t="s">
        <v>6</v>
      </c>
    </row>
    <row r="261" spans="1:6" x14ac:dyDescent="0.35">
      <c r="A261">
        <v>9811</v>
      </c>
      <c r="B261">
        <v>499</v>
      </c>
      <c r="C261">
        <v>9811</v>
      </c>
      <c r="D261" t="s">
        <v>7</v>
      </c>
      <c r="E261" t="s">
        <v>464</v>
      </c>
      <c r="F261" t="s">
        <v>6</v>
      </c>
    </row>
    <row r="262" spans="1:6" x14ac:dyDescent="0.35">
      <c r="A262">
        <v>9906</v>
      </c>
      <c r="B262">
        <v>264</v>
      </c>
      <c r="C262">
        <v>9906</v>
      </c>
      <c r="D262" t="s">
        <v>7</v>
      </c>
      <c r="E262" t="s">
        <v>464</v>
      </c>
      <c r="F262" t="s">
        <v>6</v>
      </c>
    </row>
    <row r="263" spans="1:6" x14ac:dyDescent="0.35">
      <c r="A263">
        <v>9963</v>
      </c>
      <c r="B263">
        <v>57</v>
      </c>
      <c r="C263">
        <v>9963</v>
      </c>
      <c r="D263" t="s">
        <v>7</v>
      </c>
      <c r="E263" t="s">
        <v>464</v>
      </c>
      <c r="F263" t="s">
        <v>6</v>
      </c>
    </row>
    <row r="264" spans="1:6" x14ac:dyDescent="0.35">
      <c r="A264">
        <v>9265</v>
      </c>
      <c r="B264">
        <v>959</v>
      </c>
      <c r="C264">
        <v>9265</v>
      </c>
      <c r="D264" t="s">
        <v>7</v>
      </c>
      <c r="E264" t="s">
        <v>464</v>
      </c>
      <c r="F264" t="s">
        <v>99</v>
      </c>
    </row>
    <row r="265" spans="1:6" x14ac:dyDescent="0.35">
      <c r="A265">
        <v>4830</v>
      </c>
      <c r="B265">
        <v>907</v>
      </c>
      <c r="C265">
        <v>4830</v>
      </c>
      <c r="D265" t="s">
        <v>7</v>
      </c>
      <c r="E265" t="s">
        <v>464</v>
      </c>
      <c r="F265" t="s">
        <v>6</v>
      </c>
    </row>
    <row r="266" spans="1:6" x14ac:dyDescent="0.35">
      <c r="A266">
        <v>2228</v>
      </c>
      <c r="B266">
        <v>944</v>
      </c>
      <c r="C266">
        <v>2228</v>
      </c>
      <c r="D266" t="s">
        <v>7</v>
      </c>
      <c r="E266" t="s">
        <v>464</v>
      </c>
      <c r="F266" t="s">
        <v>6</v>
      </c>
    </row>
    <row r="267" spans="1:6" x14ac:dyDescent="0.35">
      <c r="A267">
        <v>4868</v>
      </c>
      <c r="B267">
        <v>777</v>
      </c>
      <c r="C267">
        <v>4868</v>
      </c>
      <c r="D267" t="s">
        <v>7</v>
      </c>
      <c r="E267" t="s">
        <v>464</v>
      </c>
      <c r="F267" t="s">
        <v>99</v>
      </c>
    </row>
    <row r="268" spans="1:6" x14ac:dyDescent="0.35">
      <c r="A268">
        <v>4866</v>
      </c>
      <c r="B268">
        <v>5</v>
      </c>
      <c r="C268">
        <v>4866</v>
      </c>
      <c r="D268" t="s">
        <v>533</v>
      </c>
      <c r="E268" t="s">
        <v>464</v>
      </c>
      <c r="F268" t="s">
        <v>99</v>
      </c>
    </row>
    <row r="269" spans="1:6" x14ac:dyDescent="0.35">
      <c r="A269">
        <v>192</v>
      </c>
      <c r="B269">
        <v>348</v>
      </c>
      <c r="C269">
        <v>192</v>
      </c>
      <c r="D269" t="s">
        <v>533</v>
      </c>
      <c r="E269" t="s">
        <v>464</v>
      </c>
      <c r="F269" t="s">
        <v>6</v>
      </c>
    </row>
    <row r="270" spans="1:6" x14ac:dyDescent="0.35">
      <c r="A270">
        <v>316</v>
      </c>
      <c r="B270">
        <v>4</v>
      </c>
      <c r="C270">
        <v>316</v>
      </c>
      <c r="D270" t="s">
        <v>533</v>
      </c>
      <c r="E270" t="s">
        <v>464</v>
      </c>
      <c r="F270" t="s">
        <v>6</v>
      </c>
    </row>
    <row r="271" spans="1:6" x14ac:dyDescent="0.35">
      <c r="A271">
        <v>442</v>
      </c>
      <c r="B271">
        <v>333</v>
      </c>
      <c r="C271">
        <v>442</v>
      </c>
      <c r="D271" t="s">
        <v>533</v>
      </c>
      <c r="E271" t="s">
        <v>464</v>
      </c>
      <c r="F271" t="s">
        <v>99</v>
      </c>
    </row>
    <row r="272" spans="1:6" x14ac:dyDescent="0.35">
      <c r="A272">
        <v>278</v>
      </c>
      <c r="B272">
        <v>292</v>
      </c>
      <c r="C272">
        <v>278</v>
      </c>
      <c r="D272" t="s">
        <v>533</v>
      </c>
      <c r="E272" t="s">
        <v>464</v>
      </c>
      <c r="F272" t="s">
        <v>6</v>
      </c>
    </row>
    <row r="273" spans="1:6" x14ac:dyDescent="0.35">
      <c r="A273">
        <v>172</v>
      </c>
      <c r="B273">
        <v>499</v>
      </c>
      <c r="C273">
        <v>172</v>
      </c>
      <c r="D273" t="s">
        <v>533</v>
      </c>
      <c r="E273" t="s">
        <v>464</v>
      </c>
      <c r="F273" t="s">
        <v>6</v>
      </c>
    </row>
    <row r="274" spans="1:6" x14ac:dyDescent="0.35">
      <c r="A274">
        <v>428</v>
      </c>
      <c r="B274">
        <v>306</v>
      </c>
      <c r="C274">
        <v>428</v>
      </c>
      <c r="D274" t="s">
        <v>533</v>
      </c>
      <c r="E274" t="s">
        <v>464</v>
      </c>
      <c r="F274" t="s">
        <v>99</v>
      </c>
    </row>
    <row r="275" spans="1:6" x14ac:dyDescent="0.35">
      <c r="A275">
        <v>2208</v>
      </c>
      <c r="B275">
        <v>185</v>
      </c>
      <c r="C275">
        <v>2208</v>
      </c>
      <c r="D275" t="s">
        <v>533</v>
      </c>
      <c r="E275" t="s">
        <v>464</v>
      </c>
      <c r="F275" t="s">
        <v>99</v>
      </c>
    </row>
    <row r="276" spans="1:6" x14ac:dyDescent="0.35">
      <c r="A276">
        <v>1469</v>
      </c>
      <c r="B276">
        <v>214</v>
      </c>
      <c r="C276">
        <v>1469</v>
      </c>
      <c r="D276" t="s">
        <v>533</v>
      </c>
      <c r="E276" t="s">
        <v>464</v>
      </c>
      <c r="F276" t="s">
        <v>6</v>
      </c>
    </row>
  </sheetData>
  <autoFilter ref="A1:F276" xr:uid="{AF987335-3229-48D9-A311-3A982766ED4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9E9C-61E5-4182-A571-D0DF062DE920}">
  <dimension ref="A1:K2"/>
  <sheetViews>
    <sheetView workbookViewId="0">
      <selection activeCell="F2" sqref="F2"/>
    </sheetView>
  </sheetViews>
  <sheetFormatPr baseColWidth="10" defaultRowHeight="14.5" x14ac:dyDescent="0.35"/>
  <sheetData>
    <row r="1" spans="1:11" ht="39" x14ac:dyDescent="0.35">
      <c r="A1" s="2" t="s">
        <v>2</v>
      </c>
      <c r="B1" s="2" t="s">
        <v>3</v>
      </c>
      <c r="C1" s="2" t="s">
        <v>4</v>
      </c>
      <c r="D1" s="2" t="s">
        <v>3</v>
      </c>
      <c r="E1" s="3" t="s">
        <v>5</v>
      </c>
      <c r="F1" s="3" t="s">
        <v>215</v>
      </c>
      <c r="G1" s="3" t="s">
        <v>254</v>
      </c>
      <c r="H1" s="1" t="s">
        <v>218</v>
      </c>
      <c r="I1" s="30" t="s">
        <v>217</v>
      </c>
      <c r="J1" s="1" t="s">
        <v>216</v>
      </c>
      <c r="K1" s="1" t="s">
        <v>219</v>
      </c>
    </row>
    <row r="2" spans="1:11" ht="43.5" x14ac:dyDescent="0.35">
      <c r="A2" s="32">
        <v>361</v>
      </c>
      <c r="B2" s="32">
        <v>5005</v>
      </c>
      <c r="C2" s="33" t="s">
        <v>6</v>
      </c>
      <c r="D2" s="32" t="s">
        <v>7</v>
      </c>
      <c r="E2" s="35" t="s">
        <v>198</v>
      </c>
      <c r="F2" s="36" t="s">
        <v>294</v>
      </c>
      <c r="G2" s="49" t="s">
        <v>530</v>
      </c>
      <c r="H2" s="37">
        <v>46070</v>
      </c>
      <c r="I2" s="37"/>
      <c r="J2" s="37"/>
      <c r="K2" s="36"/>
    </row>
  </sheetData>
  <conditionalFormatting sqref="H1:J1">
    <cfRule type="timePeriod" dxfId="0" priority="1" timePeriod="yesterday">
      <formula>FLOOR(H1,1)=TODAY()-1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MF</vt:lpstr>
      <vt:lpstr>Lista MF</vt:lpstr>
      <vt:lpstr>Notas</vt:lpstr>
      <vt:lpstr>CP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Estrada Gutierrez</dc:creator>
  <cp:lastModifiedBy>Jesús David Fabra Tapias | Grupo HDI</cp:lastModifiedBy>
  <dcterms:created xsi:type="dcterms:W3CDTF">2024-03-05T12:29:20Z</dcterms:created>
  <dcterms:modified xsi:type="dcterms:W3CDTF">2026-03-19T01:06:07Z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Removed">
    <vt:lpwstr>False</vt:lpwstr>
  </property>
  <property fmtid="{D5CDD505-2E9C-101B-9397-08002B2CF9AE}" pid="3" name="MSIP_Label_2bdef0a0-0ef1-4d2b-a0a4-a81484bf7e0e_ActionId">
    <vt:lpwstr>5a7a1fdd-4139-4865-b2fc-105551295396</vt:lpwstr>
  </property>
  <property fmtid="{D5CDD505-2E9C-101B-9397-08002B2CF9AE}" pid="4" name="MSIP_Label_2bdef0a0-0ef1-4d2b-a0a4-a81484bf7e0e_Name">
    <vt:lpwstr>Confidencial histórico</vt:lpwstr>
  </property>
  <property fmtid="{D5CDD505-2E9C-101B-9397-08002B2CF9AE}" pid="5" name="MSIP_Label_2bdef0a0-0ef1-4d2b-a0a4-a81484bf7e0e_SetDate">
    <vt:lpwstr>2025-08-06T21:38:15Z</vt:lpwstr>
  </property>
  <property fmtid="{D5CDD505-2E9C-101B-9397-08002B2CF9AE}" pid="6" name="MSIP_Label_2bdef0a0-0ef1-4d2b-a0a4-a81484bf7e0e_SiteId">
    <vt:lpwstr>b5e244bd-c492-495b-8b10-61bfd453e423</vt:lpwstr>
  </property>
  <property fmtid="{D5CDD505-2E9C-101B-9397-08002B2CF9AE}" pid="7" name="MSIP_Label_2bdef0a0-0ef1-4d2b-a0a4-a81484bf7e0e_Enabled">
    <vt:lpwstr>True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