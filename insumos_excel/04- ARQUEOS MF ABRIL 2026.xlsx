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MF" sheetId="1" state="visible" r:id="rId1"/>
    <sheet name="Lista MF" sheetId="2" state="visible" r:id="rId2"/>
    <sheet name="Notas" sheetId="3" state="visible" r:id="rId3"/>
    <sheet name="CP" sheetId="4" state="visible" r:id="rId4"/>
    <sheet name="Hoja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Cajero</t>
        </is>
      </c>
      <c r="C1" s="1" t="inlineStr">
        <is>
          <t>Marca</t>
        </is>
      </c>
      <c r="D1" s="1" t="inlineStr">
        <is>
          <t>Marca herramienta</t>
        </is>
      </c>
      <c r="E1" s="1" t="inlineStr">
        <is>
          <t>Fecha descarga arqueo</t>
        </is>
      </c>
      <c r="F1" s="1" t="inlineStr">
        <is>
          <t xml:space="preserve">Fecha Arqueo </t>
        </is>
      </c>
      <c r="G1" s="1" t="inlineStr">
        <is>
          <t>Hora Arqueo</t>
        </is>
      </c>
      <c r="H1" s="1" t="inlineStr">
        <is>
          <t>Efectivo Arqueado /Arqueo fisico saldo contadores</t>
        </is>
      </c>
      <c r="I1" s="1" t="inlineStr">
        <is>
          <t xml:space="preserve">Saldo Contable </t>
        </is>
      </c>
      <c r="J1" s="1" t="inlineStr">
        <is>
          <t>dispensado_corte_arqueo</t>
        </is>
      </c>
      <c r="K1" s="1" t="inlineStr">
        <is>
          <t>recibido_corte_arqueo</t>
        </is>
      </c>
      <c r="L1" s="1" t="inlineStr">
        <is>
          <t>Remanente /Provisión /Ajustes</t>
        </is>
      </c>
      <c r="M1" s="1" t="inlineStr">
        <is>
          <t>Diferencia</t>
        </is>
      </c>
      <c r="N1" s="1" t="inlineStr">
        <is>
          <t>Naturaleza</t>
        </is>
      </c>
      <c r="O1" s="1" t="inlineStr">
        <is>
          <t>Gestión a Realizar</t>
        </is>
      </c>
      <c r="P1" s="1" t="inlineStr">
        <is>
          <t>Documento responsable</t>
        </is>
      </c>
      <c r="Q1" s="1" t="inlineStr">
        <is>
          <t>paso_a_paso_regla</t>
        </is>
      </c>
    </row>
    <row r="2">
      <c r="A2" t="n">
        <v>419</v>
      </c>
      <c r="B2" t="n">
        <v>5077</v>
      </c>
      <c r="D2" t="inlineStr">
        <is>
          <t>BELLTECH</t>
        </is>
      </c>
      <c r="E2" s="3" t="n">
        <v>46118</v>
      </c>
      <c r="F2" s="3" t="n">
        <v>46113</v>
      </c>
      <c r="G2" t="inlineStr">
        <is>
          <t>09:01:00</t>
        </is>
      </c>
      <c r="H2" t="n">
        <v>256027000</v>
      </c>
      <c r="I2" t="n">
        <v>267144800</v>
      </c>
      <c r="J2" t="n">
        <v>6720000</v>
      </c>
      <c r="K2" t="n">
        <v>4300000</v>
      </c>
      <c r="M2">
        <f>I2-(H2+J2-K2)- L2</f>
        <v/>
      </c>
      <c r="N2">
        <f>IF(M2=0,"Cuadrado",IF(M2&gt;0,"Faltante","Sobrante"))</f>
        <v/>
      </c>
      <c r="O2" t="inlineStr">
        <is>
          <t>El faltante $8.697.800 es cruzado con sobrante contabilizado el día 11/03/2026 ($8.697.800) el cual es reversado por la seccion el día 06/04/2026</t>
        </is>
      </c>
      <c r="P2" t="n">
        <v>79248430</v>
      </c>
    </row>
    <row r="3">
      <c r="A3" t="n">
        <v>523</v>
      </c>
      <c r="B3" t="n">
        <v>5082</v>
      </c>
      <c r="D3" t="inlineStr">
        <is>
          <t>BELLTECH</t>
        </is>
      </c>
      <c r="E3" s="3" t="n">
        <v>46118</v>
      </c>
      <c r="F3" s="3" t="n">
        <v>46113</v>
      </c>
      <c r="G3" t="inlineStr">
        <is>
          <t>08:23:00</t>
        </is>
      </c>
      <c r="H3" t="n">
        <v>542353750</v>
      </c>
      <c r="I3" t="n">
        <v>541392650</v>
      </c>
      <c r="J3" t="n">
        <v>0</v>
      </c>
      <c r="K3" t="n">
        <v>0</v>
      </c>
      <c r="M3">
        <f>I3-(H3+J3-K3)- L3</f>
        <v/>
      </c>
      <c r="N3">
        <f>IF(M3=0,"Cuadrado",IF(M3&gt;0,"Faltante","Sobrante"))</f>
        <v/>
      </c>
      <c r="O3" t="inlineStr">
        <is>
          <t>La diferencia es contabilizada por la Gerencia De Autoservicios y Efectivo de manera centralizada a la cuenta de sobrantes 279510020 el 06/04/2026</t>
        </is>
      </c>
      <c r="P3" t="n">
        <v>1065609766</v>
      </c>
    </row>
    <row r="4">
      <c r="A4" t="n">
        <v>659</v>
      </c>
      <c r="B4" t="n">
        <v>5102</v>
      </c>
      <c r="D4" t="inlineStr">
        <is>
          <t>BELLTECH</t>
        </is>
      </c>
      <c r="E4" s="3" t="n">
        <v>46118</v>
      </c>
      <c r="F4" s="3" t="n">
        <v>46113</v>
      </c>
      <c r="G4" t="inlineStr">
        <is>
          <t>10:23:00</t>
        </is>
      </c>
      <c r="H4" t="n">
        <v>226795350</v>
      </c>
      <c r="I4" t="n">
        <v>235981350</v>
      </c>
      <c r="J4" t="n">
        <v>37800000</v>
      </c>
      <c r="K4" t="n">
        <v>25214000</v>
      </c>
      <c r="M4">
        <f>I4-(H4+J4-K4)- L4</f>
        <v/>
      </c>
      <c r="N4">
        <f>IF(M4=0,"Cuadrado",IF(M4&gt;0,"Faltante","Sobrante"))</f>
        <v/>
      </c>
      <c r="O4" t="inlineStr">
        <is>
          <t>La diferencia es contabilizada por la Gerencia De Autoservicios y Efectivo de manera centralizada a la cuenta de sobrantes 279510020 el 06/04/2026</t>
        </is>
      </c>
      <c r="P4" t="n">
        <v>39575034</v>
      </c>
    </row>
    <row r="5">
      <c r="A5" t="n">
        <v>829</v>
      </c>
      <c r="B5" t="n">
        <v>5137</v>
      </c>
      <c r="D5" t="inlineStr">
        <is>
          <t>BELLTECH</t>
        </is>
      </c>
      <c r="E5" s="3" t="n">
        <v>46118</v>
      </c>
      <c r="F5" s="3" t="n">
        <v>46113</v>
      </c>
      <c r="G5" t="inlineStr">
        <is>
          <t>08:35:00</t>
        </is>
      </c>
      <c r="H5" t="n">
        <v>375137600</v>
      </c>
      <c r="I5" t="n">
        <v>359742600</v>
      </c>
      <c r="J5" t="n">
        <v>5990000</v>
      </c>
      <c r="K5" t="n">
        <v>0</v>
      </c>
      <c r="M5">
        <f>I5-(H5+J5-K5)- L5</f>
        <v/>
      </c>
      <c r="N5">
        <f>IF(M5=0,"Cuadrado",IF(M5&gt;0,"Faltante","Sobrante"))</f>
        <v/>
      </c>
      <c r="O5" t="inlineStr">
        <is>
          <t>La diferencia es contabilizada por la Gerencia De Autoservicios y Efectivo de manera centralizada a la cuenta de sobrantes 279510020 el 06/04/2026</t>
        </is>
      </c>
      <c r="P5" t="n">
        <v>31306454</v>
      </c>
    </row>
    <row r="6">
      <c r="A6" t="n">
        <v>40</v>
      </c>
      <c r="B6" t="n">
        <v>5142</v>
      </c>
      <c r="D6" t="inlineStr">
        <is>
          <t>BELLTECH</t>
        </is>
      </c>
      <c r="E6" s="3" t="n">
        <v>46118</v>
      </c>
      <c r="F6" s="3" t="n">
        <v>46113</v>
      </c>
      <c r="G6" t="inlineStr">
        <is>
          <t>09:27:00</t>
        </is>
      </c>
      <c r="H6" t="n">
        <v>329283950</v>
      </c>
      <c r="I6" t="n">
        <v>370446950</v>
      </c>
      <c r="J6" t="n">
        <v>21840000</v>
      </c>
      <c r="K6" t="n">
        <v>23252000</v>
      </c>
      <c r="M6">
        <f>I6-(H6+J6-K6)- L6</f>
        <v/>
      </c>
      <c r="N6">
        <f>IF(M6=0,"Cuadrado",IF(M6&gt;0,"Faltante","Sobrante"))</f>
        <v/>
      </c>
      <c r="O6" t="inlineStr">
        <is>
          <t>Gestión manual - Revisar por el personal encargado</t>
        </is>
      </c>
      <c r="P6" t="n">
        <v>1022424390</v>
      </c>
    </row>
    <row r="7">
      <c r="A7" t="n">
        <v>302</v>
      </c>
      <c r="B7" t="n">
        <v>5170</v>
      </c>
      <c r="D7" t="inlineStr">
        <is>
          <t>BELLTECH</t>
        </is>
      </c>
      <c r="E7" s="3" t="n">
        <v>46118</v>
      </c>
      <c r="F7" s="3" t="n">
        <v>46113</v>
      </c>
      <c r="G7" t="inlineStr">
        <is>
          <t>08:15:00</t>
        </is>
      </c>
      <c r="H7" t="n">
        <v>145629950</v>
      </c>
      <c r="I7" t="n">
        <v>128303600</v>
      </c>
      <c r="J7" t="n">
        <v>8160000</v>
      </c>
      <c r="K7" t="n">
        <v>19516350</v>
      </c>
      <c r="M7">
        <f>I7-(H7+J7-K7)- L7</f>
        <v/>
      </c>
      <c r="N7">
        <f>IF(M7=0,"Cuadrado",IF(M7&gt;0,"Faltante","Sobrante"))</f>
        <v/>
      </c>
      <c r="O7" t="inlineStr">
        <is>
          <t>La diferencia es contabilizada por la Gerencia De Autoservicios y Efectivo de manera centralizada a la cuenta de sobrantes 279510020 el 06/04/2026</t>
        </is>
      </c>
      <c r="P7" t="n">
        <v>1102374502</v>
      </c>
    </row>
    <row r="8">
      <c r="A8" t="n">
        <v>383</v>
      </c>
      <c r="B8" t="n">
        <v>5194</v>
      </c>
      <c r="D8" t="inlineStr">
        <is>
          <t>BELLTECH</t>
        </is>
      </c>
      <c r="E8" s="3" t="n">
        <v>46118</v>
      </c>
      <c r="F8" s="3" t="n">
        <v>46113</v>
      </c>
      <c r="G8" t="inlineStr">
        <is>
          <t>08:44:33</t>
        </is>
      </c>
      <c r="H8" t="n">
        <v>88040600</v>
      </c>
      <c r="I8" t="n">
        <v>96449600</v>
      </c>
      <c r="J8" t="n">
        <v>9200000</v>
      </c>
      <c r="K8" t="n">
        <v>790000</v>
      </c>
      <c r="M8">
        <f>I8-(H8+J8-K8)- L8</f>
        <v/>
      </c>
      <c r="N8">
        <f>IF(M8=0,"Cuadrado",IF(M8&gt;0,"Faltante","Sobrante"))</f>
        <v/>
      </c>
      <c r="O8" t="inlineStr">
        <is>
          <t>La diferencia es contabilizada por la Gerencia De Autoservicios y Efectivo de manera centralizada a la cuenta de sobrantes 279510020 el 06/04/2026</t>
        </is>
      </c>
      <c r="P8" t="n">
        <v>1073160492</v>
      </c>
    </row>
    <row r="9">
      <c r="A9" t="n">
        <v>16</v>
      </c>
      <c r="B9" t="n">
        <v>5219</v>
      </c>
      <c r="D9" t="inlineStr">
        <is>
          <t>BELLTECH</t>
        </is>
      </c>
      <c r="E9" s="3" t="n">
        <v>46118</v>
      </c>
      <c r="F9" s="3" t="n">
        <v>46113</v>
      </c>
      <c r="G9" t="inlineStr">
        <is>
          <t>11:13:00</t>
        </is>
      </c>
      <c r="H9" t="n">
        <v>161605300</v>
      </c>
      <c r="I9" t="n">
        <v>170517600</v>
      </c>
      <c r="J9" t="n">
        <v>15850000</v>
      </c>
      <c r="K9" t="n">
        <v>6937600</v>
      </c>
      <c r="M9">
        <f>I9-(H9+J9-K9)- L9</f>
        <v/>
      </c>
      <c r="N9">
        <f>IF(M9=0,"Cuadrado",IF(M9&gt;0,"Faltante","Sobrante"))</f>
        <v/>
      </c>
      <c r="O9" t="inlineStr">
        <is>
          <t>La diferencia es contabilizada por la Gerencia De Autoservicios y Efectivo de manera centralizada a la cuenta de sobrantes 279510020 el 06/04/2026</t>
        </is>
      </c>
      <c r="P9" t="n">
        <v>1128405320</v>
      </c>
    </row>
    <row r="10">
      <c r="A10" t="n">
        <v>868</v>
      </c>
      <c r="B10" t="n">
        <v>6149</v>
      </c>
      <c r="D10" t="inlineStr">
        <is>
          <t>DIEBOLD</t>
        </is>
      </c>
      <c r="E10" s="3" t="n">
        <v>46118</v>
      </c>
      <c r="F10" s="3" t="n">
        <v>46113</v>
      </c>
      <c r="G10" t="inlineStr">
        <is>
          <t>08:09:00</t>
        </is>
      </c>
      <c r="H10" t="n">
        <v>133092850</v>
      </c>
      <c r="I10" t="n">
        <v>130288850</v>
      </c>
      <c r="J10" t="n">
        <v>0</v>
      </c>
      <c r="K10" t="n">
        <v>2600000</v>
      </c>
      <c r="M10">
        <f>I10-(H10+J10-K10)- L10</f>
        <v/>
      </c>
      <c r="N10">
        <f>IF(M10=0,"Cuadrado",IF(M10&gt;0,"Faltante","Sobrante"))</f>
        <v/>
      </c>
      <c r="O10" t="inlineStr">
        <is>
          <t>La diferencia es contabilizada por la Gerencia De Autoservicios y Efectivo de manera centralizada a la cuenta de sobrantes 279510020 el 06/04/2026</t>
        </is>
      </c>
      <c r="P10" t="n">
        <v>31602728</v>
      </c>
    </row>
    <row r="11">
      <c r="A11" t="n">
        <v>337</v>
      </c>
      <c r="B11" t="n">
        <v>6253</v>
      </c>
      <c r="D11" t="inlineStr">
        <is>
          <t>BELLTECH</t>
        </is>
      </c>
      <c r="E11" s="3" t="n">
        <v>46118</v>
      </c>
      <c r="F11" s="3" t="n">
        <v>46113</v>
      </c>
      <c r="G11" t="inlineStr">
        <is>
          <t>10:29:00</t>
        </is>
      </c>
      <c r="H11" t="n">
        <v>256386050</v>
      </c>
      <c r="I11" t="n">
        <v>148051950</v>
      </c>
      <c r="J11" t="n">
        <v>33780000</v>
      </c>
      <c r="K11" t="n">
        <v>17358100</v>
      </c>
      <c r="M11">
        <f>I11-(H11+J11-K11)- L11</f>
        <v/>
      </c>
      <c r="N11">
        <f>IF(M11=0,"Cuadrado",IF(M11&gt;0,"Faltante","Sobrante"))</f>
        <v/>
      </c>
      <c r="O11" t="inlineStr">
        <is>
          <t>El faltante $244.000 es cruzado con sobrante contabilizado el día 19/03/2026 ($150.000), el día 27/03/2026 ($94.000) el cual es reversado por la seccion el día 06/04/2026</t>
        </is>
      </c>
      <c r="P11" t="n">
        <v>80386330</v>
      </c>
    </row>
    <row r="12">
      <c r="A12" t="n">
        <v>37</v>
      </c>
      <c r="B12" t="n">
        <v>6406</v>
      </c>
      <c r="D12" t="inlineStr">
        <is>
          <t>BELLTECH</t>
        </is>
      </c>
      <c r="E12" s="3" t="n">
        <v>46118</v>
      </c>
      <c r="F12" s="3" t="n">
        <v>46113</v>
      </c>
      <c r="G12" t="inlineStr">
        <is>
          <t>13:10:00</t>
        </is>
      </c>
      <c r="H12" t="n">
        <v>272852200</v>
      </c>
      <c r="I12" t="n">
        <v>126536200</v>
      </c>
      <c r="J12" t="n">
        <v>80780000</v>
      </c>
      <c r="K12" t="n">
        <v>10096000</v>
      </c>
      <c r="M12">
        <f>I12-(H12+J12-K12)- L12</f>
        <v/>
      </c>
      <c r="N12">
        <f>IF(M12=0,"Cuadrado",IF(M12&gt;0,"Faltante","Sobrante"))</f>
        <v/>
      </c>
      <c r="O12" t="inlineStr">
        <is>
          <t>Cajero cuadrado, sin observación por parte de la sucursal</t>
        </is>
      </c>
      <c r="P12" t="n">
        <v>1018444239</v>
      </c>
    </row>
    <row r="13">
      <c r="A13" t="n">
        <v>96</v>
      </c>
      <c r="B13" t="n">
        <v>6735</v>
      </c>
      <c r="D13" t="inlineStr">
        <is>
          <t>BELLTECH</t>
        </is>
      </c>
      <c r="E13" s="3" t="n">
        <v>46118</v>
      </c>
      <c r="F13" s="3" t="n">
        <v>46113</v>
      </c>
      <c r="G13" t="inlineStr">
        <is>
          <t>09:46:00</t>
        </is>
      </c>
      <c r="H13" t="n">
        <v>83421050</v>
      </c>
      <c r="I13" t="n">
        <v>82839050</v>
      </c>
      <c r="J13" t="n">
        <v>18430000</v>
      </c>
      <c r="K13" t="n">
        <v>9062000</v>
      </c>
      <c r="M13">
        <f>I13-(H13+J13-K13)- L13</f>
        <v/>
      </c>
      <c r="N13">
        <f>IF(M13=0,"Cuadrado",IF(M13&gt;0,"Faltante","Sobrante"))</f>
        <v/>
      </c>
      <c r="O13" t="inlineStr">
        <is>
          <t>La diferencia es contabilizada por la Gerencia De Autoservicios y Efectivo de manera centralizada a la cuenta de sobrantes 279510020 el 06/04/2026</t>
        </is>
      </c>
      <c r="P13" t="n">
        <v>39491642</v>
      </c>
    </row>
    <row r="14">
      <c r="A14" t="n">
        <v>123</v>
      </c>
      <c r="B14" t="n">
        <v>7134</v>
      </c>
      <c r="D14" t="inlineStr">
        <is>
          <t>DIEBOLD</t>
        </is>
      </c>
      <c r="E14" s="3" t="n">
        <v>46118</v>
      </c>
      <c r="F14" s="3" t="n">
        <v>46113</v>
      </c>
      <c r="G14" t="inlineStr">
        <is>
          <t>10:17:00</t>
        </is>
      </c>
      <c r="H14" t="n">
        <v>44680900</v>
      </c>
      <c r="I14" t="n">
        <v>22944950</v>
      </c>
      <c r="J14" t="n">
        <v>8510000</v>
      </c>
      <c r="K14" t="n">
        <v>30240900</v>
      </c>
      <c r="M14">
        <f>I14-(H14+J14-K14)- L14</f>
        <v/>
      </c>
      <c r="N14">
        <f>IF(M14=0,"Cuadrado",IF(M14&gt;0,"Faltante","Sobrante"))</f>
        <v/>
      </c>
      <c r="O14" t="inlineStr">
        <is>
          <t>La diferencia es contabilizada por la Gerencia De Autoservicios y Efectivo de manera centralizada a la cuenta de sobrantes 279510020 el 06/04/2026</t>
        </is>
      </c>
      <c r="P14" t="n">
        <v>39445526</v>
      </c>
    </row>
    <row r="15">
      <c r="A15" t="n">
        <v>419</v>
      </c>
      <c r="B15" t="n">
        <v>7980</v>
      </c>
      <c r="D15" t="inlineStr">
        <is>
          <t>BELLTECH</t>
        </is>
      </c>
      <c r="E15" s="3" t="n">
        <v>46118</v>
      </c>
      <c r="F15" s="3" t="n">
        <v>46113</v>
      </c>
      <c r="G15" t="inlineStr">
        <is>
          <t>09:46:00</t>
        </is>
      </c>
      <c r="H15" t="n">
        <v>119856350</v>
      </c>
      <c r="I15" t="n">
        <v>118001350</v>
      </c>
      <c r="J15" t="n">
        <v>14480000</v>
      </c>
      <c r="K15" t="n">
        <v>12539000</v>
      </c>
      <c r="M15">
        <f>I15-(H15+J15-K15)- L15</f>
        <v/>
      </c>
      <c r="N15">
        <f>IF(M15=0,"Cuadrado",IF(M15&gt;0,"Faltante","Sobrante"))</f>
        <v/>
      </c>
      <c r="O15" t="inlineStr">
        <is>
          <t>La diferencia es contabilizada por la Gerencia De Autoservicios y Efectivo de manera centralizada a la cuenta de sobrantes 279510020 el 06/04/2026</t>
        </is>
      </c>
      <c r="P15" t="n">
        <v>79248430</v>
      </c>
    </row>
    <row r="16">
      <c r="A16" t="n">
        <v>33</v>
      </c>
      <c r="B16" t="n">
        <v>8861</v>
      </c>
      <c r="D16" t="inlineStr">
        <is>
          <t>BELLTECH</t>
        </is>
      </c>
      <c r="E16" s="3" t="n">
        <v>46118</v>
      </c>
      <c r="F16" s="3" t="n">
        <v>46113</v>
      </c>
      <c r="G16" t="inlineStr">
        <is>
          <t>11:10:00</t>
        </is>
      </c>
      <c r="H16" t="n">
        <v>159790400</v>
      </c>
      <c r="I16" t="n">
        <v>175715400</v>
      </c>
      <c r="J16" t="n">
        <v>32500000</v>
      </c>
      <c r="K16" t="n">
        <v>16355000</v>
      </c>
      <c r="M16">
        <f>I16-(H16+J16-K16)- L16</f>
        <v/>
      </c>
      <c r="N16">
        <f>IF(M16=0,"Cuadrado",IF(M16&gt;0,"Faltante","Sobrante"))</f>
        <v/>
      </c>
      <c r="O16" t="inlineStr">
        <is>
          <t>La diferencia es contabilizada por la Gerencia De Autoservicios y Efectivo de manera centralizada a la cuenta de sobrantes 279510020 el 06/04/2026</t>
        </is>
      </c>
      <c r="P16" t="n">
        <v>79659379</v>
      </c>
    </row>
    <row r="17">
      <c r="A17" t="n">
        <v>1</v>
      </c>
      <c r="B17" t="n">
        <v>5000</v>
      </c>
      <c r="D17" t="inlineStr">
        <is>
          <t>BELLTECH</t>
        </is>
      </c>
      <c r="E17" s="3" t="n">
        <v>46118</v>
      </c>
      <c r="F17" s="3" t="n">
        <v>46113</v>
      </c>
      <c r="G17" t="inlineStr">
        <is>
          <t>09:20:00</t>
        </is>
      </c>
      <c r="H17" t="n">
        <v>107370950</v>
      </c>
      <c r="I17" t="n">
        <v>97381950</v>
      </c>
      <c r="J17" t="n">
        <v>0</v>
      </c>
      <c r="K17" t="n">
        <v>0</v>
      </c>
      <c r="M17">
        <f>I17-(H17+J17-K17)- L17</f>
        <v/>
      </c>
      <c r="N17">
        <f>IF(M17=0,"Cuadrado",IF(M17&gt;0,"Faltante","Sobrante"))</f>
        <v/>
      </c>
      <c r="O17" t="inlineStr">
        <is>
          <t>La diferencia es contabilizada por la Gerencia De Autoservicios y Efectivo de manera centralizada a la cuenta de sobrantes 279510020 el 06/04/2026</t>
        </is>
      </c>
      <c r="P17" t="n">
        <v>1017128064</v>
      </c>
    </row>
    <row r="18">
      <c r="A18" t="n">
        <v>32</v>
      </c>
      <c r="B18" t="n">
        <v>5027</v>
      </c>
      <c r="D18" t="inlineStr">
        <is>
          <t>BELLTECH</t>
        </is>
      </c>
      <c r="E18" s="3" t="n">
        <v>46118</v>
      </c>
      <c r="F18" s="3" t="n">
        <v>46113</v>
      </c>
      <c r="G18" t="inlineStr">
        <is>
          <t>08:11:00</t>
        </is>
      </c>
      <c r="H18" t="n">
        <v>367235650</v>
      </c>
      <c r="I18" t="n">
        <v>369755650</v>
      </c>
      <c r="J18" t="n">
        <v>0</v>
      </c>
      <c r="K18" t="n">
        <v>0</v>
      </c>
      <c r="M18">
        <f>I18-(H18+J18-K18)- L18</f>
        <v/>
      </c>
      <c r="N18">
        <f>IF(M18=0,"Cuadrado",IF(M18&gt;0,"Faltante","Sobrante"))</f>
        <v/>
      </c>
      <c r="O18" t="inlineStr">
        <is>
          <t>ACLARAR DIFERENCIA Y REPETIR EL ARQUEO</t>
        </is>
      </c>
      <c r="P18" t="n">
        <v>79750158</v>
      </c>
    </row>
    <row r="19">
      <c r="A19" t="n">
        <v>419</v>
      </c>
      <c r="B19" t="n">
        <v>5077</v>
      </c>
      <c r="D19" t="inlineStr">
        <is>
          <t>BELLTECH</t>
        </is>
      </c>
      <c r="E19" s="3" t="n">
        <v>46118</v>
      </c>
      <c r="F19" s="3" t="n">
        <v>46113</v>
      </c>
      <c r="G19" t="inlineStr">
        <is>
          <t>09:01:00</t>
        </is>
      </c>
      <c r="H19" t="n">
        <v>256027000</v>
      </c>
      <c r="I19" t="n">
        <v>267144800</v>
      </c>
      <c r="J19" t="n">
        <v>0</v>
      </c>
      <c r="K19" t="n">
        <v>0</v>
      </c>
      <c r="M19">
        <f>I19-(H19+J19-K19)- L19</f>
        <v/>
      </c>
      <c r="N19">
        <f>IF(M19=0,"Cuadrado",IF(M19&gt;0,"Faltante","Sobrante"))</f>
        <v/>
      </c>
      <c r="O19" t="inlineStr">
        <is>
          <t>ACLARAR DIFERENCIA Y REPETIR EL ARQUEO</t>
        </is>
      </c>
      <c r="P19" t="n">
        <v>79248430</v>
      </c>
    </row>
    <row r="20">
      <c r="A20" t="n">
        <v>523</v>
      </c>
      <c r="B20" t="n">
        <v>5082</v>
      </c>
      <c r="D20" t="inlineStr">
        <is>
          <t>BELLTECH</t>
        </is>
      </c>
      <c r="E20" s="3" t="n">
        <v>46118</v>
      </c>
      <c r="F20" s="3" t="n">
        <v>46113</v>
      </c>
      <c r="G20" t="inlineStr">
        <is>
          <t>08:23:00</t>
        </is>
      </c>
      <c r="H20" t="n">
        <v>542353750</v>
      </c>
      <c r="I20" t="n">
        <v>541392650</v>
      </c>
      <c r="J20" t="n">
        <v>0</v>
      </c>
      <c r="K20" t="n">
        <v>0</v>
      </c>
      <c r="M20">
        <f>I20-(H20+J20-K20)- L20</f>
        <v/>
      </c>
      <c r="N20">
        <f>IF(M20=0,"Cuadrado",IF(M20&gt;0,"Faltante","Sobrante"))</f>
        <v/>
      </c>
      <c r="O20" t="inlineStr">
        <is>
          <t>La diferencia es contabilizada por la Gerencia De Autoservicios y Efectivo de manera centralizada a la cuenta de sobrantes 279510020 el 06/04/2026</t>
        </is>
      </c>
      <c r="P20" t="n">
        <v>1065609766</v>
      </c>
    </row>
    <row r="21">
      <c r="A21" t="n">
        <v>659</v>
      </c>
      <c r="B21" t="n">
        <v>5102</v>
      </c>
      <c r="D21" t="inlineStr">
        <is>
          <t>BELLTECH</t>
        </is>
      </c>
      <c r="E21" s="3" t="n">
        <v>46118</v>
      </c>
      <c r="F21" s="3" t="n">
        <v>46113</v>
      </c>
      <c r="G21" t="inlineStr">
        <is>
          <t>10:23:00</t>
        </is>
      </c>
      <c r="H21" t="n">
        <v>226795350</v>
      </c>
      <c r="I21" t="n">
        <v>235981350</v>
      </c>
      <c r="J21" t="n">
        <v>0</v>
      </c>
      <c r="K21" t="n">
        <v>0</v>
      </c>
      <c r="M21">
        <f>I21-(H21+J21-K21)- L21</f>
        <v/>
      </c>
      <c r="N21">
        <f>IF(M21=0,"Cuadrado",IF(M21&gt;0,"Faltante","Sobrante"))</f>
        <v/>
      </c>
      <c r="O21" t="inlineStr">
        <is>
          <t>ACLARAR DIFERENCIA Y REPETIR EL ARQUEO</t>
        </is>
      </c>
      <c r="P21" t="n">
        <v>39575034</v>
      </c>
    </row>
    <row r="22">
      <c r="A22" t="n">
        <v>511</v>
      </c>
      <c r="B22" t="n">
        <v>5122</v>
      </c>
      <c r="D22" t="inlineStr">
        <is>
          <t>BELLTECH</t>
        </is>
      </c>
      <c r="E22" s="3" t="n">
        <v>46118</v>
      </c>
      <c r="F22" s="3" t="n">
        <v>46113</v>
      </c>
      <c r="G22" t="inlineStr">
        <is>
          <t>10:37:00</t>
        </is>
      </c>
      <c r="H22" t="n">
        <v>131793350</v>
      </c>
      <c r="I22" t="n">
        <v>136021350</v>
      </c>
      <c r="J22" t="n">
        <v>0</v>
      </c>
      <c r="K22" t="n">
        <v>0</v>
      </c>
      <c r="M22">
        <f>I22-(H22+J22-K22)- L22</f>
        <v/>
      </c>
      <c r="N22">
        <f>IF(M22=0,"Cuadrado",IF(M22&gt;0,"Faltante","Sobrante"))</f>
        <v/>
      </c>
      <c r="O22" t="inlineStr">
        <is>
          <t>ACLARAR DIFERENCIA Y REPETIR EL ARQUEO</t>
        </is>
      </c>
      <c r="P22" t="n">
        <v>1193097865</v>
      </c>
    </row>
    <row r="23">
      <c r="A23" t="n">
        <v>829</v>
      </c>
      <c r="B23" t="n">
        <v>5137</v>
      </c>
      <c r="D23" t="inlineStr">
        <is>
          <t>BELLTECH</t>
        </is>
      </c>
      <c r="E23" s="3" t="n">
        <v>46118</v>
      </c>
      <c r="F23" s="3" t="n">
        <v>46113</v>
      </c>
      <c r="G23" t="inlineStr">
        <is>
          <t>08:35:00</t>
        </is>
      </c>
      <c r="H23" t="n">
        <v>375137600</v>
      </c>
      <c r="I23" t="n">
        <v>359742600</v>
      </c>
      <c r="J23" t="n">
        <v>0</v>
      </c>
      <c r="K23" t="n">
        <v>0</v>
      </c>
      <c r="M23">
        <f>I23-(H23+J23-K23)- L23</f>
        <v/>
      </c>
      <c r="N23">
        <f>IF(M23=0,"Cuadrado",IF(M23&gt;0,"Faltante","Sobrante"))</f>
        <v/>
      </c>
      <c r="O23" t="inlineStr">
        <is>
          <t>La diferencia es contabilizada por la Gerencia De Autoservicios y Efectivo de manera centralizada a la cuenta de sobrantes 279510020 el 06/04/2026</t>
        </is>
      </c>
      <c r="P23" t="n">
        <v>31306454</v>
      </c>
    </row>
    <row r="24">
      <c r="A24" t="n">
        <v>40</v>
      </c>
      <c r="B24" t="n">
        <v>5142</v>
      </c>
      <c r="D24" t="inlineStr">
        <is>
          <t>BELLTECH</t>
        </is>
      </c>
      <c r="E24" s="3" t="n">
        <v>46118</v>
      </c>
      <c r="F24" s="3" t="n">
        <v>46113</v>
      </c>
      <c r="G24" t="inlineStr">
        <is>
          <t>09:27:00</t>
        </is>
      </c>
      <c r="H24" t="n">
        <v>329283950</v>
      </c>
      <c r="I24" t="n">
        <v>370446950</v>
      </c>
      <c r="J24" t="n">
        <v>0</v>
      </c>
      <c r="K24" t="n">
        <v>0</v>
      </c>
      <c r="M24">
        <f>I24-(H24+J24-K24)- L24</f>
        <v/>
      </c>
      <c r="N24">
        <f>IF(M24=0,"Cuadrado",IF(M24&gt;0,"Faltante","Sobrante"))</f>
        <v/>
      </c>
      <c r="O24" t="inlineStr">
        <is>
          <t>Gestión manual - Revisar por el personal encargado</t>
        </is>
      </c>
      <c r="P24" t="n">
        <v>1022424390</v>
      </c>
    </row>
    <row r="25">
      <c r="A25" t="n">
        <v>302</v>
      </c>
      <c r="B25" t="n">
        <v>5170</v>
      </c>
      <c r="D25" t="inlineStr">
        <is>
          <t>BELLTECH</t>
        </is>
      </c>
      <c r="E25" s="3" t="n">
        <v>46118</v>
      </c>
      <c r="F25" s="3" t="n">
        <v>46113</v>
      </c>
      <c r="G25" t="inlineStr">
        <is>
          <t>08:15:00</t>
        </is>
      </c>
      <c r="H25" t="n">
        <v>145629950</v>
      </c>
      <c r="I25" t="n">
        <v>128303600</v>
      </c>
      <c r="J25" t="n">
        <v>0</v>
      </c>
      <c r="K25" t="n">
        <v>0</v>
      </c>
      <c r="M25">
        <f>I25-(H25+J25-K25)- L25</f>
        <v/>
      </c>
      <c r="N25">
        <f>IF(M25=0,"Cuadrado",IF(M25&gt;0,"Faltante","Sobrante"))</f>
        <v/>
      </c>
      <c r="O25" t="inlineStr">
        <is>
          <t>La diferencia es contabilizada por la Gerencia De Autoservicios y Efectivo de manera centralizada a la cuenta de sobrantes 279510020 el 06/04/2026</t>
        </is>
      </c>
      <c r="P25" t="n">
        <v>1102374502</v>
      </c>
    </row>
    <row r="26">
      <c r="A26" t="n">
        <v>383</v>
      </c>
      <c r="B26" t="n">
        <v>5194</v>
      </c>
      <c r="D26" t="inlineStr">
        <is>
          <t>BELLTECH</t>
        </is>
      </c>
      <c r="E26" s="3" t="n">
        <v>46118</v>
      </c>
      <c r="F26" s="3" t="n">
        <v>46113</v>
      </c>
      <c r="G26" t="inlineStr">
        <is>
          <t>08:44:33</t>
        </is>
      </c>
      <c r="H26" t="n">
        <v>88040600</v>
      </c>
      <c r="I26" t="n">
        <v>96449600</v>
      </c>
      <c r="J26" t="n">
        <v>0</v>
      </c>
      <c r="K26" t="n">
        <v>0</v>
      </c>
      <c r="M26">
        <f>I26-(H26+J26-K26)- L26</f>
        <v/>
      </c>
      <c r="N26">
        <f>IF(M26=0,"Cuadrado",IF(M26&gt;0,"Faltante","Sobrante"))</f>
        <v/>
      </c>
      <c r="O26" t="inlineStr">
        <is>
          <t>ACLARAR DIFERENCIA Y REPETIR EL ARQUEO</t>
        </is>
      </c>
      <c r="P26" t="n">
        <v>1073160492</v>
      </c>
    </row>
    <row r="27">
      <c r="A27" t="n">
        <v>16</v>
      </c>
      <c r="B27" t="n">
        <v>5219</v>
      </c>
      <c r="D27" t="inlineStr">
        <is>
          <t>BELLTECH</t>
        </is>
      </c>
      <c r="E27" s="3" t="n">
        <v>46118</v>
      </c>
      <c r="F27" s="3" t="n">
        <v>46113</v>
      </c>
      <c r="G27" t="inlineStr">
        <is>
          <t>11:13:00</t>
        </is>
      </c>
      <c r="H27" t="n">
        <v>161605300</v>
      </c>
      <c r="I27" t="n">
        <v>170517600</v>
      </c>
      <c r="J27" t="n">
        <v>0</v>
      </c>
      <c r="K27" t="n">
        <v>0</v>
      </c>
      <c r="M27">
        <f>I27-(H27+J27-K27)- L27</f>
        <v/>
      </c>
      <c r="N27">
        <f>IF(M27=0,"Cuadrado",IF(M27&gt;0,"Faltante","Sobrante"))</f>
        <v/>
      </c>
      <c r="O27" t="inlineStr">
        <is>
          <t>ACLARAR DIFERENCIA Y REPETIR EL ARQUEO</t>
        </is>
      </c>
      <c r="P27" t="n">
        <v>1128405320</v>
      </c>
    </row>
    <row r="28">
      <c r="A28" t="n">
        <v>868</v>
      </c>
      <c r="B28" t="n">
        <v>6149</v>
      </c>
      <c r="D28" t="inlineStr">
        <is>
          <t>DIEBOLD</t>
        </is>
      </c>
      <c r="E28" s="3" t="n">
        <v>46118</v>
      </c>
      <c r="F28" s="3" t="n">
        <v>46113</v>
      </c>
      <c r="G28" t="inlineStr">
        <is>
          <t>08:09:00</t>
        </is>
      </c>
      <c r="H28" t="n">
        <v>133092850</v>
      </c>
      <c r="I28" t="n">
        <v>130288850</v>
      </c>
      <c r="J28" t="n">
        <v>0</v>
      </c>
      <c r="K28" t="n">
        <v>0</v>
      </c>
      <c r="M28">
        <f>I28-(H28+J28-K28)- L28</f>
        <v/>
      </c>
      <c r="N28">
        <f>IF(M28=0,"Cuadrado",IF(M28&gt;0,"Faltante","Sobrante"))</f>
        <v/>
      </c>
      <c r="O28" t="inlineStr">
        <is>
          <t>La diferencia es contabilizada por la Gerencia De Autoservicios y Efectivo de manera centralizada a la cuenta de sobrantes 279510020 el 06/04/2026</t>
        </is>
      </c>
      <c r="P28" t="n">
        <v>31602728</v>
      </c>
    </row>
    <row r="29">
      <c r="A29" t="n">
        <v>231</v>
      </c>
      <c r="B29" t="n">
        <v>6243</v>
      </c>
      <c r="D29" t="inlineStr">
        <is>
          <t>BELLTECH</t>
        </is>
      </c>
      <c r="E29" s="3" t="n">
        <v>46118</v>
      </c>
      <c r="F29" s="3" t="n">
        <v>46113</v>
      </c>
      <c r="G29" t="inlineStr">
        <is>
          <t>08:43:00</t>
        </is>
      </c>
      <c r="H29" t="n">
        <v>135154750</v>
      </c>
      <c r="I29" t="n">
        <v>135154750</v>
      </c>
      <c r="J29" t="n">
        <v>0</v>
      </c>
      <c r="K29" t="n">
        <v>0</v>
      </c>
      <c r="M29">
        <f>I29-(H29+J29-K29)- L29</f>
        <v/>
      </c>
      <c r="N29">
        <f>IF(M29=0,"Cuadrado",IF(M29&gt;0,"Faltante","Sobrante"))</f>
        <v/>
      </c>
      <c r="O29" t="inlineStr">
        <is>
          <t>Cajero cuadrado, sin observación por parte de la sucursal</t>
        </is>
      </c>
      <c r="P29" t="n">
        <v>52979634</v>
      </c>
    </row>
    <row r="30">
      <c r="A30" t="n">
        <v>337</v>
      </c>
      <c r="B30" t="n">
        <v>6253</v>
      </c>
      <c r="D30" t="inlineStr">
        <is>
          <t>BELLTECH</t>
        </is>
      </c>
      <c r="E30" s="3" t="n">
        <v>46118</v>
      </c>
      <c r="F30" s="3" t="n">
        <v>46113</v>
      </c>
      <c r="G30" t="inlineStr">
        <is>
          <t>10:29:00</t>
        </is>
      </c>
      <c r="H30" t="n">
        <v>256386050</v>
      </c>
      <c r="I30" t="n">
        <v>148051950</v>
      </c>
      <c r="J30" t="n">
        <v>0</v>
      </c>
      <c r="K30" t="n">
        <v>0</v>
      </c>
      <c r="M30">
        <f>I30-(H30+J30-K30)- L30</f>
        <v/>
      </c>
      <c r="N30">
        <f>IF(M30=0,"Cuadrado",IF(M30&gt;0,"Faltante","Sobrante"))</f>
        <v/>
      </c>
      <c r="O30" t="inlineStr">
        <is>
          <t>ACLARAR DIFERENCIA Y REPETIR EL ARQUEO</t>
        </is>
      </c>
      <c r="P30" t="n">
        <v>80386330</v>
      </c>
    </row>
    <row r="31">
      <c r="A31" t="n">
        <v>37</v>
      </c>
      <c r="B31" t="n">
        <v>6406</v>
      </c>
      <c r="D31" t="inlineStr">
        <is>
          <t>BELLTECH</t>
        </is>
      </c>
      <c r="E31" s="3" t="n">
        <v>46118</v>
      </c>
      <c r="F31" s="3" t="n">
        <v>46113</v>
      </c>
      <c r="G31" t="inlineStr">
        <is>
          <t>13:10:00</t>
        </is>
      </c>
      <c r="H31" t="n">
        <v>272852200</v>
      </c>
      <c r="I31" t="n">
        <v>126536200</v>
      </c>
      <c r="J31" t="n">
        <v>0</v>
      </c>
      <c r="K31" t="n">
        <v>0</v>
      </c>
      <c r="M31">
        <f>I31-(H31+J31-K31)- L31</f>
        <v/>
      </c>
      <c r="N31">
        <f>IF(M31=0,"Cuadrado",IF(M31&gt;0,"Faltante","Sobrante"))</f>
        <v/>
      </c>
      <c r="O31" t="inlineStr">
        <is>
          <t>Gestión manual - Revisar por el personal encargado</t>
        </is>
      </c>
      <c r="P31" t="n">
        <v>1018444239</v>
      </c>
    </row>
    <row r="32">
      <c r="A32" t="n">
        <v>96</v>
      </c>
      <c r="B32" t="n">
        <v>6735</v>
      </c>
      <c r="D32" t="inlineStr">
        <is>
          <t>BELLTECH</t>
        </is>
      </c>
      <c r="E32" s="3" t="n">
        <v>46118</v>
      </c>
      <c r="F32" s="3" t="n">
        <v>46113</v>
      </c>
      <c r="G32" t="inlineStr">
        <is>
          <t>09:46:00</t>
        </is>
      </c>
      <c r="H32" t="n">
        <v>83421050</v>
      </c>
      <c r="I32" t="n">
        <v>82839050</v>
      </c>
      <c r="J32" t="n">
        <v>0</v>
      </c>
      <c r="K32" t="n">
        <v>0</v>
      </c>
      <c r="M32">
        <f>I32-(H32+J32-K32)- L32</f>
        <v/>
      </c>
      <c r="N32">
        <f>IF(M32=0,"Cuadrado",IF(M32&gt;0,"Faltante","Sobrante"))</f>
        <v/>
      </c>
      <c r="O32" t="inlineStr">
        <is>
          <t>La diferencia es contabilizada por la Gerencia De Autoservicios y Efectivo de manera centralizada a la cuenta de sobrantes 279510020 el 06/04/2026</t>
        </is>
      </c>
      <c r="P32" t="n">
        <v>39491642</v>
      </c>
    </row>
    <row r="33">
      <c r="A33" t="n">
        <v>123</v>
      </c>
      <c r="B33" t="n">
        <v>7134</v>
      </c>
      <c r="D33" t="inlineStr">
        <is>
          <t>DIEBOLD</t>
        </is>
      </c>
      <c r="E33" s="3" t="n">
        <v>46118</v>
      </c>
      <c r="F33" s="3" t="n">
        <v>46113</v>
      </c>
      <c r="G33" t="inlineStr">
        <is>
          <t>10:17:00</t>
        </is>
      </c>
      <c r="H33" t="n">
        <v>44680900</v>
      </c>
      <c r="I33" t="n">
        <v>22944950</v>
      </c>
      <c r="J33" t="n">
        <v>0</v>
      </c>
      <c r="K33" t="n">
        <v>0</v>
      </c>
      <c r="M33">
        <f>I33-(H33+J33-K33)- L33</f>
        <v/>
      </c>
      <c r="N33">
        <f>IF(M33=0,"Cuadrado",IF(M33&gt;0,"Faltante","Sobrante"))</f>
        <v/>
      </c>
      <c r="O33" t="inlineStr">
        <is>
          <t>La diferencia es contabilizada por la Gerencia De Autoservicios y Efectivo de manera centralizada a la cuenta de sobrantes 279510020 el 06/04/2026</t>
        </is>
      </c>
      <c r="P33" t="n">
        <v>39445526</v>
      </c>
    </row>
    <row r="34">
      <c r="A34" t="n">
        <v>506</v>
      </c>
      <c r="B34" t="n">
        <v>7316</v>
      </c>
      <c r="D34" t="inlineStr">
        <is>
          <t>BELLTECH</t>
        </is>
      </c>
      <c r="E34" s="3" t="n">
        <v>46118</v>
      </c>
      <c r="F34" s="3" t="n">
        <v>46113</v>
      </c>
      <c r="G34" t="inlineStr">
        <is>
          <t>10:56:44</t>
        </is>
      </c>
      <c r="H34" t="n">
        <v>113888450</v>
      </c>
      <c r="I34" t="n">
        <v>111222000</v>
      </c>
      <c r="J34" t="n">
        <v>0</v>
      </c>
      <c r="K34" t="n">
        <v>0</v>
      </c>
      <c r="M34">
        <f>I34-(H34+J34-K34)- L34</f>
        <v/>
      </c>
      <c r="N34">
        <f>IF(M34=0,"Cuadrado",IF(M34&gt;0,"Faltante","Sobrante"))</f>
        <v/>
      </c>
      <c r="O34" t="inlineStr">
        <is>
          <t>La diferencia es contabilizada por la Gerencia De Autoservicios y Efectivo de manera centralizada a la cuenta de sobrantes 279510020 el 06/04/2026</t>
        </is>
      </c>
      <c r="P34" t="n">
        <v>1102824257</v>
      </c>
    </row>
    <row r="35">
      <c r="A35" t="n">
        <v>609</v>
      </c>
      <c r="B35" t="n">
        <v>7888</v>
      </c>
      <c r="D35" t="inlineStr">
        <is>
          <t>BELLTECH</t>
        </is>
      </c>
      <c r="E35" s="3" t="n">
        <v>46118</v>
      </c>
      <c r="F35" s="3" t="n">
        <v>46113</v>
      </c>
      <c r="G35" t="inlineStr">
        <is>
          <t>10:37:00</t>
        </is>
      </c>
      <c r="H35" t="n">
        <v>310215950</v>
      </c>
      <c r="I35" t="n">
        <v>226673950</v>
      </c>
      <c r="J35" t="n">
        <v>0</v>
      </c>
      <c r="K35" t="n">
        <v>0</v>
      </c>
      <c r="M35">
        <f>I35-(H35+J35-K35)- L35</f>
        <v/>
      </c>
      <c r="N35">
        <f>IF(M35=0,"Cuadrado",IF(M35&gt;0,"Faltante","Sobrante"))</f>
        <v/>
      </c>
      <c r="O35" t="inlineStr">
        <is>
          <t>La diferencia es contabilizada por la Gerencia De Autoservicios y Efectivo de manera centralizada a la cuenta de sobrantes 279510020 el 06/04/2026</t>
        </is>
      </c>
      <c r="P35" t="n">
        <v>98695047</v>
      </c>
    </row>
    <row r="36">
      <c r="A36" t="n">
        <v>419</v>
      </c>
      <c r="B36" t="n">
        <v>7980</v>
      </c>
      <c r="D36" t="inlineStr">
        <is>
          <t>BELLTECH</t>
        </is>
      </c>
      <c r="E36" s="3" t="n">
        <v>46118</v>
      </c>
      <c r="F36" s="3" t="n">
        <v>46113</v>
      </c>
      <c r="G36" t="inlineStr">
        <is>
          <t>09:46:00</t>
        </is>
      </c>
      <c r="H36" t="n">
        <v>119856350</v>
      </c>
      <c r="I36" t="n">
        <v>118001350</v>
      </c>
      <c r="J36" t="n">
        <v>0</v>
      </c>
      <c r="K36" t="n">
        <v>0</v>
      </c>
      <c r="M36">
        <f>I36-(H36+J36-K36)- L36</f>
        <v/>
      </c>
      <c r="N36">
        <f>IF(M36=0,"Cuadrado",IF(M36&gt;0,"Faltante","Sobrante"))</f>
        <v/>
      </c>
      <c r="O36" t="inlineStr">
        <is>
          <t>La diferencia es contabilizada por la Gerencia De Autoservicios y Efectivo de manera centralizada a la cuenta de sobrantes 279510020 el 06/04/2026</t>
        </is>
      </c>
      <c r="P36" t="n">
        <v>79248430</v>
      </c>
    </row>
    <row r="37">
      <c r="A37" t="n">
        <v>728</v>
      </c>
      <c r="B37" t="n">
        <v>8586</v>
      </c>
      <c r="D37" t="inlineStr">
        <is>
          <t>BELLTECH</t>
        </is>
      </c>
      <c r="E37" s="3" t="n">
        <v>46118</v>
      </c>
      <c r="F37" s="3" t="n">
        <v>46113</v>
      </c>
      <c r="G37" t="inlineStr">
        <is>
          <t>08:56:00</t>
        </is>
      </c>
      <c r="H37" t="n">
        <v>46858850</v>
      </c>
      <c r="I37" t="n">
        <v>45318850</v>
      </c>
      <c r="J37" t="n">
        <v>0</v>
      </c>
      <c r="K37" t="n">
        <v>0</v>
      </c>
      <c r="M37">
        <f>I37-(H37+J37-K37)- L37</f>
        <v/>
      </c>
      <c r="N37">
        <f>IF(M37=0,"Cuadrado",IF(M37&gt;0,"Faltante","Sobrante"))</f>
        <v/>
      </c>
      <c r="O37" t="inlineStr">
        <is>
          <t>La diferencia es contabilizada por la Gerencia De Autoservicios y Efectivo de manera centralizada a la cuenta de sobrantes 279510020 el 06/04/2026</t>
        </is>
      </c>
      <c r="P37" t="n">
        <v>1112783690</v>
      </c>
    </row>
    <row r="38">
      <c r="A38" t="n">
        <v>728</v>
      </c>
      <c r="B38" t="n">
        <v>8587</v>
      </c>
      <c r="D38" t="inlineStr">
        <is>
          <t>BELLTECH</t>
        </is>
      </c>
      <c r="E38" s="3" t="n">
        <v>46118</v>
      </c>
      <c r="F38" s="3" t="n">
        <v>46113</v>
      </c>
      <c r="G38" t="inlineStr">
        <is>
          <t>09:11:00</t>
        </is>
      </c>
      <c r="H38" t="n">
        <v>93897550</v>
      </c>
      <c r="I38" t="n">
        <v>87047550</v>
      </c>
      <c r="J38" t="n">
        <v>0</v>
      </c>
      <c r="K38" t="n">
        <v>0</v>
      </c>
      <c r="M38">
        <f>I38-(H38+J38-K38)- L38</f>
        <v/>
      </c>
      <c r="N38">
        <f>IF(M38=0,"Cuadrado",IF(M38&gt;0,"Faltante","Sobrante"))</f>
        <v/>
      </c>
      <c r="O38" t="inlineStr">
        <is>
          <t>La diferencia es contabilizada por la Gerencia De Autoservicios y Efectivo de manera centralizada a la cuenta de sobrantes 279510020 el 06/04/2026</t>
        </is>
      </c>
      <c r="P38" t="n">
        <v>1112783690</v>
      </c>
    </row>
    <row r="39">
      <c r="A39" t="n">
        <v>33</v>
      </c>
      <c r="B39" t="n">
        <v>8861</v>
      </c>
      <c r="D39" t="inlineStr">
        <is>
          <t>BELLTECH</t>
        </is>
      </c>
      <c r="E39" s="3" t="n">
        <v>46118</v>
      </c>
      <c r="F39" s="3" t="n">
        <v>46113</v>
      </c>
      <c r="G39" t="inlineStr">
        <is>
          <t>11:10:00</t>
        </is>
      </c>
      <c r="H39" t="n">
        <v>159790400</v>
      </c>
      <c r="I39" t="n">
        <v>175715400</v>
      </c>
      <c r="J39" t="n">
        <v>0</v>
      </c>
      <c r="K39" t="n">
        <v>0</v>
      </c>
      <c r="M39">
        <f>I39-(H39+J39-K39)- L39</f>
        <v/>
      </c>
      <c r="N39">
        <f>IF(M39=0,"Cuadrado",IF(M39&gt;0,"Faltante","Sobrante"))</f>
        <v/>
      </c>
      <c r="O39" t="inlineStr">
        <is>
          <t>ACLARAR DIFERENCIA Y REPETIR EL ARQUEO</t>
        </is>
      </c>
      <c r="P39" t="n">
        <v>79659379</v>
      </c>
    </row>
    <row r="40">
      <c r="A40" t="n">
        <v>1</v>
      </c>
      <c r="B40" t="n">
        <v>5000</v>
      </c>
      <c r="D40" t="inlineStr">
        <is>
          <t>BELLTECH</t>
        </is>
      </c>
      <c r="E40" s="3" t="n">
        <v>46118</v>
      </c>
      <c r="F40" s="3" t="n">
        <v>46113</v>
      </c>
      <c r="G40" t="inlineStr">
        <is>
          <t>09:20:00</t>
        </is>
      </c>
      <c r="H40" t="n">
        <v>107370950</v>
      </c>
      <c r="I40" t="n">
        <v>97381950</v>
      </c>
      <c r="J40" t="n">
        <v>6810000</v>
      </c>
      <c r="K40" t="n">
        <v>16799000</v>
      </c>
      <c r="M40">
        <f>I40-(H40+J40-K40)- L40</f>
        <v/>
      </c>
      <c r="N40">
        <f>IF(M40=0,"Cuadrado",IF(M40&gt;0,"Faltante","Sobrante"))</f>
        <v/>
      </c>
      <c r="O40" t="inlineStr">
        <is>
          <t>Cajero cuadrado, sin observación por parte de la sucursal</t>
        </is>
      </c>
      <c r="P40" t="n">
        <v>1017128064</v>
      </c>
    </row>
    <row r="41">
      <c r="A41" t="n">
        <v>32</v>
      </c>
      <c r="B41" t="n">
        <v>5027</v>
      </c>
      <c r="D41" t="inlineStr">
        <is>
          <t>BELLTECH</t>
        </is>
      </c>
      <c r="E41" s="3" t="n">
        <v>46118</v>
      </c>
      <c r="F41" s="3" t="n">
        <v>46113</v>
      </c>
      <c r="G41" t="inlineStr">
        <is>
          <t>08:11:00</t>
        </is>
      </c>
      <c r="H41" t="n">
        <v>367235650</v>
      </c>
      <c r="I41" t="n">
        <v>369755650</v>
      </c>
      <c r="J41" t="n">
        <v>2720000</v>
      </c>
      <c r="K41" t="n">
        <v>200000</v>
      </c>
      <c r="M41">
        <f>I41-(H41+J41-K41)- L41</f>
        <v/>
      </c>
      <c r="N41">
        <f>IF(M41=0,"Cuadrado",IF(M41&gt;0,"Faltante","Sobrante"))</f>
        <v/>
      </c>
      <c r="O41" t="inlineStr">
        <is>
          <t>Cajero cuadrado, sin observación por parte de la sucursal</t>
        </is>
      </c>
      <c r="P41" t="n">
        <v>79750158</v>
      </c>
    </row>
    <row r="42">
      <c r="A42" t="n">
        <v>511</v>
      </c>
      <c r="B42" t="n">
        <v>5122</v>
      </c>
      <c r="D42" t="inlineStr">
        <is>
          <t>BELLTECH</t>
        </is>
      </c>
      <c r="E42" s="3" t="n">
        <v>46118</v>
      </c>
      <c r="F42" s="3" t="n">
        <v>46113</v>
      </c>
      <c r="G42" t="inlineStr">
        <is>
          <t>10:37:00</t>
        </is>
      </c>
      <c r="H42" t="n">
        <v>131793350</v>
      </c>
      <c r="I42" t="n">
        <v>136021350</v>
      </c>
      <c r="J42" t="n">
        <v>18220000</v>
      </c>
      <c r="K42" t="n">
        <v>13992000</v>
      </c>
      <c r="M42">
        <f>I42-(H42+J42-K42)- L42</f>
        <v/>
      </c>
      <c r="N42">
        <f>IF(M42=0,"Cuadrado",IF(M42&gt;0,"Faltante","Sobrante"))</f>
        <v/>
      </c>
      <c r="O42" t="inlineStr">
        <is>
          <t>El faltante $3.070.000 es cruzado con sobrante contabilizado el día 01/04/2026 ($3.070.000) el cual es reversado por la seccion el día 06/04/2026</t>
        </is>
      </c>
      <c r="P42" t="n">
        <v>1193097865</v>
      </c>
    </row>
    <row r="43">
      <c r="A43" t="n">
        <v>231</v>
      </c>
      <c r="B43" t="n">
        <v>6243</v>
      </c>
      <c r="D43" t="inlineStr">
        <is>
          <t>BELLTECH</t>
        </is>
      </c>
      <c r="E43" s="3" t="n">
        <v>46118</v>
      </c>
      <c r="F43" s="3" t="n">
        <v>46113</v>
      </c>
      <c r="G43" t="inlineStr">
        <is>
          <t>08:43:00</t>
        </is>
      </c>
      <c r="H43" t="n">
        <v>135154750</v>
      </c>
      <c r="I43" t="n">
        <v>135154750</v>
      </c>
      <c r="J43" t="n">
        <v>0</v>
      </c>
      <c r="K43" t="n">
        <v>0</v>
      </c>
      <c r="M43">
        <f>I43-(H43+J43-K43)- L43</f>
        <v/>
      </c>
      <c r="N43">
        <f>IF(M43=0,"Cuadrado",IF(M43&gt;0,"Faltante","Sobrante"))</f>
        <v/>
      </c>
      <c r="O43" t="inlineStr">
        <is>
          <t>Cajero cuadrado, sin observación por parte de la sucursal</t>
        </is>
      </c>
      <c r="P43" t="n">
        <v>52979634</v>
      </c>
    </row>
    <row r="44">
      <c r="A44" t="n">
        <v>506</v>
      </c>
      <c r="B44" t="n">
        <v>7316</v>
      </c>
      <c r="D44" t="inlineStr">
        <is>
          <t>BELLTECH</t>
        </is>
      </c>
      <c r="E44" s="3" t="n">
        <v>46118</v>
      </c>
      <c r="F44" s="3" t="n">
        <v>46113</v>
      </c>
      <c r="G44" t="inlineStr">
        <is>
          <t>10:56:44</t>
        </is>
      </c>
      <c r="H44" t="n">
        <v>113888450</v>
      </c>
      <c r="I44" t="n">
        <v>111222000</v>
      </c>
      <c r="J44" t="n">
        <v>17250000</v>
      </c>
      <c r="K44" t="n">
        <v>19916450</v>
      </c>
      <c r="M44">
        <f>I44-(H44+J44-K44)- L44</f>
        <v/>
      </c>
      <c r="N44">
        <f>IF(M44=0,"Cuadrado",IF(M44&gt;0,"Faltante","Sobrante"))</f>
        <v/>
      </c>
      <c r="O44" t="inlineStr">
        <is>
          <t>Cajero cuadrado, sin observación por parte de la sucursal</t>
        </is>
      </c>
      <c r="P44" t="n">
        <v>1102824257</v>
      </c>
    </row>
    <row r="45">
      <c r="A45" t="n">
        <v>609</v>
      </c>
      <c r="B45" t="n">
        <v>7888</v>
      </c>
      <c r="D45" t="inlineStr">
        <is>
          <t>BELLTECH</t>
        </is>
      </c>
      <c r="E45" s="3" t="n">
        <v>46118</v>
      </c>
      <c r="F45" s="3" t="n">
        <v>46113</v>
      </c>
      <c r="G45" t="inlineStr">
        <is>
          <t>10:37:00</t>
        </is>
      </c>
      <c r="H45" t="n">
        <v>310215950</v>
      </c>
      <c r="I45" t="n">
        <v>226673950</v>
      </c>
      <c r="J45" t="n">
        <v>65600000</v>
      </c>
      <c r="K45" t="n">
        <v>149142000</v>
      </c>
      <c r="M45">
        <f>I45-(H45+J45-K45)- L45</f>
        <v/>
      </c>
      <c r="N45">
        <f>IF(M45=0,"Cuadrado",IF(M45&gt;0,"Faltante","Sobrante"))</f>
        <v/>
      </c>
      <c r="O45" t="inlineStr">
        <is>
          <t>Cajero cuadrado, sin observación por parte de la sucursal</t>
        </is>
      </c>
      <c r="P45" t="n">
        <v>98695047</v>
      </c>
    </row>
    <row r="46">
      <c r="A46" t="n">
        <v>728</v>
      </c>
      <c r="B46" t="n">
        <v>8586</v>
      </c>
      <c r="D46" t="inlineStr">
        <is>
          <t>BELLTECH</t>
        </is>
      </c>
      <c r="E46" s="3" t="n">
        <v>46118</v>
      </c>
      <c r="F46" s="3" t="n">
        <v>46113</v>
      </c>
      <c r="G46" t="inlineStr">
        <is>
          <t>08:56:00</t>
        </is>
      </c>
      <c r="H46" t="n">
        <v>46858850</v>
      </c>
      <c r="I46" t="n">
        <v>45318850</v>
      </c>
      <c r="J46" t="n">
        <v>11760000</v>
      </c>
      <c r="K46" t="n">
        <v>13300000</v>
      </c>
      <c r="M46">
        <f>I46-(H46+J46-K46)- L46</f>
        <v/>
      </c>
      <c r="N46">
        <f>IF(M46=0,"Cuadrado",IF(M46&gt;0,"Faltante","Sobrante"))</f>
        <v/>
      </c>
      <c r="O46" t="inlineStr">
        <is>
          <t>Cajero cuadrado, sin observación por parte de la sucursal</t>
        </is>
      </c>
      <c r="P46" t="n">
        <v>1112783690</v>
      </c>
    </row>
    <row r="47">
      <c r="A47" t="n">
        <v>728</v>
      </c>
      <c r="B47" t="n">
        <v>8587</v>
      </c>
      <c r="D47" t="inlineStr">
        <is>
          <t>BELLTECH</t>
        </is>
      </c>
      <c r="E47" s="3" t="n">
        <v>46118</v>
      </c>
      <c r="F47" s="3" t="n">
        <v>46113</v>
      </c>
      <c r="G47" t="inlineStr">
        <is>
          <t>09:11:00</t>
        </is>
      </c>
      <c r="H47" t="n">
        <v>93897550</v>
      </c>
      <c r="I47" t="n">
        <v>87047550</v>
      </c>
      <c r="J47" t="n">
        <v>9260000</v>
      </c>
      <c r="K47" t="n">
        <v>16110000</v>
      </c>
      <c r="M47">
        <f>I47-(H47+J47-K47)- L47</f>
        <v/>
      </c>
      <c r="N47">
        <f>IF(M47=0,"Cuadrado",IF(M47&gt;0,"Faltante","Sobrante"))</f>
        <v/>
      </c>
      <c r="O47" t="inlineStr">
        <is>
          <t>Cajero cuadrado, sin observación por parte de la sucursal</t>
        </is>
      </c>
      <c r="P47" t="n">
        <v>1112783690</v>
      </c>
    </row>
    <row r="48">
      <c r="A48" t="n">
        <v>499</v>
      </c>
      <c r="B48" t="n">
        <v>172</v>
      </c>
      <c r="D48" t="inlineStr">
        <is>
          <t>BELLTECH</t>
        </is>
      </c>
      <c r="E48" s="3" t="n">
        <v>46119</v>
      </c>
      <c r="F48" s="3" t="n">
        <v>46118</v>
      </c>
      <c r="G48" t="inlineStr">
        <is>
          <t>11:04:00</t>
        </is>
      </c>
      <c r="H48" t="n">
        <v>109587600</v>
      </c>
      <c r="I48" t="n">
        <v>89514200</v>
      </c>
      <c r="J48" t="n">
        <v>7770000</v>
      </c>
      <c r="K48" t="n">
        <v>26032000</v>
      </c>
      <c r="M48">
        <f>I48-(H48+J48-K48)- L48</f>
        <v/>
      </c>
      <c r="N48">
        <f>IF(M48=0,"Cuadrado",IF(M48&gt;0,"Faltante","Sobrante"))</f>
        <v/>
      </c>
      <c r="O48" t="inlineStr">
        <is>
          <t>La diferencia es contabilizada por la Gerencia De Autoservicios y Efectivo de manera centralizada a la cuenta de sobrantes 279510020 el 07/04/2026</t>
        </is>
      </c>
      <c r="P48" t="n">
        <v>71337474</v>
      </c>
      <c r="Q48" t="inlineStr">
        <is>
          <t>Inicio_cajero=172 | fecha_arqueo=06/04/2026 | d0(Saldo-(Efectivo+Dispensado-Recibido))=$-1.811.400 | Tras_770500 movs=0 | remanente_770500(aplicado_con_signo_inv_BD)=$0 | diferencia_d0_menos_remanente=$-1.811.400 | 810291 no_aplica_por_signo | diferencia=$-1.811.400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49">
      <c r="A49" t="n">
        <v>4</v>
      </c>
      <c r="B49" t="n">
        <v>316</v>
      </c>
      <c r="D49" t="inlineStr">
        <is>
          <t>BELLTECH</t>
        </is>
      </c>
      <c r="E49" s="3" t="n">
        <v>46119</v>
      </c>
      <c r="F49" s="3" t="n">
        <v>46118</v>
      </c>
      <c r="G49" t="inlineStr">
        <is>
          <t>10:10:00</t>
        </is>
      </c>
      <c r="H49" t="n">
        <v>45392050</v>
      </c>
      <c r="I49" t="n">
        <v>127673050</v>
      </c>
      <c r="J49" t="n">
        <v>12950000</v>
      </c>
      <c r="K49" t="n">
        <v>11180000</v>
      </c>
      <c r="M49">
        <f>I49-(H49+J49-K49)- L49</f>
        <v/>
      </c>
      <c r="N49">
        <f>IF(M49=0,"Cuadrado",IF(M49&gt;0,"Faltante","Sobrante"))</f>
        <v/>
      </c>
      <c r="O49" t="inlineStr">
        <is>
          <t>La diferencia es contabilizada por la Gerencia De Autoservicios y Efectivo de manera centralizada a la cuenta de sobrantes 279510020 el 07/04/2026</t>
        </is>
      </c>
      <c r="P49" t="n">
        <v>1152186094</v>
      </c>
      <c r="Q49" t="inlineStr">
        <is>
          <t>Inicio_cajero=316 | fecha_arqueo=06/04/2026 | d0(Saldo-(Efectivo+Dispensado-Recibido))=$80.511.000 | Tras_770500 movs=0 | remanente_770500(aplicado_con_signo_inv_BD)=$0 | diferencia_d0_menos_remanente=$80.511.000 | 810291 aplica_por_signo=negativo | clvmov=003002576 | valor_bd=$-81.511.000 | aporte_inv_signo=$81.511.000 | cobertura=101.24% (rango 80%-120%) | diferencia_actual=$-1.000.000 | 810291 no_aplica_por_cobertura | signo_objetivo=positivo | clvmov=003002519 | valor_bd=$2.000.000 | cobertura=200.00% fuera de 80%-120% | diferencia_se_mantiene=$-1.000.000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50">
      <c r="A50" t="n">
        <v>795</v>
      </c>
      <c r="B50" t="n">
        <v>1029</v>
      </c>
      <c r="D50" t="inlineStr">
        <is>
          <t>BELLTECH</t>
        </is>
      </c>
      <c r="E50" s="3" t="n">
        <v>46119</v>
      </c>
      <c r="F50" s="3" t="n">
        <v>46118</v>
      </c>
      <c r="G50" t="inlineStr">
        <is>
          <t>08:59:00</t>
        </is>
      </c>
      <c r="H50" t="n">
        <v>257241100</v>
      </c>
      <c r="I50" t="n">
        <v>257249100</v>
      </c>
      <c r="J50" t="n">
        <v>10510000</v>
      </c>
      <c r="K50" t="n">
        <v>8452000</v>
      </c>
      <c r="M50">
        <f>I50-(H50+J50-K50)- L50</f>
        <v/>
      </c>
      <c r="N50">
        <f>IF(M50=0,"Cuadrado",IF(M50&gt;0,"Faltante","Sobrante"))</f>
        <v/>
      </c>
      <c r="O50" t="inlineStr">
        <is>
          <t>La diferencia es contabilizada por la Gerencia De Autoservicios y Efectivo de manera centralizada a la cuenta de sobrantes 279510020 el 07/04/2026</t>
        </is>
      </c>
      <c r="P50" t="n">
        <v>91274094</v>
      </c>
      <c r="Q50" t="inlineStr">
        <is>
          <t>Inicio_cajero=1029 | fecha_arqueo=06/04/2026 | d0(Saldo-(Efectivo+Dispensado-Recibido))=$-2.050.000 | Tras_770500 movs=0 | remanente_770500(aplicado_con_signo_inv_BD)=$0 | diferencia_d0_menos_remanente=$-2.050.000 | 810291 no_aplica_por_signo | diferencia=$-2.050.000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51">
      <c r="A51" t="n">
        <v>779</v>
      </c>
      <c r="B51" t="n">
        <v>5013</v>
      </c>
      <c r="D51" t="inlineStr">
        <is>
          <t>BELLTECH</t>
        </is>
      </c>
      <c r="E51" s="3" t="n">
        <v>46119</v>
      </c>
      <c r="F51" s="3" t="n">
        <v>46118</v>
      </c>
      <c r="G51" t="inlineStr">
        <is>
          <t>15:08:00</t>
        </is>
      </c>
      <c r="H51" t="n">
        <v>91728800</v>
      </c>
      <c r="I51" t="n">
        <v>124362350</v>
      </c>
      <c r="J51" t="n">
        <v>26900000</v>
      </c>
      <c r="K51" t="n">
        <v>117272900</v>
      </c>
      <c r="M51">
        <f>I51-(H51+J51-K51)- L51</f>
        <v/>
      </c>
      <c r="N51">
        <f>IF(M51=0,"Cuadrado",IF(M51&gt;0,"Faltante","Sobrante"))</f>
        <v/>
      </c>
      <c r="O51" t="inlineStr">
        <is>
          <t>La diferencia es contabilizada por la Gerencia De Autoservicios y Efectivo de manera centralizada a la cuenta de sobrantes 279510020 el 07/04/2026</t>
        </is>
      </c>
      <c r="P51" t="n">
        <v>1082858126</v>
      </c>
      <c r="Q51" t="inlineStr">
        <is>
          <t>Inicio_cajero=5013 | fecha_arqueo=06/04/2026 | d0(Saldo-(Efectivo+Dispensado-Recibido))=$123.006.450 | Tras_770500 movs=0 | remanente_770500(aplicado_con_signo_inv_BD)=$0 | diferencia_d0_menos_remanente=$123.006.450 | 810291 aplica_por_signo=negativo | clvmov=003116124 | valor_bd=$-125.199.000 | aporte_inv_signo=$125.199.000 | cobertura=101.78% (rango 80%-120%) | diferencia_actual=$-2.192.550 | 810291 sin_mas_candidatos_signo=positivo | diferencia_actual=$-2.192.550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52">
      <c r="A52" t="n">
        <v>81</v>
      </c>
      <c r="B52" t="n">
        <v>5036</v>
      </c>
      <c r="D52" t="inlineStr">
        <is>
          <t>BELLTECH</t>
        </is>
      </c>
      <c r="E52" s="3" t="n">
        <v>46119</v>
      </c>
      <c r="F52" s="3" t="n">
        <v>46113</v>
      </c>
      <c r="G52" t="inlineStr">
        <is>
          <t>16:00:00</t>
        </is>
      </c>
      <c r="H52" t="n">
        <v>194074800</v>
      </c>
      <c r="I52" t="n">
        <v>213144800</v>
      </c>
      <c r="J52" t="n">
        <v>22720000</v>
      </c>
      <c r="K52" t="n">
        <v>5575000</v>
      </c>
      <c r="M52">
        <f>I52-(H52+J52-K52)- L52</f>
        <v/>
      </c>
      <c r="N52">
        <f>IF(M52=0,"Cuadrado",IF(M52&gt;0,"Faltante","Sobrante"))</f>
        <v/>
      </c>
      <c r="O52" t="inlineStr">
        <is>
          <t>La diferencia es contabilizada por la Gerencia De Autoservicios y Efectivo de manera centralizada a la cuenta de faltantes 168710093 el 07/04/2026, esta diferencia ingresa a proceso de investigación en el área para identificar a que corresponde.</t>
        </is>
      </c>
      <c r="P52" t="n">
        <v>1140901424</v>
      </c>
      <c r="Q52" t="inlineStr">
        <is>
          <t>Inicio_cajero=5036 | fecha_arqueo=01/04/2026 | d0(Saldo-(Efectivo+Dispensado-Recibido))=$1.925.000 | Tras_770500 movs=1 | remanente_770500(aplicado_con_signo_inv_BD)=$-2.550.000 | diferencia_d0_menos_remanente=$4.475.000 | 810291 no_aplica_por_cobertura | signo_objetivo=negativo | clvmov=003021243 | valor_bd=$-132.986.000 | cobertura=2971.75% fuera de 80%-120% | diferencia_se_mantiene=$4.475.000 | Faltante restante=$4.475.000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faltante_residual_d0_menos_remanente_calc=$4.475.000 | umbral_grabar_faltantes=$20.000 | Escritura_Gestion_MF: 168710093 (2da repetición arqueo previo con repetir)</t>
        </is>
      </c>
    </row>
    <row r="53">
      <c r="A53" t="n">
        <v>723</v>
      </c>
      <c r="B53" t="n">
        <v>5046</v>
      </c>
      <c r="D53" t="inlineStr">
        <is>
          <t>BELLTECH</t>
        </is>
      </c>
      <c r="E53" s="3" t="n">
        <v>46119</v>
      </c>
      <c r="F53" s="3" t="n">
        <v>46118</v>
      </c>
      <c r="G53" t="inlineStr">
        <is>
          <t>09:28:00</t>
        </is>
      </c>
      <c r="H53" t="n">
        <v>92947300</v>
      </c>
      <c r="I53" t="n">
        <v>93047300</v>
      </c>
      <c r="J53" t="n">
        <v>0</v>
      </c>
      <c r="K53" t="n">
        <v>0</v>
      </c>
      <c r="M53">
        <f>I53-(H53+J53-K53)- L53</f>
        <v/>
      </c>
      <c r="N53">
        <f>IF(M53=0,"Cuadrado",IF(M53&gt;0,"Faltante","Sobrante"))</f>
        <v/>
      </c>
      <c r="O53" t="inlineStr">
        <is>
          <t>El faltante $100.000 es cruzado con sobrante contabilizado el día 31/03/2026 ($100.000) el cual es reversado por la seccion el día 07/04/2026</t>
        </is>
      </c>
      <c r="P53" t="n">
        <v>1036959981</v>
      </c>
      <c r="Q53" t="inlineStr">
        <is>
          <t>Inicio_cajero=5046 | fecha_arqueo=06/04/2026 | d0(Saldo-(Efectivo+Dispensado-Recibido))=$100.000 | Tras_770500 movs=0 | remanente_770500(aplicado_con_signo_inv_BD)=$0 | diferencia_d0_menos_remanente=$100.000 | 810291 no_aplica_por_cobertura | signo_objetivo=negativo | clvmov=003110279 | valor_bd=$-7.455.000 | cobertura=7455.00% fuera de 80%-120% | diferencia_se_mantiene=$100.000 | Faltante restante=$100.000 &lt;= umbral_sobrantes($25.000.000) | buscar cruce en cuenta 279510020 (NUMDOC suma neta negativa = sobrante activo) | RESULTADO justificado_sobrantes | etapa2 posteriores + penúltimo día (cruce parcial) | ARQUEOS_MF_post | faltante_residual_d0_menos_remanente_calc=$0 | umbral_grabar_faltantes=$20.000 | Escritura_Gestion_MF: cruce faltante con sobrante(s) 279510020 (texto reverso sección)</t>
        </is>
      </c>
    </row>
    <row r="54">
      <c r="A54" t="n">
        <v>852</v>
      </c>
      <c r="B54" t="n">
        <v>5050</v>
      </c>
      <c r="D54" t="inlineStr">
        <is>
          <t>BELLTECH</t>
        </is>
      </c>
      <c r="E54" s="3" t="n">
        <v>46119</v>
      </c>
      <c r="F54" s="3" t="n">
        <v>46118</v>
      </c>
      <c r="G54" t="inlineStr">
        <is>
          <t>15:46:00</t>
        </is>
      </c>
      <c r="H54" t="n">
        <v>241307250</v>
      </c>
      <c r="I54" t="n">
        <v>257787250</v>
      </c>
      <c r="J54" t="n">
        <v>68330000</v>
      </c>
      <c r="K54" t="n">
        <v>70749000</v>
      </c>
      <c r="M54">
        <f>I54-(H54+J54-K54)- L54</f>
        <v/>
      </c>
      <c r="N54">
        <f>IF(M54=0,"Cuadrado",IF(M54&gt;0,"Faltante","Sobrante"))</f>
        <v/>
      </c>
      <c r="O54" t="inlineStr">
        <is>
          <t>ACLARAR DIFERENCIA Y REPETIR EL ARQUEO</t>
        </is>
      </c>
      <c r="P54" t="n">
        <v>1088251245</v>
      </c>
      <c r="Q54" t="inlineStr">
        <is>
          <t>Inicio_cajero=5050 | fecha_arqueo=06/04/2026 | d0(Saldo-(Efectivo+Dispensado-Recibido))=$18.899.000 | Tras_770500 movs=0 | remanente_770500(aplicado_con_signo_inv_BD)=$0 | diferencia_d0_menos_remanente=$18.899.000 | 810291 no_aplica_por_cobertura | signo_objetivo=negativo | clvmov=003126283 | valor_bd=$-134.681.000 | cobertura=712.64% fuera de 80%-120% | diferencia_se_mantiene=$18.899.000 | Faltante restante=$18.899.000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faltante_residual_d0_menos_remanente_calc=$18.899.000 | umbral_grabar_faltantes=$20.000 | Escritura_Gestion_MF: ACLARAR DIFERENCIA Y REPETIR EL ARQUEO</t>
        </is>
      </c>
    </row>
    <row r="55">
      <c r="A55" t="n">
        <v>769</v>
      </c>
      <c r="B55" t="n">
        <v>5051</v>
      </c>
      <c r="D55" t="inlineStr">
        <is>
          <t>BELLTECH</t>
        </is>
      </c>
      <c r="E55" s="3" t="n">
        <v>46119</v>
      </c>
      <c r="F55" s="3" t="n">
        <v>46118</v>
      </c>
      <c r="G55" t="inlineStr">
        <is>
          <t>14:29:00</t>
        </is>
      </c>
      <c r="H55" t="n">
        <v>215380950</v>
      </c>
      <c r="I55" t="n">
        <v>139807600</v>
      </c>
      <c r="J55" t="n">
        <v>3480000</v>
      </c>
      <c r="K55" t="n">
        <v>70933950</v>
      </c>
      <c r="M55">
        <f>I55-(H55+J55-K55)- L55</f>
        <v/>
      </c>
      <c r="N55">
        <f>IF(M55=0,"Cuadrado",IF(M55&gt;0,"Faltante","Sobrante"))</f>
        <v/>
      </c>
      <c r="O55" t="inlineStr">
        <is>
          <t>La diferencia es contabilizada por la Gerencia De Autoservicios y Efectivo de manera centralizada a la cuenta de sobrantes 279510020 el 07/04/2026</t>
        </is>
      </c>
      <c r="P55" t="n">
        <v>1140902142</v>
      </c>
      <c r="Q55" t="inlineStr">
        <is>
          <t>Inicio_cajero=5051 | fecha_arqueo=06/04/2026 | d0(Saldo-(Efectivo+Dispensado-Recibido))=$-8.119.400 | Tras_770500 movs=0 | remanente_770500(aplicado_con_signo_inv_BD)=$0 | diferencia_d0_menos_remanente=$-8.119.400 | 810291 no_aplica_por_signo | diferencia=$-8.119.400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56">
      <c r="A56" t="n">
        <v>333</v>
      </c>
      <c r="B56" t="n">
        <v>5076</v>
      </c>
      <c r="D56" t="inlineStr">
        <is>
          <t>BELLTECH</t>
        </is>
      </c>
      <c r="E56" s="3" t="n">
        <v>46119</v>
      </c>
      <c r="F56" s="3" t="n">
        <v>46113</v>
      </c>
      <c r="G56" t="inlineStr">
        <is>
          <t>11:58:00</t>
        </is>
      </c>
      <c r="H56" t="n">
        <v>46370900</v>
      </c>
      <c r="I56" t="n">
        <v>337517300</v>
      </c>
      <c r="J56" t="n">
        <v>2630000</v>
      </c>
      <c r="K56" t="n">
        <v>250000</v>
      </c>
      <c r="M56">
        <f>I56-(H56+J56-K56)- L56</f>
        <v/>
      </c>
      <c r="N56">
        <f>IF(M56=0,"Cuadrado",IF(M56&gt;0,"Faltante","Sobrante"))</f>
        <v/>
      </c>
      <c r="O56" t="inlineStr">
        <is>
          <t>ACLARAR DIFERENCIA Y REPETIR EL ARQUEO</t>
        </is>
      </c>
      <c r="P56" t="n">
        <v>1036606819</v>
      </c>
      <c r="Q56" t="inlineStr">
        <is>
          <t>Inicio_cajero=5076 | fecha_arqueo=01/04/2026 | d0(Saldo-(Efectivo+Dispensado-Recibido))=$288.766.400 | Tras_770500 movs=0 | remanente_770500(aplicado_con_signo_inv_BD)=$0 | diferencia_d0_menos_remanente=$288.766.400 | 810291 aplica_por_signo=negativo | clvmov=003061547 | valor_bd=$-236.726.000 | aporte_inv_signo=$236.726.000 | cobertura=81.98% (rango 80%-120%) | diferencia_actual=$52.040.400 | 810291 no_aplica_por_cobertura | signo_objetivo=negativo | clvmov=003061549 | valor_bd=$-70.034.000 | cobertura=134.58% fuera de 80%-120% | diferencia_se_mantiene=$52.040.400 | Faltante $52.040.400 &gt; umbral_sobrantes($25.000.000) | no entra cruce por cuenta sobrantes en este bloque | RESULTADO gestión manual | faltante sin cerrar con 810291/sobrantes según reglas | ARQUEOS_MF_post | faltante_residual_d0_menos_remanente_calc=$52.040.400 | umbral_grabar_faltantes=$20.000 | Escritura_Gestion_MF: ACLARAR DIFERENCIA Y REPETIR EL ARQUEO</t>
        </is>
      </c>
    </row>
    <row r="57">
      <c r="A57" t="n">
        <v>19</v>
      </c>
      <c r="B57" t="n">
        <v>5078</v>
      </c>
      <c r="D57" t="inlineStr">
        <is>
          <t>BELLTECH</t>
        </is>
      </c>
      <c r="E57" s="3" t="n">
        <v>46119</v>
      </c>
      <c r="F57" s="3" t="n">
        <v>46118</v>
      </c>
      <c r="G57" t="inlineStr">
        <is>
          <t>15:36:00</t>
        </is>
      </c>
      <c r="H57" t="n">
        <v>78496500</v>
      </c>
      <c r="I57" t="n">
        <v>245758050</v>
      </c>
      <c r="J57" t="n">
        <v>19710000</v>
      </c>
      <c r="K57" t="n">
        <v>68918500</v>
      </c>
      <c r="M57">
        <f>I57-(H57+J57-K57)- L57</f>
        <v/>
      </c>
      <c r="N57">
        <f>IF(M57=0,"Cuadrado",IF(M57&gt;0,"Faltante","Sobrante"))</f>
        <v/>
      </c>
      <c r="O57" t="inlineStr">
        <is>
          <t>La diferencia es contabilizada por la Gerencia De Autoservicios y Efectivo de manera centralizada a la cuenta de sobrantes 279510020 el 07/04/2026</t>
        </is>
      </c>
      <c r="P57" t="n">
        <v>43588535</v>
      </c>
      <c r="Q57" t="inlineStr">
        <is>
          <t>Inicio_cajero=5078 | fecha_arqueo=06/04/2026 | d0(Saldo-(Efectivo+Dispensado-Recibido))=$216.470.050 | Tras_770500 movs=0 | remanente_770500(aplicado_con_signo_inv_BD)=$0 | diferencia_d0_menos_remanente=$216.470.050 | 810291 aplica_por_signo=negativo | clvmov=003005158 | valor_bd=$-245.000.000 | aporte_inv_signo=$245.000.000 | cobertura=113.18% (rango 80%-120%) | diferencia_actual=$-28.529.950 | 810291 sin_mas_candidatos_signo=positivo | diferencia_actual=$-28.529.950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58">
      <c r="A58" t="n">
        <v>115</v>
      </c>
      <c r="B58" t="n">
        <v>5080</v>
      </c>
      <c r="D58" t="inlineStr">
        <is>
          <t>BELLTECH</t>
        </is>
      </c>
      <c r="E58" s="3" t="n">
        <v>46119</v>
      </c>
      <c r="F58" s="3" t="n">
        <v>46118</v>
      </c>
      <c r="G58" t="inlineStr">
        <is>
          <t>08:48:00</t>
        </is>
      </c>
      <c r="H58" t="n">
        <v>495906950</v>
      </c>
      <c r="I58" t="n">
        <v>498012950</v>
      </c>
      <c r="J58" t="n">
        <v>2140000</v>
      </c>
      <c r="K58" t="n">
        <v>0</v>
      </c>
      <c r="M58">
        <f>I58-(H58+J58-K58)- L58</f>
        <v/>
      </c>
      <c r="N58">
        <f>IF(M58=0,"Cuadrado",IF(M58&gt;0,"Faltante","Sobrante"))</f>
        <v/>
      </c>
      <c r="O58" t="inlineStr">
        <is>
          <t>La diferencia es contabilizada por la Gerencia De Autoservicios y Efectivo de manera centralizada a la cuenta de sobrantes 279510020 el 07/04/2026</t>
        </is>
      </c>
      <c r="P58" t="n">
        <v>42158306</v>
      </c>
      <c r="Q58" t="inlineStr">
        <is>
          <t>Inicio_cajero=5080 | fecha_arqueo=06/04/2026 | d0(Saldo-(Efectivo+Dispensado-Recibido))=$-34.000 | Tras_770500 movs=0 | remanente_770500(aplicado_con_signo_inv_BD)=$0 | diferencia_d0_menos_remanente=$-34.000 | 810291 no_aplica_por_cobertura | signo_objetivo=positivo | clvmov=003040404 | valor_bd=$6.000.000 | cobertura=17647.06% fuera de 80%-120% | diferencia_se_mantiene=$-34.000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59">
      <c r="A59" t="n">
        <v>197</v>
      </c>
      <c r="B59" t="n">
        <v>5084</v>
      </c>
      <c r="D59" t="inlineStr">
        <is>
          <t>BELLTECH</t>
        </is>
      </c>
      <c r="E59" s="3" t="n">
        <v>46119</v>
      </c>
      <c r="F59" s="3" t="n">
        <v>46118</v>
      </c>
      <c r="G59" t="inlineStr">
        <is>
          <t>16:02:00</t>
        </is>
      </c>
      <c r="H59" t="n">
        <v>244202300</v>
      </c>
      <c r="I59" t="n">
        <v>501456400</v>
      </c>
      <c r="J59" t="n">
        <v>12210000</v>
      </c>
      <c r="K59" t="n">
        <v>240281900</v>
      </c>
      <c r="M59">
        <f>I59-(H59+J59-K59)- L59</f>
        <v/>
      </c>
      <c r="N59">
        <f>IF(M59=0,"Cuadrado",IF(M59&gt;0,"Faltante","Sobrante"))</f>
        <v/>
      </c>
      <c r="O59" t="inlineStr">
        <is>
          <t>La diferencia es contabilizada por la Gerencia De Autoservicios y Efectivo de manera centralizada a la cuenta de sobrantes 279510020 el 07/04/2026</t>
        </is>
      </c>
      <c r="P59" t="n">
        <v>1065652660</v>
      </c>
      <c r="Q59" t="inlineStr">
        <is>
          <t>Inicio_cajero=5084 | fecha_arqueo=06/04/2026 | d0(Saldo-(Efectivo+Dispensado-Recibido))=$485.326.000 | Tras_770500 movs=0 | remanente_770500(aplicado_con_signo_inv_BD)=$0 | diferencia_d0_menos_remanente=$485.326.000 | 810291 aplica_por_signo=negativo | clvmov=003046741 | valor_bd=$-487.343.000 | aporte_inv_signo=$487.343.000 | cobertura=100.42% (rango 80%-120%) | diferencia_actual=$-2.017.000 | 810291 sin_mas_candidatos_signo=positivo | diferencia_actual=$-2.017.000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60">
      <c r="A60" t="n">
        <v>634</v>
      </c>
      <c r="B60" t="n">
        <v>5087</v>
      </c>
      <c r="D60" t="inlineStr">
        <is>
          <t>BELLTECH</t>
        </is>
      </c>
      <c r="E60" s="3" t="n">
        <v>46119</v>
      </c>
      <c r="F60" s="3" t="n">
        <v>46118</v>
      </c>
      <c r="G60" t="inlineStr">
        <is>
          <t>13:18:00</t>
        </is>
      </c>
      <c r="H60" t="n">
        <v>229704900</v>
      </c>
      <c r="I60" t="n">
        <v>276027200</v>
      </c>
      <c r="J60" t="n">
        <v>43510000</v>
      </c>
      <c r="K60" t="n">
        <v>0</v>
      </c>
      <c r="M60">
        <f>I60-(H60+J60-K60)- L60</f>
        <v/>
      </c>
      <c r="N60">
        <f>IF(M60=0,"Cuadrado",IF(M60&gt;0,"Faltante","Sobrante"))</f>
        <v/>
      </c>
      <c r="O60" t="inlineStr">
        <is>
          <t>El faltante $1.828.800 es cruzado con sobrante contabilizado el día 01/04/2026 ($1.828.800) el cual es reversado por la seccion el día 07/04/2026</t>
        </is>
      </c>
      <c r="P60" t="n">
        <v>1032424944</v>
      </c>
      <c r="Q60" t="inlineStr">
        <is>
          <t>Inicio_cajero=5087 | fecha_arqueo=06/04/2026 | d0(Saldo-(Efectivo+Dispensado-Recibido))=$2.812.300 | Tras_770500 movs=1 | remanente_770500(aplicado_con_signo_inv_BD)=$983.500 | diferencia_d0_menos_remanente=$1.828.800 | 810291 no_aplica_por_cobertura | signo_objetivo=negativo | clvmov=003099976 | valor_bd=$-160.688.000 | cobertura=8786.53% fuera de 80%-120% | diferencia_se_mantiene=$1.828.800 | Faltante restante=$1.828.800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      </is>
      </c>
    </row>
    <row r="61">
      <c r="A61" t="n">
        <v>656</v>
      </c>
      <c r="B61" t="n">
        <v>5103</v>
      </c>
      <c r="D61" t="inlineStr">
        <is>
          <t>BELLTECH</t>
        </is>
      </c>
      <c r="E61" s="3" t="n">
        <v>46119</v>
      </c>
      <c r="F61" s="3" t="n">
        <v>46118</v>
      </c>
      <c r="G61" t="inlineStr">
        <is>
          <t>08:31:00</t>
        </is>
      </c>
      <c r="H61" t="n">
        <v>213568550</v>
      </c>
      <c r="I61" t="n">
        <v>354660450</v>
      </c>
      <c r="J61" t="n">
        <v>0</v>
      </c>
      <c r="K61" t="n">
        <v>800000</v>
      </c>
      <c r="M61">
        <f>I61-(H61+J61-K61)- L61</f>
        <v/>
      </c>
      <c r="N61">
        <f>IF(M61=0,"Cuadrado",IF(M61&gt;0,"Faltante","Sobrante"))</f>
        <v/>
      </c>
      <c r="O61" t="inlineStr">
        <is>
          <t>La diferencia es contabilizada por la Gerencia De Autoservicios y Efectivo de manera centralizada a la cuenta de sobrantes 279510020 el 07/04/2026</t>
        </is>
      </c>
      <c r="P61" t="n">
        <v>1065627875</v>
      </c>
      <c r="Q61" t="inlineStr">
        <is>
          <t>Inicio_cajero=5103 | fecha_arqueo=06/04/2026 | d0(Saldo-(Efectivo+Dispensado-Recibido))=$141.891.900 | Tras_770500 movs=0 | remanente_770500(aplicado_con_signo_inv_BD)=$0 | diferencia_d0_menos_remanente=$141.891.900 | 810291 aplica_por_signo=negativo | clvmov=003101773 | valor_bd=$-141.898.000 | aporte_inv_signo=$141.898.000 | cobertura=100.00% (rango 80%-120%) | diferencia_actual=$-6.100 | 810291 sin_mas_candidatos_signo=positivo | diferencia_actual=$-6.100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62">
      <c r="A62" t="n">
        <v>291</v>
      </c>
      <c r="B62" t="n">
        <v>5114</v>
      </c>
      <c r="D62" t="inlineStr">
        <is>
          <t>BELLTECH</t>
        </is>
      </c>
      <c r="E62" s="3" t="n">
        <v>46119</v>
      </c>
      <c r="F62" s="3" t="n">
        <v>46118</v>
      </c>
      <c r="G62" t="inlineStr">
        <is>
          <t>09:43:00</t>
        </is>
      </c>
      <c r="H62" t="n">
        <v>266509400</v>
      </c>
      <c r="I62" t="n">
        <v>266492000</v>
      </c>
      <c r="J62" t="n">
        <v>13240000</v>
      </c>
      <c r="K62" t="n">
        <v>13210000</v>
      </c>
      <c r="M62">
        <f>I62-(H62+J62-K62)- L62</f>
        <v/>
      </c>
      <c r="N62">
        <f>IF(M62=0,"Cuadrado",IF(M62&gt;0,"Faltante","Sobrante"))</f>
        <v/>
      </c>
      <c r="O62" t="inlineStr">
        <is>
          <t>La diferencia es contabilizada por la Gerencia De Autoservicios y Efectivo de manera centralizada a la cuenta de sobrantes 279510020 el 07/04/2026</t>
        </is>
      </c>
      <c r="P62" t="n">
        <v>1095930956</v>
      </c>
      <c r="Q62" t="inlineStr">
        <is>
          <t>Inicio_cajero=5114 | fecha_arqueo=06/04/2026 | d0(Saldo-(Efectivo+Dispensado-Recibido))=$-47.400 | Tras_770500 movs=0 | remanente_770500(aplicado_con_signo_inv_BD)=$0 | diferencia_d0_menos_remanente=$-47.400 | 810291 no_aplica_por_signo | diferencia=$-47.400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63">
      <c r="A63" t="n">
        <v>511</v>
      </c>
      <c r="B63" t="n">
        <v>5122</v>
      </c>
      <c r="D63" t="inlineStr">
        <is>
          <t>BELLTECH</t>
        </is>
      </c>
      <c r="E63" s="3" t="n">
        <v>46119</v>
      </c>
      <c r="F63" s="3" t="n">
        <v>46118</v>
      </c>
      <c r="G63" t="inlineStr">
        <is>
          <t>10:34:00</t>
        </is>
      </c>
      <c r="H63" t="n">
        <v>223219900</v>
      </c>
      <c r="I63" t="n">
        <v>230538900</v>
      </c>
      <c r="J63" t="n">
        <v>14140000</v>
      </c>
      <c r="K63" t="n">
        <v>9891000</v>
      </c>
      <c r="M63">
        <f>I63-(H63+J63-K63)- L63</f>
        <v/>
      </c>
      <c r="N63">
        <f>IF(M63=0,"Cuadrado",IF(M63&gt;0,"Faltante","Sobrante"))</f>
        <v/>
      </c>
      <c r="O63" t="inlineStr">
        <is>
          <t>Cajero cuadrado, sin observación por parte de la sucursal</t>
        </is>
      </c>
      <c r="P63" t="n">
        <v>1037597003</v>
      </c>
      <c r="Q63" t="inlineStr">
        <is>
          <t>Inicio_cajero=5122 | fecha_arqueo=06/04/2026 | d0(Saldo-(Efectivo+Dispensado-Recibido))=$3.070.000 | Tras_770500 movs=1 | remanente_770500(aplicado_con_signo_inv_BD)=$3.070.000 | diferencia_d0_menos_remanente=$0 | RESULTADO cuadrado | |diferencia|&lt;=tolerancia($1) | remanente=$3.070.000 | ARQUEOS_MF_post | faltante_residual_d0_menos_remanente_calc=$0 | umbral_grabar_faltantes=$20.000 | Escritura_Gestion_MF: texto cajero cuadrado</t>
        </is>
      </c>
    </row>
    <row r="64">
      <c r="A64" t="n">
        <v>76</v>
      </c>
      <c r="B64" t="n">
        <v>5126</v>
      </c>
      <c r="D64" t="inlineStr">
        <is>
          <t>BELLTECH</t>
        </is>
      </c>
      <c r="E64" s="3" t="n">
        <v>46119</v>
      </c>
      <c r="F64" s="3" t="n">
        <v>46118</v>
      </c>
      <c r="G64" t="inlineStr">
        <is>
          <t>15:57:00</t>
        </is>
      </c>
      <c r="H64" t="n">
        <v>121289350</v>
      </c>
      <c r="I64" t="n">
        <v>148838400</v>
      </c>
      <c r="J64" t="n">
        <v>44090000</v>
      </c>
      <c r="K64" t="n">
        <v>55778950</v>
      </c>
      <c r="M64">
        <f>I64-(H64+J64-K64)- L64</f>
        <v/>
      </c>
      <c r="N64">
        <f>IF(M64=0,"Cuadrado",IF(M64&gt;0,"Faltante","Sobrante"))</f>
        <v/>
      </c>
      <c r="O64" t="inlineStr">
        <is>
          <t>ACLARAR DIFERENCIA Y REPETIR EL ARQUEO</t>
        </is>
      </c>
      <c r="P64" t="n">
        <v>7688705</v>
      </c>
      <c r="Q64" t="inlineStr">
        <is>
          <t>Inicio_cajero=5126 | fecha_arqueo=06/04/2026 | d0(Saldo-(Efectivo+Dispensado-Recibido))=$39.238.000 | Tras_770500 movs=0 | remanente_770500(aplicado_con_signo_inv_BD)=$0 | diferencia_d0_menos_remanente=$39.238.000 | 810291 aplica_por_signo=negativo | clvmov=003025397 | valor_bd=$-39.213.000 | aporte_inv_signo=$39.213.000 | cobertura=99.94% (rango 80%-120%) | diferencia_actual=$25.000 | 810291 sin_mas_candidatos_signo=negativo | diferencia_actual=$25.000 | Faltante restante=$25.000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faltante_residual_d0_menos_remanente_calc=$25.000 | umbral_grabar_faltantes=$20.000 | Escritura_Gestion_MF: ACLARAR DIFERENCIA Y REPETIR EL ARQUEO</t>
        </is>
      </c>
    </row>
    <row r="65">
      <c r="A65" t="n">
        <v>101</v>
      </c>
      <c r="B65" t="n">
        <v>5128</v>
      </c>
      <c r="D65" t="inlineStr">
        <is>
          <t>BELLTECH</t>
        </is>
      </c>
      <c r="E65" s="3" t="n">
        <v>46119</v>
      </c>
      <c r="F65" s="3" t="n">
        <v>46118</v>
      </c>
      <c r="G65" t="inlineStr">
        <is>
          <t>09:18:00</t>
        </is>
      </c>
      <c r="H65" t="n">
        <v>167331800</v>
      </c>
      <c r="I65" t="n">
        <v>165371800</v>
      </c>
      <c r="J65" t="n">
        <v>0</v>
      </c>
      <c r="K65" t="n">
        <v>0</v>
      </c>
      <c r="M65">
        <f>I65-(H65+J65-K65)- L65</f>
        <v/>
      </c>
      <c r="N65">
        <f>IF(M65=0,"Cuadrado",IF(M65&gt;0,"Faltante","Sobrante"))</f>
        <v/>
      </c>
      <c r="O65" t="inlineStr">
        <is>
          <t>La diferencia es contabilizada por la Gerencia De Autoservicios y Efectivo de manera centralizada a la cuenta de sobrantes 279510020 el 07/04/2026</t>
        </is>
      </c>
      <c r="P65" t="n">
        <v>1033724729</v>
      </c>
      <c r="Q65" t="inlineStr">
        <is>
          <t>Inicio_cajero=5128 | fecha_arqueo=06/04/2026 | d0(Saldo-(Efectivo+Dispensado-Recibido))=$-1.960.000 | Tras_770500 movs=0 | remanente_770500(aplicado_con_signo_inv_BD)=$0 | diferencia_d0_menos_remanente=$-1.960.000 | 810291 no_aplica_por_signo | diferencia=$-1.960.000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66">
      <c r="A66" t="n">
        <v>244</v>
      </c>
      <c r="B66" t="n">
        <v>5129</v>
      </c>
      <c r="D66" t="inlineStr">
        <is>
          <t>BELLTECH</t>
        </is>
      </c>
      <c r="E66" s="3" t="n">
        <v>46119</v>
      </c>
      <c r="F66" s="3" t="n">
        <v>46113</v>
      </c>
      <c r="G66" t="inlineStr">
        <is>
          <t>12:38:00</t>
        </is>
      </c>
      <c r="H66" t="n">
        <v>345948700</v>
      </c>
      <c r="I66" t="n">
        <v>345362100</v>
      </c>
      <c r="J66" t="n">
        <v>63550000</v>
      </c>
      <c r="K66" t="n">
        <v>63127050</v>
      </c>
      <c r="M66">
        <f>I66-(H66+J66-K66)- L66</f>
        <v/>
      </c>
      <c r="N66">
        <f>IF(M66=0,"Cuadrado",IF(M66&gt;0,"Faltante","Sobrante"))</f>
        <v/>
      </c>
      <c r="O66" t="inlineStr">
        <is>
          <t>La diferencia es contabilizada por la Gerencia De Autoservicios y Efectivo de manera centralizada a la cuenta de sobrantes 279510020 el 07/04/2026</t>
        </is>
      </c>
      <c r="P66" t="n">
        <v>52525769</v>
      </c>
      <c r="Q66" t="inlineStr">
        <is>
          <t>Inicio_cajero=5129 | fecha_arqueo=01/04/2026 | d0(Saldo-(Efectivo+Dispensado-Recibido))=$-1.009.550 | Tras_770500 movs=0 | remanente_770500(aplicado_con_signo_inv_BD)=$0 | diferencia_d0_menos_remanente=$-1.009.550 | 810291 no_aplica_por_signo | diferencia=$-1.009.550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67">
      <c r="A67" t="n">
        <v>812</v>
      </c>
      <c r="B67" t="n">
        <v>5144</v>
      </c>
      <c r="D67" t="inlineStr">
        <is>
          <t>BELLTECH</t>
        </is>
      </c>
      <c r="E67" s="3" t="n">
        <v>46119</v>
      </c>
      <c r="F67" s="3" t="n">
        <v>46113</v>
      </c>
      <c r="G67" t="inlineStr">
        <is>
          <t>17:25:00</t>
        </is>
      </c>
      <c r="H67" t="n">
        <v>323590300</v>
      </c>
      <c r="I67" t="n">
        <v>313854400</v>
      </c>
      <c r="J67" t="n">
        <v>106150000</v>
      </c>
      <c r="K67" t="n">
        <v>110796900</v>
      </c>
      <c r="M67">
        <f>I67-(H67+J67-K67)- L67</f>
        <v/>
      </c>
      <c r="N67">
        <f>IF(M67=0,"Cuadrado",IF(M67&gt;0,"Faltante","Sobrante"))</f>
        <v/>
      </c>
      <c r="O67" t="inlineStr">
        <is>
          <t>La diferencia es contabilizada por la Gerencia De Autoservicios y Efectivo de manera centralizada a la cuenta de sobrantes 279510020 el 07/04/2026</t>
        </is>
      </c>
      <c r="P67" t="n">
        <v>31711383</v>
      </c>
      <c r="Q67" t="inlineStr">
        <is>
          <t>Inicio_cajero=5144 | fecha_arqueo=01/04/2026 | d0(Saldo-(Efectivo+Dispensado-Recibido))=$-5.089.000 | Tras_770500 movs=0 | remanente_770500(aplicado_con_signo_inv_BD)=$0 | diferencia_d0_menos_remanente=$-5.089.000 | 810291 no_aplica_por_cobertura | signo_objetivo=positivo | clvmov=003112246 | valor_bd=$20.000.000 | cobertura=393.00% fuera de 80%-120% | diferencia_se_mantiene=$-5.089.000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68">
      <c r="A68" t="n">
        <v>358</v>
      </c>
      <c r="B68" t="n">
        <v>5149</v>
      </c>
      <c r="D68" t="inlineStr">
        <is>
          <t>BELLTECH</t>
        </is>
      </c>
      <c r="E68" s="3" t="n">
        <v>46119</v>
      </c>
      <c r="F68" s="3" t="n">
        <v>46118</v>
      </c>
      <c r="G68" t="inlineStr">
        <is>
          <t>10:39:00</t>
        </is>
      </c>
      <c r="H68" t="n">
        <v>82801300</v>
      </c>
      <c r="I68" t="n">
        <v>66935750</v>
      </c>
      <c r="J68" t="n">
        <v>16900000</v>
      </c>
      <c r="K68" t="n">
        <v>12765150</v>
      </c>
      <c r="M68">
        <f>I68-(H68+J68-K68)- L68</f>
        <v/>
      </c>
      <c r="N68">
        <f>IF(M68=0,"Cuadrado",IF(M68&gt;0,"Faltante","Sobrante"))</f>
        <v/>
      </c>
      <c r="O68" t="inlineStr">
        <is>
          <t>La diferencia es contabilizada por la Gerencia De Autoservicios y Efectivo de manera centralizada a la cuenta de sobrantes 279510020 el 07/04/2026</t>
        </is>
      </c>
      <c r="P68" t="n">
        <v>46456877</v>
      </c>
      <c r="Q68" t="inlineStr">
        <is>
          <t>Inicio_cajero=5149 | fecha_arqueo=06/04/2026 | d0(Saldo-(Efectivo+Dispensado-Recibido))=$-20.000.400 | Tras_770500 movs=0 | remanente_770500(aplicado_con_signo_inv_BD)=$0 | diferencia_d0_menos_remanente=$-20.000.400 | 810291 aplica_por_signo=positivo | clvmov=003069052 | valor_bd=$20.000.000 | aporte_inv_signo=$-20.000.000 | cobertura=100.00% (rango 80%-120%) | diferencia_actual=$-400 | 810291 sin_mas_candidatos_signo=positivo | diferencia_actual=$-400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69">
      <c r="A69" t="n">
        <v>806</v>
      </c>
      <c r="B69" t="n">
        <v>5156</v>
      </c>
      <c r="D69" t="inlineStr">
        <is>
          <t>BELLTECH</t>
        </is>
      </c>
      <c r="E69" s="3" t="n">
        <v>46119</v>
      </c>
      <c r="F69" s="3" t="n">
        <v>46113</v>
      </c>
      <c r="G69" t="inlineStr">
        <is>
          <t>12:36:00</t>
        </is>
      </c>
      <c r="H69" t="n">
        <v>226834850</v>
      </c>
      <c r="I69" t="n">
        <v>215468500</v>
      </c>
      <c r="J69" t="n">
        <v>21630000</v>
      </c>
      <c r="K69" t="n">
        <v>28249700</v>
      </c>
      <c r="M69">
        <f>I69-(H69+J69-K69)- L69</f>
        <v/>
      </c>
      <c r="N69">
        <f>IF(M69=0,"Cuadrado",IF(M69&gt;0,"Faltante","Sobrante"))</f>
        <v/>
      </c>
      <c r="O69" t="inlineStr">
        <is>
          <t>La diferencia es contabilizada por la Gerencia De Autoservicios y Efectivo de manera centralizada a la cuenta de sobrantes 279510020 el 07/04/2026</t>
        </is>
      </c>
      <c r="P69" t="n">
        <v>7335993</v>
      </c>
      <c r="Q69" t="inlineStr">
        <is>
          <t>Inicio_cajero=5156 | fecha_arqueo=01/04/2026 | d0(Saldo-(Efectivo+Dispensado-Recibido))=$-4.746.650 | Tras_770500 movs=0 | remanente_770500(aplicado_con_signo_inv_BD)=$0 | diferencia_d0_menos_remanente=$-4.746.650 | 810291 no_aplica_por_cobertura | signo_objetivo=positivo | clvmov=003111395 | valor_bd=$70.000 | cobertura=1.47% fuera de 80%-120% | diferencia_se_mantiene=$-4.746.650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70">
      <c r="A70" t="n">
        <v>70</v>
      </c>
      <c r="B70" t="n">
        <v>5164</v>
      </c>
      <c r="D70" t="inlineStr">
        <is>
          <t>BELLTECH</t>
        </is>
      </c>
      <c r="E70" s="3" t="n">
        <v>46119</v>
      </c>
      <c r="F70" s="3" t="n">
        <v>46118</v>
      </c>
      <c r="G70" t="inlineStr">
        <is>
          <t>08:58:00</t>
        </is>
      </c>
      <c r="H70" t="n">
        <v>81139200</v>
      </c>
      <c r="I70" t="n">
        <v>79529200</v>
      </c>
      <c r="J70" t="n">
        <v>0</v>
      </c>
      <c r="K70" t="n">
        <v>0</v>
      </c>
      <c r="M70">
        <f>I70-(H70+J70-K70)- L70</f>
        <v/>
      </c>
      <c r="N70">
        <f>IF(M70=0,"Cuadrado",IF(M70&gt;0,"Faltante","Sobrante"))</f>
        <v/>
      </c>
      <c r="O70" t="inlineStr">
        <is>
          <t>La diferencia es contabilizada por la Gerencia De Autoservicios y Efectivo de manera centralizada a la cuenta de sobrantes 279510020 el 07/04/2026</t>
        </is>
      </c>
      <c r="P70" t="n">
        <v>30231139</v>
      </c>
      <c r="Q70" t="inlineStr">
        <is>
          <t>Inicio_cajero=5164 | fecha_arqueo=06/04/2026 | d0(Saldo-(Efectivo+Dispensado-Recibido))=$-1.610.000 | Tras_770500 movs=0 | remanente_770500(aplicado_con_signo_inv_BD)=$0 | diferencia_d0_menos_remanente=$-1.610.000 | 810291 no_aplica_por_cobertura | signo_objetivo=positivo | clvmov=003022893 | valor_bd=$70.000.000 | cobertura=4347.83% fuera de 80%-120% | diferencia_se_mantiene=$-1.610.000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71">
      <c r="A71" t="n">
        <v>388</v>
      </c>
      <c r="B71" t="n">
        <v>5169</v>
      </c>
      <c r="D71" t="inlineStr">
        <is>
          <t>BELLTECH</t>
        </is>
      </c>
      <c r="E71" s="3" t="n">
        <v>46119</v>
      </c>
      <c r="F71" s="3" t="n">
        <v>46118</v>
      </c>
      <c r="G71" t="inlineStr">
        <is>
          <t>08:44:00</t>
        </is>
      </c>
      <c r="H71" t="n">
        <v>333475700</v>
      </c>
      <c r="I71" t="n">
        <v>338355700</v>
      </c>
      <c r="J71" t="n">
        <v>0</v>
      </c>
      <c r="K71" t="n">
        <v>0</v>
      </c>
      <c r="M71">
        <f>I71-(H71+J71-K71)- L71</f>
        <v/>
      </c>
      <c r="N71">
        <f>IF(M71=0,"Cuadrado",IF(M71&gt;0,"Faltante","Sobrante"))</f>
        <v/>
      </c>
      <c r="O71" t="inlineStr">
        <is>
          <t>El faltante $4.880.000 es cruzado con sobrante contabilizado el día 27/03/2026 ($2.543.000), el día 01/04/2026 ($2.337.000) el cual es reversado por la seccion el día 07/04/2026</t>
        </is>
      </c>
      <c r="P71" t="n">
        <v>1023890720</v>
      </c>
      <c r="Q71" t="inlineStr">
        <is>
          <t>Inicio_cajero=5169 | fecha_arqueo=06/04/2026 | d0(Saldo-(Efectivo+Dispensado-Recibido))=$4.880.000 | Tras_770500 movs=0 | remanente_770500(aplicado_con_signo_inv_BD)=$0 | diferencia_d0_menos_remanente=$4.880.000 | 810291 no_aplica_por_cobertura | signo_objetivo=negativo | clvmov=003073205 | valor_bd=$-303.585.000 | cobertura=6221.00% fuera de 80%-120% | diferencia_se_mantiene=$4.880.000 | Faltante restante=$4.880.000 &lt;= umbral_sobrantes($25.000.000) | buscar cruce en cuenta 279510020 (NUMDOC suma neta negativa = sobrante activo) | RESULTADO justificado_sobrantes | etapa1 NUMDOC posteriores al penúltimo arqueo | cant_chunks=2 | ARQUEOS_MF_post | faltante_residual_d0_menos_remanente_calc=$0 | umbral_grabar_faltantes=$20.000 | Escritura_Gestion_MF: cruce faltante con sobrante(s) 279510020 (texto reverso sección)</t>
        </is>
      </c>
    </row>
    <row r="72">
      <c r="A72" t="n">
        <v>756</v>
      </c>
      <c r="B72" t="n">
        <v>5183</v>
      </c>
      <c r="D72" t="inlineStr">
        <is>
          <t>BELLTECH</t>
        </is>
      </c>
      <c r="E72" s="3" t="n">
        <v>46119</v>
      </c>
      <c r="F72" s="3" t="n">
        <v>46118</v>
      </c>
      <c r="G72" t="inlineStr">
        <is>
          <t>10:07:00</t>
        </is>
      </c>
      <c r="H72" t="n">
        <v>209881900</v>
      </c>
      <c r="I72" t="n">
        <v>224670800</v>
      </c>
      <c r="J72" t="n">
        <v>8170000</v>
      </c>
      <c r="K72" t="n">
        <v>0</v>
      </c>
      <c r="M72">
        <f>I72-(H72+J72-K72)- L72</f>
        <v/>
      </c>
      <c r="N72">
        <f>IF(M72=0,"Cuadrado",IF(M72&gt;0,"Faltante","Sobrante"))</f>
        <v/>
      </c>
      <c r="O72" t="inlineStr">
        <is>
          <t>ACLARAR DIFERENCIA Y REPETIR EL ARQUEO</t>
        </is>
      </c>
      <c r="P72" t="n">
        <v>41963135</v>
      </c>
      <c r="Q72" t="inlineStr">
        <is>
          <t>Inicio_cajero=5183 | fecha_arqueo=06/04/2026 | d0(Saldo-(Efectivo+Dispensado-Recibido))=$6.618.900 | Tras_770500 movs=0 | remanente_770500(aplicado_con_signo_inv_BD)=$0 | diferencia_d0_menos_remanente=$6.618.900 | 810291 no_aplica_por_cobertura | signo_objetivo=negativo | clvmov=003113800 | valor_bd=$-183.883.000 | cobertura=2778.15% fuera de 80%-120% | diferencia_se_mantiene=$6.618.900 | Faltante restante=$6.618.900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faltante_residual_d0_menos_remanente_calc=$6.618.900 | umbral_grabar_faltantes=$20.000 | Escritura_Gestion_MF: ACLARAR DIFERENCIA Y REPETIR EL ARQUEO</t>
        </is>
      </c>
    </row>
    <row r="73">
      <c r="A73" t="n">
        <v>432</v>
      </c>
      <c r="B73" t="n">
        <v>5195</v>
      </c>
      <c r="D73" t="inlineStr">
        <is>
          <t>BELLTECH</t>
        </is>
      </c>
      <c r="E73" s="3" t="n">
        <v>46119</v>
      </c>
      <c r="F73" s="3" t="n">
        <v>46113</v>
      </c>
      <c r="G73" t="inlineStr">
        <is>
          <t>14:08:00</t>
        </is>
      </c>
      <c r="H73" t="n">
        <v>187341850</v>
      </c>
      <c r="I73" t="n">
        <v>205180850</v>
      </c>
      <c r="J73" t="n">
        <v>47170000</v>
      </c>
      <c r="K73" t="n">
        <v>30495000</v>
      </c>
      <c r="M73">
        <f>I73-(H73+J73-K73)- L73</f>
        <v/>
      </c>
      <c r="N73">
        <f>IF(M73=0,"Cuadrado",IF(M73&gt;0,"Faltante","Sobrante"))</f>
        <v/>
      </c>
      <c r="O73" t="inlineStr">
        <is>
          <t>El faltante $1.164.000 es cruzado con sobrante contabilizado el día 19/03/2026 ($1.164.000) el cual es reversado por la seccion el día 07/04/2026</t>
        </is>
      </c>
      <c r="P73" t="n">
        <v>71935844</v>
      </c>
      <c r="Q73" t="inlineStr">
        <is>
          <t>Inicio_cajero=5195 | fecha_arqueo=01/04/2026 | d0(Saldo-(Efectivo+Dispensado-Recibido))=$1.164.000 | Tras_770500 movs=0 | remanente_770500(aplicado_con_signo_inv_BD)=$0 | diferencia_d0_menos_remanente=$1.164.000 | 810291 no_aplica_por_cobertura | signo_objetivo=negativo | clvmov=003071481 | valor_bd=$-182.317.000 | cobertura=15662.97% fuera de 80%-120% | diferencia_se_mantiene=$1.164.000 | Faltante restante=$1.164.000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      </is>
      </c>
    </row>
    <row r="74">
      <c r="A74" t="n">
        <v>455</v>
      </c>
      <c r="B74" t="n">
        <v>5206</v>
      </c>
      <c r="D74" t="inlineStr">
        <is>
          <t>BELLTECH</t>
        </is>
      </c>
      <c r="E74" s="3" t="n">
        <v>46119</v>
      </c>
      <c r="F74" s="3" t="n">
        <v>46118</v>
      </c>
      <c r="G74" t="inlineStr">
        <is>
          <t>09:25:00</t>
        </is>
      </c>
      <c r="H74" t="n">
        <v>129136000</v>
      </c>
      <c r="I74" t="n">
        <v>116667650</v>
      </c>
      <c r="J74" t="n">
        <v>5240000</v>
      </c>
      <c r="K74" t="n">
        <v>17780000</v>
      </c>
      <c r="M74">
        <f>I74-(H74+J74-K74)- L74</f>
        <v/>
      </c>
      <c r="N74">
        <f>IF(M74=0,"Cuadrado",IF(M74&gt;0,"Faltante","Sobrante"))</f>
        <v/>
      </c>
      <c r="O74" t="inlineStr">
        <is>
          <t>El faltante $71.650 es cruzado con sobrante contabilizado el día 19/03/2026 ($71.650) el cual es reversado por la seccion el día 07/04/2026</t>
        </is>
      </c>
      <c r="P74" t="n">
        <v>1083896352</v>
      </c>
      <c r="Q74" t="inlineStr">
        <is>
          <t>Inicio_cajero=5206 | fecha_arqueo=06/04/2026 | d0(Saldo-(Efectivo+Dispensado-Recibido))=$71.650 | Tras_770500 movs=0 | remanente_770500(aplicado_con_signo_inv_BD)=$0 | diferencia_d0_menos_remanente=$71.650 | 810291 no_aplica_por_cobertura | signo_objetivo=negativo | clvmov=003080058 | valor_bd=$-124.296.000 | cobertura=173476.62% fuera de 80%-120% | diferencia_se_mantiene=$71.650 | Faltante restante=$71.650 &lt;= umbral_sobrantes($25.000.000) | buscar cruce en cuenta 279510020 (NUMDOC suma neta negativa = sobrante activo) | RESULTADO justificado_sobrantes | etapa2 posteriores + penúltimo día (cruce parcial) | ARQUEOS_MF_post | faltante_residual_d0_menos_remanente_calc=$0 | umbral_grabar_faltantes=$20.000 | Escritura_Gestion_MF: cruce faltante con sobrante(s) 279510020 (texto reverso sección)</t>
        </is>
      </c>
    </row>
    <row r="75">
      <c r="A75" t="n">
        <v>690</v>
      </c>
      <c r="B75" t="n">
        <v>6180</v>
      </c>
      <c r="D75" t="inlineStr">
        <is>
          <t>BELLTECH</t>
        </is>
      </c>
      <c r="E75" s="3" t="n">
        <v>46119</v>
      </c>
      <c r="F75" s="3" t="n">
        <v>46118</v>
      </c>
      <c r="G75" t="inlineStr">
        <is>
          <t>14:46:00</t>
        </is>
      </c>
      <c r="H75" t="n">
        <v>159731600</v>
      </c>
      <c r="I75" t="n">
        <v>282306900</v>
      </c>
      <c r="J75" t="n">
        <v>41590000</v>
      </c>
      <c r="K75" t="n">
        <v>49622000</v>
      </c>
      <c r="M75">
        <f>I75-(H75+J75-K75)- L75</f>
        <v/>
      </c>
      <c r="N75">
        <f>IF(M75=0,"Cuadrado",IF(M75&gt;0,"Faltante","Sobrante"))</f>
        <v/>
      </c>
      <c r="O75" t="inlineStr">
        <is>
          <t>ACLARAR DIFERENCIA Y REPETIR EL ARQUEO</t>
        </is>
      </c>
      <c r="P75" t="n">
        <v>1018459514</v>
      </c>
      <c r="Q75" t="inlineStr">
        <is>
          <t>Inicio_cajero=6180 | fecha_arqueo=06/04/2026 | d0(Saldo-(Efectivo+Dispensado-Recibido))=$130.607.300 | Tras_770500 movs=0 | remanente_770500(aplicado_con_signo_inv_BD)=$0 | diferencia_d0_menos_remanente=$130.607.300 | 810291 no_aplica_por_cobertura | signo_objetivo=negativo | clvmov=003106036 | valor_bd=$-60.568.000 | cobertura=46.37% fuera de 80%-120% | diferencia_se_mantiene=$130.607.300 | Faltante $130.607.300 &gt; umbral_sobrantes($25.000.000) | no entra cruce por cuenta sobrantes en este bloque | RESULTADO gestión manual | faltante sin cerrar con 810291/sobrantes según reglas | ARQUEOS_MF_post | faltante_residual_d0_menos_remanente_calc=$130.607.300 | umbral_grabar_faltantes=$20.000 | Escritura_Gestion_MF: ACLARAR DIFERENCIA Y REPETIR EL ARQUEO</t>
        </is>
      </c>
    </row>
    <row r="76">
      <c r="A76" t="n">
        <v>178</v>
      </c>
      <c r="B76" t="n">
        <v>6218</v>
      </c>
      <c r="D76" t="inlineStr">
        <is>
          <t>BELLTECH</t>
        </is>
      </c>
      <c r="E76" s="3" t="n">
        <v>46119</v>
      </c>
      <c r="F76" s="3" t="n">
        <v>46118</v>
      </c>
      <c r="G76" t="inlineStr">
        <is>
          <t>09:26:00</t>
        </is>
      </c>
      <c r="H76" t="n">
        <v>167415400</v>
      </c>
      <c r="I76" t="n">
        <v>153389300</v>
      </c>
      <c r="J76" t="n">
        <v>6480000</v>
      </c>
      <c r="K76" t="n">
        <v>22306100</v>
      </c>
      <c r="M76">
        <f>I76-(H76+J76-K76)- L76</f>
        <v/>
      </c>
      <c r="N76">
        <f>IF(M76=0,"Cuadrado",IF(M76&gt;0,"Faltante","Sobrante"))</f>
        <v/>
      </c>
      <c r="O76" t="inlineStr">
        <is>
          <t>Cajero cuadrado, sin observación por parte de la sucursal</t>
        </is>
      </c>
      <c r="P76" t="n">
        <v>79516051</v>
      </c>
      <c r="Q76" t="inlineStr">
        <is>
          <t>Inicio_cajero=6218 | fecha_arqueo=06/04/2026 | d0(Saldo-(Efectivo+Dispensado-Recibido))=$1.800.000 | Tras_770500 movs=1 | remanente_770500(aplicado_con_signo_inv_BD)=$1.800.000 | diferencia_d0_menos_remanente=$0 | RESULTADO cuadrado | |diferencia|&lt;=tolerancia($1) | remanente=$1.800.000 | ARQUEOS_MF_post | faltante_residual_d0_menos_remanente_calc=$0 | umbral_grabar_faltantes=$20.000 | Escritura_Gestion_MF: texto cajero cuadrado</t>
        </is>
      </c>
    </row>
    <row r="77">
      <c r="A77" t="n">
        <v>236</v>
      </c>
      <c r="B77" t="n">
        <v>6242</v>
      </c>
      <c r="D77" t="inlineStr">
        <is>
          <t>BELLTECH</t>
        </is>
      </c>
      <c r="E77" s="3" t="n">
        <v>46119</v>
      </c>
      <c r="F77" s="3" t="n">
        <v>46113</v>
      </c>
      <c r="G77" t="inlineStr">
        <is>
          <t>15:55:00</t>
        </is>
      </c>
      <c r="H77" t="n">
        <v>133900450</v>
      </c>
      <c r="I77" t="n">
        <v>259526300</v>
      </c>
      <c r="J77" t="n">
        <v>103130000</v>
      </c>
      <c r="K77" t="n">
        <v>154569150</v>
      </c>
      <c r="M77">
        <f>I77-(H77+J77-K77)- L77</f>
        <v/>
      </c>
      <c r="N77">
        <f>IF(M77=0,"Cuadrado",IF(M77&gt;0,"Faltante","Sobrante"))</f>
        <v/>
      </c>
      <c r="O77" t="inlineStr">
        <is>
          <t>El faltante $300.000 es cruzado con sobrante contabilizado el día 01/04/2026 ($300.000) el cual es reversado por la seccion el día 07/04/2026</t>
        </is>
      </c>
      <c r="P77" t="n">
        <v>71369714</v>
      </c>
      <c r="Q77" t="inlineStr">
        <is>
          <t>Inicio_cajero=6242 | fecha_arqueo=01/04/2026 | d0(Saldo-(Efectivo+Dispensado-Recibido))=$177.065.000 | Tras_770500 movs=1 | remanente_770500(aplicado_con_signo_inv_BD)=$-315.000 | diferencia_d0_menos_remanente=$177.380.000 | 810291 aplica_por_signo=negativo | clvmov=003048039 | valor_bd=$-177.080.000 | aporte_inv_signo=$177.080.000 | cobertura=99.83% (rango 80%-120%) | diferencia_actual=$300.000 | 810291 sin_mas_candidatos_signo=negativo | diferencia_actual=$300.000 | Faltante restante=$300.000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      </is>
      </c>
    </row>
    <row r="78">
      <c r="A78" t="n">
        <v>78</v>
      </c>
      <c r="B78" t="n">
        <v>6246</v>
      </c>
      <c r="D78" t="inlineStr">
        <is>
          <t>BELLTECH</t>
        </is>
      </c>
      <c r="E78" s="3" t="n">
        <v>46119</v>
      </c>
      <c r="F78" s="3" t="n">
        <v>46118</v>
      </c>
      <c r="G78" t="inlineStr">
        <is>
          <t>08:46:53</t>
        </is>
      </c>
      <c r="H78" t="n">
        <v>180965600</v>
      </c>
      <c r="I78" t="n">
        <v>168085600</v>
      </c>
      <c r="J78" t="n">
        <v>4760000</v>
      </c>
      <c r="K78" t="n">
        <v>4400000</v>
      </c>
      <c r="M78">
        <f>I78-(H78+J78-K78)- L78</f>
        <v/>
      </c>
      <c r="N78">
        <f>IF(M78=0,"Cuadrado",IF(M78&gt;0,"Faltante","Sobrante"))</f>
        <v/>
      </c>
      <c r="O78" t="inlineStr">
        <is>
          <t>La diferencia es contabilizada por la Gerencia De Autoservicios y Efectivo de manera centralizada a la cuenta de sobrantes 279510020 el 07/04/2026</t>
        </is>
      </c>
      <c r="P78" t="n">
        <v>91284848</v>
      </c>
      <c r="Q78" t="inlineStr">
        <is>
          <t>Inicio_cajero=6246 | fecha_arqueo=06/04/2026 | d0(Saldo-(Efectivo+Dispensado-Recibido))=$-13.240.000 | Tras_770500 movs=0 | remanente_770500(aplicado_con_signo_inv_BD)=$0 | diferencia_d0_menos_remanente=$-13.240.000 | 810291 no_aplica_por_cobertura | signo_objetivo=positivo | clvmov=003025943 | valor_bd=$3.000.000 | cobertura=22.66% fuera de 80%-120% | diferencia_se_mantiene=$-13.240.000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79">
      <c r="A79" t="n">
        <v>37</v>
      </c>
      <c r="B79" t="n">
        <v>6406</v>
      </c>
      <c r="D79" t="inlineStr">
        <is>
          <t>BELLTECH</t>
        </is>
      </c>
      <c r="E79" s="3" t="n">
        <v>46119</v>
      </c>
      <c r="F79" s="3" t="n">
        <v>46113</v>
      </c>
      <c r="G79" t="inlineStr">
        <is>
          <t>13:10:00</t>
        </is>
      </c>
      <c r="H79" t="n">
        <v>272852200</v>
      </c>
      <c r="I79" t="n">
        <v>126536200</v>
      </c>
      <c r="J79" t="n">
        <v>80780000</v>
      </c>
      <c r="K79" t="n">
        <v>10096000</v>
      </c>
      <c r="M79">
        <f>I79-(H79+J79-K79)- L79</f>
        <v/>
      </c>
      <c r="N79">
        <f>IF(M79=0,"Cuadrado",IF(M79&gt;0,"Faltante","Sobrante"))</f>
        <v/>
      </c>
      <c r="O79" t="inlineStr">
        <is>
          <t>Cajero cuadrado, sin observación por parte de la sucursal</t>
        </is>
      </c>
      <c r="P79" t="n">
        <v>1018444239</v>
      </c>
      <c r="Q79" t="inlineStr">
        <is>
          <t>Inicio_cajero=6406 | fecha_arqueo=01/04/2026 | d0(Saldo-(Efectivo+Dispensado-Recibido))=$-217.000.000 | Tras_770500 movs=0 | remanente_770500(aplicado_con_signo_inv_BD)=$0 | diferencia_d0_menos_remanente=$-217.000.000 | 810291 aplica_por_signo=positivo | clvmov=003010163 | valor_bd=$217.000.000 | aporte_inv_signo=$-217.000.000 | cobertura=100.00% (rango 80%-120%) | diferencia_actual=$0 | RESULTADO cuadrado | |diferencia|&lt;=tolerancia($1) | remanente=$-217.000.000 | ARQUEOS_MF_post | faltante_residual_d0_menos_remanente_calc=$0 | umbral_grabar_faltantes=$20.000 | Escritura_Gestion_MF: texto cajero cuadrado</t>
        </is>
      </c>
    </row>
    <row r="80">
      <c r="A80" t="n">
        <v>894</v>
      </c>
      <c r="B80" t="n">
        <v>6466</v>
      </c>
      <c r="D80" t="inlineStr">
        <is>
          <t>BELLTECH</t>
        </is>
      </c>
      <c r="E80" s="3" t="n">
        <v>46119</v>
      </c>
      <c r="F80" s="3" t="n">
        <v>46118</v>
      </c>
      <c r="G80" t="inlineStr">
        <is>
          <t>08:59:00</t>
        </is>
      </c>
      <c r="H80" t="n">
        <v>86946300</v>
      </c>
      <c r="I80" t="n">
        <v>86936450</v>
      </c>
      <c r="J80" t="n">
        <v>0</v>
      </c>
      <c r="K80" t="n">
        <v>0</v>
      </c>
      <c r="M80">
        <f>I80-(H80+J80-K80)- L80</f>
        <v/>
      </c>
      <c r="N80">
        <f>IF(M80=0,"Cuadrado",IF(M80&gt;0,"Faltante","Sobrante"))</f>
        <v/>
      </c>
      <c r="O80" t="inlineStr">
        <is>
          <t>La diferencia es contabilizada por la Gerencia De Autoservicios y Efectivo de manera centralizada a la cuenta de sobrantes 279510020 el 07/04/2026</t>
        </is>
      </c>
      <c r="P80" t="n">
        <v>1085292007</v>
      </c>
      <c r="Q80" t="inlineStr">
        <is>
          <t>Inicio_cajero=6466 | fecha_arqueo=06/04/2026 | d0(Saldo-(Efectivo+Dispensado-Recibido))=$-9.850 | Tras_770500 movs=0 | remanente_770500(aplicado_con_signo_inv_BD)=$0 | diferencia_d0_menos_remanente=$-9.850 | 810291 no_aplica_por_cobertura | signo_objetivo=positivo | clvmov=003130800 | valor_bd=$1.435.000 | cobertura=14568.53% fuera de 80%-120% | diferencia_se_mantiene=$-9.850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81">
      <c r="A81" t="n">
        <v>613</v>
      </c>
      <c r="B81" t="n">
        <v>6713</v>
      </c>
      <c r="D81" t="inlineStr">
        <is>
          <t>DIEBOLD</t>
        </is>
      </c>
      <c r="E81" s="3" t="n">
        <v>46119</v>
      </c>
      <c r="F81" s="3" t="n">
        <v>46113</v>
      </c>
      <c r="G81" t="inlineStr">
        <is>
          <t>14:00:00</t>
        </is>
      </c>
      <c r="H81" t="n">
        <v>197235700</v>
      </c>
      <c r="I81" t="n">
        <v>204493400</v>
      </c>
      <c r="J81" t="n">
        <v>27900000</v>
      </c>
      <c r="K81" t="n">
        <v>19290300</v>
      </c>
      <c r="M81">
        <f>I81-(H81+J81-K81)- L81</f>
        <v/>
      </c>
      <c r="N81">
        <f>IF(M81=0,"Cuadrado",IF(M81&gt;0,"Faltante","Sobrante"))</f>
        <v/>
      </c>
      <c r="O81" t="inlineStr">
        <is>
          <t>La diferencia es contabilizada por la Gerencia De Autoservicios y Efectivo de manera centralizada a la cuenta de sobrantes 279510020 el 07/04/2026</t>
        </is>
      </c>
      <c r="P81" t="n">
        <v>1040325060</v>
      </c>
      <c r="Q81" t="inlineStr">
        <is>
          <t>Inicio_cajero=6713 | fecha_arqueo=01/04/2026 | d0(Saldo-(Efectivo+Dispensado-Recibido))=$-1.352.000 | Tras_770500 movs=0 | remanente_770500(aplicado_con_signo_inv_BD)=$0 | diferencia_d0_menos_remanente=$-1.352.000 | 810291 no_aplica_por_signo | diferencia=$-1.352.000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82">
      <c r="A82" t="n">
        <v>796</v>
      </c>
      <c r="B82" t="n">
        <v>6911</v>
      </c>
      <c r="D82" t="inlineStr">
        <is>
          <t>BELLTECH</t>
        </is>
      </c>
      <c r="E82" s="3" t="n">
        <v>46119</v>
      </c>
      <c r="F82" s="3" t="n">
        <v>46113</v>
      </c>
      <c r="G82" t="inlineStr">
        <is>
          <t>09:04:00</t>
        </is>
      </c>
      <c r="H82" t="n">
        <v>127563250</v>
      </c>
      <c r="I82" t="n">
        <v>112606750</v>
      </c>
      <c r="J82" t="n">
        <v>9560000</v>
      </c>
      <c r="K82" t="n">
        <v>23516500</v>
      </c>
      <c r="M82">
        <f>I82-(H82+J82-K82)- L82</f>
        <v/>
      </c>
      <c r="N82">
        <f>IF(M82=0,"Cuadrado",IF(M82&gt;0,"Faltante","Sobrante"))</f>
        <v/>
      </c>
      <c r="O82" t="inlineStr">
        <is>
          <t>La diferencia es contabilizada por la Gerencia De Autoservicios y Efectivo de manera centralizada a la cuenta de sobrantes 279510020 el 07/04/2026</t>
        </is>
      </c>
      <c r="P82" t="n">
        <v>1095802301</v>
      </c>
      <c r="Q82" t="inlineStr">
        <is>
          <t>Inicio_cajero=6911 | fecha_arqueo=01/04/2026 | d0(Saldo-(Efectivo+Dispensado-Recibido))=$-1.000.000 | Tras_770500 movs=0 | remanente_770500(aplicado_con_signo_inv_BD)=$0 | diferencia_d0_menos_remanente=$-1.000.000 | 810291 no_aplica_por_signo | diferencia=$-1.000.000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83">
      <c r="A83" t="n">
        <v>658</v>
      </c>
      <c r="B83" t="n">
        <v>7074</v>
      </c>
      <c r="D83" t="inlineStr">
        <is>
          <t>BELLTECH</t>
        </is>
      </c>
      <c r="E83" s="3" t="n">
        <v>46119</v>
      </c>
      <c r="F83" s="3" t="n">
        <v>46118</v>
      </c>
      <c r="G83" t="inlineStr">
        <is>
          <t>11:26:00</t>
        </is>
      </c>
      <c r="H83" t="n">
        <v>181412050</v>
      </c>
      <c r="I83" t="n">
        <v>174080500</v>
      </c>
      <c r="J83" t="n">
        <v>14550000</v>
      </c>
      <c r="K83" t="n">
        <v>34233200</v>
      </c>
      <c r="M83">
        <f>I83-(H83+J83-K83)- L83</f>
        <v/>
      </c>
      <c r="N83">
        <f>IF(M83=0,"Cuadrado",IF(M83&gt;0,"Faltante","Sobrante"))</f>
        <v/>
      </c>
      <c r="O83" t="inlineStr">
        <is>
          <t>ACLARAR DIFERENCIA Y REPETIR EL ARQUEO</t>
        </is>
      </c>
      <c r="P83" t="n">
        <v>79880795</v>
      </c>
      <c r="Q83" t="inlineStr">
        <is>
          <t>Inicio_cajero=7074 | fecha_arqueo=06/04/2026 | d0(Saldo-(Efectivo+Dispensado-Recibido))=$12.351.650 | Tras_770500 movs=0 | remanente_770500(aplicado_con_signo_inv_BD)=$0 | diferencia_d0_menos_remanente=$12.351.650 | 810291 no_aplica_por_cobertura | signo_objetivo=negativo | clvmov=003101951 | valor_bd=$-107.322.000 | cobertura=868.89% fuera de 80%-120% | diferencia_se_mantiene=$12.351.650 | Faltante restante=$12.351.650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faltante_residual_d0_menos_remanente_calc=$12.351.650 | umbral_grabar_faltantes=$20.000 | Escritura_Gestion_MF: ACLARAR DIFERENCIA Y REPETIR EL ARQUEO</t>
        </is>
      </c>
    </row>
    <row r="84">
      <c r="A84" t="n">
        <v>172</v>
      </c>
      <c r="B84" t="n">
        <v>7429</v>
      </c>
      <c r="D84" t="inlineStr">
        <is>
          <t>BELLTECH</t>
        </is>
      </c>
      <c r="E84" s="3" t="n">
        <v>46119</v>
      </c>
      <c r="F84" s="3" t="n">
        <v>46113</v>
      </c>
      <c r="G84" t="inlineStr">
        <is>
          <t>09:38:00</t>
        </is>
      </c>
      <c r="H84" t="n">
        <v>290944550</v>
      </c>
      <c r="I84" t="n">
        <v>285362700</v>
      </c>
      <c r="J84" t="n">
        <v>280000</v>
      </c>
      <c r="K84" t="n">
        <v>5850000</v>
      </c>
      <c r="M84">
        <f>I84-(H84+J84-K84)- L84</f>
        <v/>
      </c>
      <c r="N84">
        <f>IF(M84=0,"Cuadrado",IF(M84&gt;0,"Faltante","Sobrante"))</f>
        <v/>
      </c>
      <c r="O84" t="inlineStr">
        <is>
          <t>La diferencia es contabilizada por la Gerencia De Autoservicios y Efectivo de manera centralizada a la cuenta de sobrantes 279510020 el 07/04/2026</t>
        </is>
      </c>
      <c r="P84" t="n">
        <v>52156260</v>
      </c>
      <c r="Q84" t="inlineStr">
        <is>
          <t>Inicio_cajero=7429 | fecha_arqueo=01/04/2026 | d0(Saldo-(Efectivo+Dispensado-Recibido))=$-11.850 | Tras_770500 movs=0 | remanente_770500(aplicado_con_signo_inv_BD)=$0 | diferencia_d0_menos_remanente=$-11.850 | 810291 no_aplica_por_signo | diferencia=$-11.850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85">
      <c r="A85" t="n">
        <v>476</v>
      </c>
      <c r="B85" t="n">
        <v>7759</v>
      </c>
      <c r="D85" t="inlineStr">
        <is>
          <t>DIEBOLD</t>
        </is>
      </c>
      <c r="E85" s="3" t="n">
        <v>46119</v>
      </c>
      <c r="F85" s="3" t="n">
        <v>46118</v>
      </c>
      <c r="G85" t="inlineStr">
        <is>
          <t>09:19:00</t>
        </is>
      </c>
      <c r="H85" t="n">
        <v>189096000</v>
      </c>
      <c r="I85" t="n">
        <v>191802250</v>
      </c>
      <c r="J85" t="n">
        <v>2760000</v>
      </c>
      <c r="K85" t="n">
        <v>0</v>
      </c>
      <c r="M85">
        <f>I85-(H85+J85-K85)- L85</f>
        <v/>
      </c>
      <c r="N85">
        <f>IF(M85=0,"Cuadrado",IF(M85&gt;0,"Faltante","Sobrante"))</f>
        <v/>
      </c>
      <c r="O85" t="inlineStr">
        <is>
          <t>La diferencia es contabilizada por la Gerencia De Autoservicios y Efectivo de manera centralizada a la cuenta de sobrantes 279510020 el 07/04/2026</t>
        </is>
      </c>
      <c r="P85" t="n">
        <v>1094240170</v>
      </c>
      <c r="Q85" t="inlineStr">
        <is>
          <t>Inicio_cajero=7759 | fecha_arqueo=06/04/2026 | d0(Saldo-(Efectivo+Dispensado-Recibido))=$-53.750 | Tras_770500 movs=0 | remanente_770500(aplicado_con_signo_inv_BD)=$0 | diferencia_d0_menos_remanente=$-53.750 | 810291 no_aplica_por_signo | diferencia=$-53.750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86">
      <c r="A86" t="n">
        <v>868</v>
      </c>
      <c r="B86" t="n">
        <v>7863</v>
      </c>
      <c r="D86" t="inlineStr">
        <is>
          <t>BELLTECH</t>
        </is>
      </c>
      <c r="E86" s="3" t="n">
        <v>46119</v>
      </c>
      <c r="F86" s="3" t="n">
        <v>46113</v>
      </c>
      <c r="G86" t="inlineStr">
        <is>
          <t>10:11:00</t>
        </is>
      </c>
      <c r="H86" t="n">
        <v>2901750</v>
      </c>
      <c r="I86" t="n">
        <v>7071350</v>
      </c>
      <c r="J86" t="n">
        <v>190000</v>
      </c>
      <c r="K86" t="n">
        <v>0</v>
      </c>
      <c r="M86">
        <f>I86-(H86+J86-K86)- L86</f>
        <v/>
      </c>
      <c r="N86">
        <f>IF(M86=0,"Cuadrado",IF(M86&gt;0,"Faltante","Sobrante"))</f>
        <v/>
      </c>
      <c r="O86" t="inlineStr">
        <is>
          <t>ACLARAR DIFERENCIA Y REPETIR EL ARQUEO</t>
        </is>
      </c>
      <c r="P86" t="n">
        <v>31602728</v>
      </c>
      <c r="Q86" t="inlineStr">
        <is>
          <t>Inicio_cajero=7863 | fecha_arqueo=01/04/2026 | d0(Saldo-(Efectivo+Dispensado-Recibido))=$3.979.600 | Tras_770500 movs=0 | remanente_770500(aplicado_con_signo_inv_BD)=$0 | diferencia_d0_menos_remanente=$3.979.600 | 810291 no_aplica_por_cobertura | signo_objetivo=negativo | clvmov=003120282 | valor_bd=$-60.000 | cobertura=1.51% fuera de 80%-120% | diferencia_se_mantiene=$3.979.600 | Faltante restante=$3.979.600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faltante_residual_d0_menos_remanente_calc=$3.979.600 | umbral_grabar_faltantes=$20.000 | Escritura_Gestion_MF: ACLARAR DIFERENCIA Y REPETIR EL ARQUEO</t>
        </is>
      </c>
    </row>
    <row r="87">
      <c r="A87" t="n">
        <v>609</v>
      </c>
      <c r="B87" t="n">
        <v>7875</v>
      </c>
      <c r="D87" t="inlineStr">
        <is>
          <t>BELLTECH</t>
        </is>
      </c>
      <c r="E87" s="3" t="n">
        <v>46119</v>
      </c>
      <c r="F87" s="3" t="n">
        <v>46118</v>
      </c>
      <c r="G87" t="inlineStr">
        <is>
          <t>09:12:00</t>
        </is>
      </c>
      <c r="H87" t="n">
        <v>152238400</v>
      </c>
      <c r="I87" t="n">
        <v>166242400</v>
      </c>
      <c r="J87" t="n">
        <v>23210000</v>
      </c>
      <c r="K87" t="n">
        <v>9406000</v>
      </c>
      <c r="M87">
        <f>I87-(H87+J87-K87)- L87</f>
        <v/>
      </c>
      <c r="N87">
        <f>IF(M87=0,"Cuadrado",IF(M87&gt;0,"Faltante","Sobrante"))</f>
        <v/>
      </c>
      <c r="O87" t="inlineStr">
        <is>
          <t>La diferencia es contabilizada por la Gerencia De Autoservicios y Efectivo de manera centralizada a la cuenta de faltantes 168710093 el 07/04/2026, esta diferencia ingresa a proceso de investigación en el área para identificar a que corresponde.</t>
        </is>
      </c>
      <c r="P87" t="n">
        <v>16055613</v>
      </c>
      <c r="Q87" t="inlineStr">
        <is>
          <t>Inicio_cajero=7875 | fecha_arqueo=06/04/2026 | d0(Saldo-(Efectivo+Dispensado-Recibido))=$200.000 | Tras_770500 movs=0 | remanente_770500(aplicado_con_signo_inv_BD)=$0 | diferencia_d0_menos_remanente=$200.000 | 810291 no_aplica_por_cobertura | signo_objetivo=negativo | clvmov=003097151 | valor_bd=$-3.191.000 | cobertura=1595.50% fuera de 80%-120% | diferencia_se_mantiene=$200.000 | Faltante restante=$200.000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faltante_residual_d0_menos_remanente_calc=$200.000 | umbral_grabar_faltantes=$20.000 | Escritura_Gestion_MF: 168710093 (2da repetición arqueo previo con repetir)</t>
        </is>
      </c>
    </row>
    <row r="88">
      <c r="A88" t="n">
        <v>453</v>
      </c>
      <c r="B88" t="n">
        <v>8019</v>
      </c>
      <c r="D88" t="inlineStr">
        <is>
          <t>BELLTECH</t>
        </is>
      </c>
      <c r="E88" s="3" t="n">
        <v>46119</v>
      </c>
      <c r="F88" s="3" t="n">
        <v>46118</v>
      </c>
      <c r="G88" t="inlineStr">
        <is>
          <t>08:06:00</t>
        </is>
      </c>
      <c r="H88" t="n">
        <v>214013600</v>
      </c>
      <c r="I88" t="n">
        <v>204025100</v>
      </c>
      <c r="J88" t="n">
        <v>4250000</v>
      </c>
      <c r="K88" t="n">
        <v>18550000</v>
      </c>
      <c r="M88">
        <f>I88-(H88+J88-K88)- L88</f>
        <v/>
      </c>
      <c r="N88">
        <f>IF(M88=0,"Cuadrado",IF(M88&gt;0,"Faltante","Sobrante"))</f>
        <v/>
      </c>
      <c r="O88" t="inlineStr">
        <is>
          <t>ACLARAR DIFERENCIA Y REPETIR EL ARQUEO</t>
        </is>
      </c>
      <c r="P88" t="n">
        <v>1083897578</v>
      </c>
      <c r="Q88" t="inlineStr">
        <is>
          <t>Inicio_cajero=8019 | fecha_arqueo=06/04/2026 | d0(Saldo-(Efectivo+Dispensado-Recibido))=$4.311.500 | Tras_770500 movs=0 | remanente_770500(aplicado_con_signo_inv_BD)=$0 | diferencia_d0_menos_remanente=$4.311.500 | 810291 no_aplica_por_cobertura | signo_objetivo=negativo | clvmov=003079470 | valor_bd=$-209.966.000 | cobertura=4869.91% fuera de 80%-120% | diferencia_se_mantiene=$4.311.500 | Faltante restante=$4.311.500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faltante_residual_d0_menos_remanente_calc=$4.311.500 | umbral_grabar_faltantes=$20.000 | Escritura_Gestion_MF: ACLARAR DIFERENCIA Y REPETIR EL ARQUEO</t>
        </is>
      </c>
    </row>
    <row r="89">
      <c r="A89" t="n">
        <v>554</v>
      </c>
      <c r="B89" t="n">
        <v>8294</v>
      </c>
      <c r="D89" t="inlineStr">
        <is>
          <t>BELLTECH</t>
        </is>
      </c>
      <c r="E89" s="3" t="n">
        <v>46119</v>
      </c>
      <c r="F89" s="3" t="n">
        <v>46118</v>
      </c>
      <c r="G89" t="inlineStr">
        <is>
          <t>14:17:00</t>
        </is>
      </c>
      <c r="H89" t="n">
        <v>423318500</v>
      </c>
      <c r="I89" t="n">
        <v>234034800</v>
      </c>
      <c r="J89" t="n">
        <v>8580000</v>
      </c>
      <c r="K89" t="n">
        <v>115703950</v>
      </c>
      <c r="M89">
        <f>I89-(H89+J89-K89)- L89</f>
        <v/>
      </c>
      <c r="N89">
        <f>IF(M89=0,"Cuadrado",IF(M89&gt;0,"Faltante","Sobrante"))</f>
        <v/>
      </c>
      <c r="O89" t="inlineStr">
        <is>
          <t>ACLARAR DIFERENCIA Y REPETIR EL ARQUEO</t>
        </is>
      </c>
      <c r="P89" t="n">
        <v>1143151164</v>
      </c>
      <c r="Q89" t="inlineStr">
        <is>
          <t>Inicio_cajero=8294 | fecha_arqueo=06/04/2026 | d0(Saldo-(Efectivo+Dispensado-Recibido))=$-82.159.750 | Tras_770500 movs=0 | remanente_770500(aplicado_con_signo_inv_BD)=$0 | diferencia_d0_menos_remanente=$-82.159.750 | 810291 no_aplica_por_signo | diferencia=$-82.159.750 | signo_requerido=positivo | RESULTADO sobrante_excede_tope | abs(diferencia)=$82.159.750 &gt; tope_contabilizar_sobrante($50.000.000) | marcar ACLARAR DIFERENCIA Y REPETIR EL ARQUEO | ARQUEOS_MF_post | faltante_residual_d0_menos_remanente_calc=$0 | umbral_grabar_faltantes=$20.000 | Escritura_Gestion_MF: sin texto nuevo | solo ajuste de Remanente/Diferencia</t>
        </is>
      </c>
    </row>
    <row r="90">
      <c r="A90" t="n">
        <v>556</v>
      </c>
      <c r="B90" t="n">
        <v>8333</v>
      </c>
      <c r="D90" t="inlineStr">
        <is>
          <t>BELLTECH</t>
        </is>
      </c>
      <c r="E90" s="3" t="n">
        <v>46119</v>
      </c>
      <c r="F90" s="3" t="n">
        <v>46118</v>
      </c>
      <c r="G90" t="inlineStr">
        <is>
          <t>10:28:00</t>
        </is>
      </c>
      <c r="H90" t="n">
        <v>163913700</v>
      </c>
      <c r="I90" t="n">
        <v>52619450</v>
      </c>
      <c r="J90" t="n">
        <v>20640000</v>
      </c>
      <c r="K90" t="n">
        <v>11448400</v>
      </c>
      <c r="M90">
        <f>I90-(H90+J90-K90)- L90</f>
        <v/>
      </c>
      <c r="N90">
        <f>IF(M90=0,"Cuadrado",IF(M90&gt;0,"Faltante","Sobrante"))</f>
        <v/>
      </c>
      <c r="O90" t="inlineStr">
        <is>
          <t>La diferencia es contabilizada por la Gerencia De Autoservicios y Efectivo de manera centralizada a la cuenta de sobrantes 279510020 el 07/04/2026</t>
        </is>
      </c>
      <c r="P90" t="n">
        <v>39450196</v>
      </c>
      <c r="Q90" t="inlineStr">
        <is>
          <t>Inicio_cajero=8333 | fecha_arqueo=06/04/2026 | d0(Saldo-(Efectivo+Dispensado-Recibido))=$-120.485.850 | Tras_770500 movs=0 | remanente_770500(aplicado_con_signo_inv_BD)=$0 | diferencia_d0_menos_remanente=$-120.485.850 | 810291 aplica_por_signo=positivo | clvmov=003093461 | valor_bd=$120.000.000 | aporte_inv_signo=$-120.000.000 | cobertura=99.60% (rango 80%-120%) | diferencia_actual=$-485.850 | 810291 no_aplica_por_cobertura | signo_objetivo=positivo | clvmov=003093467 | valor_bd=$120.000.000 | cobertura=24698.98% fuera de 80%-120% | diferencia_se_mantiene=$-485.850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91">
      <c r="A91" t="n">
        <v>236</v>
      </c>
      <c r="B91" t="n">
        <v>8497</v>
      </c>
      <c r="D91" t="inlineStr">
        <is>
          <t>BELLTECH</t>
        </is>
      </c>
      <c r="E91" s="3" t="n">
        <v>46119</v>
      </c>
      <c r="F91" s="3" t="n">
        <v>46113</v>
      </c>
      <c r="G91" t="inlineStr">
        <is>
          <t>15:25:00</t>
        </is>
      </c>
      <c r="H91" t="n">
        <v>32026900</v>
      </c>
      <c r="I91" t="n">
        <v>127061850</v>
      </c>
      <c r="J91" t="n">
        <v>35380000</v>
      </c>
      <c r="K91" t="n">
        <v>32130000</v>
      </c>
      <c r="M91">
        <f>I91-(H91+J91-K91)- L91</f>
        <v/>
      </c>
      <c r="N91">
        <f>IF(M91=0,"Cuadrado",IF(M91&gt;0,"Faltante","Sobrante"))</f>
        <v/>
      </c>
      <c r="O91" t="inlineStr">
        <is>
          <t>La diferencia es contabilizada por la Gerencia De Autoservicios y Efectivo de manera centralizada a la cuenta de sobrantes 279510020 el 07/04/2026</t>
        </is>
      </c>
      <c r="P91" t="n">
        <v>71369714</v>
      </c>
      <c r="Q91" t="inlineStr">
        <is>
          <t>Inicio_cajero=8497 | fecha_arqueo=01/04/2026 | d0(Saldo-(Efectivo+Dispensado-Recibido))=$91.784.950 | Tras_770500 movs=0 | remanente_770500(aplicado_con_signo_inv_BD)=$0 | diferencia_d0_menos_remanente=$91.784.950 | 810291 aplica_por_signo=negativo | clvmov=003048038 | valor_bd=$-109.414.000 | aporte_inv_signo=$109.414.000 | cobertura=119.21% (rango 80%-120%) | diferencia_actual=$-17.629.050 | 810291 sin_mas_candidatos_signo=positivo | diferencia_actual=$-17.629.050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92">
      <c r="A92" t="n">
        <v>4</v>
      </c>
      <c r="B92" t="n">
        <v>8630</v>
      </c>
      <c r="D92" t="inlineStr">
        <is>
          <t>BELLTECH</t>
        </is>
      </c>
      <c r="E92" s="3" t="n">
        <v>46119</v>
      </c>
      <c r="F92" s="3" t="n">
        <v>46118</v>
      </c>
      <c r="G92" t="inlineStr">
        <is>
          <t>08:52:00</t>
        </is>
      </c>
      <c r="H92" t="n">
        <v>135926400</v>
      </c>
      <c r="I92" t="n">
        <v>370613250</v>
      </c>
      <c r="J92" t="n">
        <v>7260000</v>
      </c>
      <c r="K92" t="n">
        <v>5768000</v>
      </c>
      <c r="M92">
        <f>I92-(H92+J92-K92)- L92</f>
        <v/>
      </c>
      <c r="N92">
        <f>IF(M92=0,"Cuadrado",IF(M92&gt;0,"Faltante","Sobrante"))</f>
        <v/>
      </c>
      <c r="O92" t="inlineStr">
        <is>
          <t>La diferencia es contabilizada por la Gerencia De Autoservicios y Efectivo de manera centralizada a la cuenta de sobrantes 279510020 el 07/04/2026</t>
        </is>
      </c>
      <c r="P92" t="n">
        <v>1152186094</v>
      </c>
      <c r="Q92" t="inlineStr">
        <is>
          <t>Inicio_cajero=8630 | fecha_arqueo=06/04/2026 | d0(Saldo-(Efectivo+Dispensado-Recibido))=$233.194.850 | Tras_770500 movs=0 | remanente_770500(aplicado_con_signo_inv_BD)=$0 | diferencia_d0_menos_remanente=$233.194.850 | 810291 aplica_por_signo=negativo | clvmov=003002577 | valor_bd=$-233.230.000 | aporte_inv_signo=$233.230.000 | cobertura=100.02% (rango 80%-120%) | diferencia_actual=$-35.150 | 810291 sin_mas_candidatos_signo=positivo | diferencia_actual=$-35.150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93">
      <c r="A93" t="n">
        <v>4</v>
      </c>
      <c r="B93" t="n">
        <v>8631</v>
      </c>
      <c r="D93" t="inlineStr">
        <is>
          <t>BELLTECH</t>
        </is>
      </c>
      <c r="E93" s="3" t="n">
        <v>46119</v>
      </c>
      <c r="F93" s="3" t="n">
        <v>46118</v>
      </c>
      <c r="G93" t="inlineStr">
        <is>
          <t>09:21:00</t>
        </is>
      </c>
      <c r="H93" t="n">
        <v>132820850</v>
      </c>
      <c r="I93" t="n">
        <v>207570850</v>
      </c>
      <c r="J93" t="n">
        <v>11460000</v>
      </c>
      <c r="K93" t="n">
        <v>16187000</v>
      </c>
      <c r="M93">
        <f>I93-(H93+J93-K93)- L93</f>
        <v/>
      </c>
      <c r="N93">
        <f>IF(M93=0,"Cuadrado",IF(M93&gt;0,"Faltante","Sobrante"))</f>
        <v/>
      </c>
      <c r="O93" t="inlineStr">
        <is>
          <t>La diferencia es contabilizada por la Gerencia De Autoservicios y Efectivo de manera centralizada a la cuenta de sobrantes 279510020 el 07/04/2026</t>
        </is>
      </c>
      <c r="P93" t="n">
        <v>1152186094</v>
      </c>
      <c r="Q93" t="inlineStr">
        <is>
          <t>Inicio_cajero=8631 | fecha_arqueo=06/04/2026 | d0(Saldo-(Efectivo+Dispensado-Recibido))=$79.477.000 | Tras_770500 movs=0 | remanente_770500(aplicado_con_signo_inv_BD)=$0 | diferencia_d0_menos_remanente=$79.477.000 | 810291 aplica_por_signo=negativo | clvmov=003002575 | valor_bd=$-82.429.000 | aporte_inv_signo=$82.429.000 | cobertura=103.71% (rango 80%-120%) | diferencia_actual=$-2.952.000 | 810291 no_aplica_por_cobertura | signo_objetivo=positivo | clvmov=003002520 | valor_bd=$2.000.000 | cobertura=67.75% fuera de 80%-120% | diferencia_se_mantiene=$-2.952.000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94">
      <c r="A94" t="n">
        <v>866</v>
      </c>
      <c r="B94" t="n">
        <v>8662</v>
      </c>
      <c r="D94" t="inlineStr">
        <is>
          <t>BELLTECH</t>
        </is>
      </c>
      <c r="E94" s="3" t="n">
        <v>46119</v>
      </c>
      <c r="F94" s="3" t="n">
        <v>46118</v>
      </c>
      <c r="G94" t="inlineStr">
        <is>
          <t>13:57:00</t>
        </is>
      </c>
      <c r="H94" t="n">
        <v>48921250</v>
      </c>
      <c r="I94" t="n">
        <v>-122653750</v>
      </c>
      <c r="J94" t="n">
        <v>28820000</v>
      </c>
      <c r="K94" t="n">
        <v>5680000</v>
      </c>
      <c r="M94">
        <f>I94-(H94+J94-K94)- L94</f>
        <v/>
      </c>
      <c r="N94">
        <f>IF(M94=0,"Cuadrado",IF(M94&gt;0,"Faltante","Sobrante"))</f>
        <v/>
      </c>
      <c r="O94" t="inlineStr">
        <is>
          <t>El faltante $150.000 es cruzado con sobrante contabilizado el día 13/03/2026 ($150.000) el cual es reversado por la seccion el día 07/04/2026</t>
        </is>
      </c>
      <c r="P94" t="n">
        <v>1113674245</v>
      </c>
      <c r="Q94" t="inlineStr">
        <is>
          <t>Inicio_cajero=8662 | fecha_arqueo=06/04/2026 | d0(Saldo-(Efectivo+Dispensado-Recibido))=$-194.715.000 | Tras_770500 movs=0 | remanente_770500(aplicado_con_signo_inv_BD)=$0 | diferencia_d0_menos_remanente=$-194.715.000 | 810291 aplica_por_signo=positivo | clvmov=003127386 | valor_bd=$230.000.000 | aporte_inv_signo=$-230.000.000 | cobertura=118.12% (rango 80%-120%) | diferencia_actual=$35.285.000 | 810291 aplica_por_signo=negativo | clvmov=003127477 | valor_bd=$-35.135.000 | aporte_inv_signo=$35.135.000 | cobertura=99.57% (rango 80%-120%) | diferencia_actual=$150.000 | 810291 no_aplica_por_cobertura | signo_objetivo=negativo | clvmov=003127478 | valor_bd=$-2.910.000 | cobertura=1940.00% fuera de 80%-120% | diferencia_se_mantiene=$150.000 | Faltante restante=$150.000 &lt;= umbral_sobrantes($25.000.000) | buscar cruce en cuenta 279510020 (NUMDOC suma neta negativa = sobrante activo) | RESULTADO justificado_sobrantes | etapa2 posteriores + penúltimo día (cruce parcial) | ARQUEOS_MF_post | faltante_residual_d0_menos_remanente_calc=$0 | umbral_grabar_faltantes=$20.000 | Escritura_Gestion_MF: cruce faltante con sobrante(s) 279510020 (texto reverso sección)</t>
        </is>
      </c>
    </row>
    <row r="95">
      <c r="A95" t="n">
        <v>769</v>
      </c>
      <c r="B95" t="n">
        <v>8679</v>
      </c>
      <c r="D95" t="inlineStr">
        <is>
          <t>BELLTECH</t>
        </is>
      </c>
      <c r="E95" s="3" t="n">
        <v>46119</v>
      </c>
      <c r="F95" s="3" t="n">
        <v>46118</v>
      </c>
      <c r="G95" t="inlineStr">
        <is>
          <t>15:07:00</t>
        </is>
      </c>
      <c r="H95" t="n">
        <v>253903350</v>
      </c>
      <c r="I95" t="n">
        <v>146588700</v>
      </c>
      <c r="J95" t="n">
        <v>9120000</v>
      </c>
      <c r="K95" t="n">
        <v>116552000</v>
      </c>
      <c r="M95">
        <f>I95-(H95+J95-K95)- L95</f>
        <v/>
      </c>
      <c r="N95">
        <f>IF(M95=0,"Cuadrado",IF(M95&gt;0,"Faltante","Sobrante"))</f>
        <v/>
      </c>
      <c r="O95" t="inlineStr">
        <is>
          <t>El faltante $117.350 es cruzado con sobrante contabilizado el día 16/03/2026 ($117.350) el cual es reversado por la seccion el día 07/04/2026</t>
        </is>
      </c>
      <c r="P95" t="n">
        <v>1140902142</v>
      </c>
      <c r="Q95" t="inlineStr">
        <is>
          <t>Inicio_cajero=8679 | fecha_arqueo=06/04/2026 | d0(Saldo-(Efectivo+Dispensado-Recibido))=$117.350 | Tras_770500 movs=0 | remanente_770500(aplicado_con_signo_inv_BD)=$0 | diferencia_d0_menos_remanente=$117.350 | 810291 no_aplica_por_cobertura | signo_objetivo=negativo | clvmov=003115042 | valor_bd=$-238.482.000 | cobertura=203222.84% fuera de 80%-120% | diferencia_se_mantiene=$117.350 | Faltante restante=$117.350 &lt;= umbral_sobrantes($25.000.000) | buscar cruce en cuenta 279510020 (NUMDOC suma neta negativa = sobrante activo) | RESULTADO justificado_sobrantes | etapa2 posteriores + penúltimo día (cruce parcial) | ARQUEOS_MF_post | faltante_residual_d0_menos_remanente_calc=$0 | umbral_grabar_faltantes=$20.000 | Escritura_Gestion_MF: cruce faltante con sobrante(s) 279510020 (texto reverso sección)</t>
        </is>
      </c>
    </row>
    <row r="96">
      <c r="A96" t="n">
        <v>60</v>
      </c>
      <c r="B96" t="n">
        <v>8728</v>
      </c>
      <c r="D96" t="inlineStr">
        <is>
          <t>DIEBOLD</t>
        </is>
      </c>
      <c r="E96" s="3" t="n">
        <v>46119</v>
      </c>
      <c r="F96" s="3" t="n">
        <v>46118</v>
      </c>
      <c r="G96" t="inlineStr">
        <is>
          <t>10:46:00</t>
        </is>
      </c>
      <c r="H96" t="n">
        <v>109456000</v>
      </c>
      <c r="I96" t="n">
        <v>105968750</v>
      </c>
      <c r="J96" t="n">
        <v>14340000</v>
      </c>
      <c r="K96" t="n">
        <v>17758250</v>
      </c>
      <c r="M96">
        <f>I96-(H96+J96-K96)- L96</f>
        <v/>
      </c>
      <c r="N96">
        <f>IF(M96=0,"Cuadrado",IF(M96&gt;0,"Faltante","Sobrante"))</f>
        <v/>
      </c>
      <c r="O96" t="inlineStr">
        <is>
          <t>La diferencia es contabilizada por la Gerencia De Autoservicios y Efectivo de manera centralizada a la cuenta de sobrantes 279510020 el 07/04/2026</t>
        </is>
      </c>
      <c r="P96" t="n">
        <v>14697128</v>
      </c>
      <c r="Q96" t="inlineStr">
        <is>
          <t>Inicio_cajero=8728 | fecha_arqueo=06/04/2026 | d0(Saldo-(Efectivo+Dispensado-Recibido))=$-69.000 | Tras_770500 movs=0 | remanente_770500(aplicado_con_signo_inv_BD)=$0 | diferencia_d0_menos_remanente=$-69.000 | 810291 no_aplica_por_signo | diferencia=$-69.000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97">
      <c r="A97" t="n">
        <v>509</v>
      </c>
      <c r="B97" t="n">
        <v>8835</v>
      </c>
      <c r="D97" t="inlineStr">
        <is>
          <t>BELLTECH</t>
        </is>
      </c>
      <c r="E97" s="3" t="n">
        <v>46119</v>
      </c>
      <c r="F97" s="3" t="n">
        <v>46118</v>
      </c>
      <c r="G97" t="inlineStr">
        <is>
          <t>14:55:00</t>
        </is>
      </c>
      <c r="H97" t="n">
        <v>115000300</v>
      </c>
      <c r="I97" t="n">
        <v>90479000</v>
      </c>
      <c r="J97" t="n">
        <v>14700000</v>
      </c>
      <c r="K97" t="n">
        <v>105661250</v>
      </c>
      <c r="M97">
        <f>I97-(H97+J97-K97)- L97</f>
        <v/>
      </c>
      <c r="N97">
        <f>IF(M97=0,"Cuadrado",IF(M97&gt;0,"Faltante","Sobrante"))</f>
        <v/>
      </c>
      <c r="O97" t="inlineStr">
        <is>
          <t>ACLARAR DIFERENCIA Y REPETIR EL ARQUEO</t>
        </is>
      </c>
      <c r="P97" t="n">
        <v>1143370364</v>
      </c>
      <c r="Q97" t="inlineStr">
        <is>
          <t>Inicio_cajero=8835 | fecha_arqueo=06/04/2026 | d0(Saldo-(Efectivo+Dispensado-Recibido))=$66.439.950 | Tras_770500 movs=0 | remanente_770500(aplicado_con_signo_inv_BD)=$0 | diferencia_d0_menos_remanente=$66.439.950 | 810291 no_aplica_por_cobertura | signo_objetivo=negativo | clvmov=003087074 | valor_bd=$-99.402.000 | cobertura=149.61% fuera de 80%-120% | diferencia_se_mantiene=$66.439.950 | Faltante $66.439.950 &gt; umbral_sobrantes($25.000.000) | no entra cruce por cuenta sobrantes en este bloque | RESULTADO gestión manual | faltante sin cerrar con 810291/sobrantes según reglas | ARQUEOS_MF_post | faltante_residual_d0_menos_remanente_calc=$66.439.950 | umbral_grabar_faltantes=$20.000 | Escritura_Gestion_MF: ACLARAR DIFERENCIA Y REPETIR EL ARQUEO</t>
        </is>
      </c>
    </row>
    <row r="98">
      <c r="A98" t="n">
        <v>33</v>
      </c>
      <c r="B98" t="n">
        <v>8861</v>
      </c>
      <c r="D98" t="inlineStr">
        <is>
          <t>BELLTECH</t>
        </is>
      </c>
      <c r="E98" s="3" t="n">
        <v>46119</v>
      </c>
      <c r="F98" s="3" t="n">
        <v>46118</v>
      </c>
      <c r="G98" t="inlineStr">
        <is>
          <t>14:54:00</t>
        </is>
      </c>
      <c r="H98" t="n">
        <v>236480550</v>
      </c>
      <c r="I98" t="n">
        <v>223335400</v>
      </c>
      <c r="J98" t="n">
        <v>39910000</v>
      </c>
      <c r="K98" t="n">
        <v>27820150</v>
      </c>
      <c r="M98">
        <f>I98-(H98+J98-K98)- L98</f>
        <v/>
      </c>
      <c r="N98">
        <f>IF(M98=0,"Cuadrado",IF(M98&gt;0,"Faltante","Sobrante"))</f>
        <v/>
      </c>
      <c r="O98" t="inlineStr">
        <is>
          <t>La diferencia es contabilizada por la Gerencia De Autoservicios y Efectivo de manera centralizada a la cuenta de sobrantes 279510020 el 07/04/2026</t>
        </is>
      </c>
      <c r="P98" t="n">
        <v>79659379</v>
      </c>
      <c r="Q98" t="inlineStr">
        <is>
          <t>Inicio_cajero=8861 | fecha_arqueo=06/04/2026 | d0(Saldo-(Efectivo+Dispensado-Recibido))=$-25.235.000 | Tras_770500 movs=1 | remanente_770500(aplicado_con_signo_inv_BD)=$-24.925.000 | diferencia_d0_menos_remanente=$-310.000 | 810291 no_aplica_por_cobertura | signo_objetivo=positivo | clvmov=003013469 | valor_bd=$70.000.000 | cobertura=22580.65% fuera de 80%-120% | diferencia_se_mantiene=$-310.000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99">
      <c r="A99" t="n">
        <v>467</v>
      </c>
      <c r="B99" t="n">
        <v>9051</v>
      </c>
      <c r="D99" t="inlineStr">
        <is>
          <t>BELLTECH</t>
        </is>
      </c>
      <c r="E99" s="3" t="n">
        <v>46119</v>
      </c>
      <c r="F99" s="3" t="n">
        <v>46118</v>
      </c>
      <c r="G99" t="inlineStr">
        <is>
          <t>11:45:00</t>
        </is>
      </c>
      <c r="H99" t="n">
        <v>376448800</v>
      </c>
      <c r="I99" t="n">
        <v>252780900</v>
      </c>
      <c r="J99" t="n">
        <v>3200000</v>
      </c>
      <c r="K99" t="n">
        <v>20694000</v>
      </c>
      <c r="M99">
        <f>I99-(H99+J99-K99)- L99</f>
        <v/>
      </c>
      <c r="N99">
        <f>IF(M99=0,"Cuadrado",IF(M99&gt;0,"Faltante","Sobrante"))</f>
        <v/>
      </c>
      <c r="O99" t="inlineStr">
        <is>
          <t>ACLARAR DIFERENCIA Y REPETIR EL ARQUEO</t>
        </is>
      </c>
      <c r="P99" t="n">
        <v>52539189</v>
      </c>
      <c r="Q99" t="inlineStr">
        <is>
          <t>Inicio_cajero=9051 | fecha_arqueo=06/04/2026 | d0(Saldo-(Efectivo+Dispensado-Recibido))=$-106.173.900 | Tras_770500 movs=0 | remanente_770500(aplicado_con_signo_inv_BD)=$0 | diferencia_d0_menos_remanente=$-106.173.900 | 810291 no_aplica_por_signo | diferencia=$-106.173.900 | signo_requerido=positivo | RESULTADO sobrante_excede_tope | abs(diferencia)=$106.173.900 &gt; tope_contabilizar_sobrante($50.000.000) | marcar ACLARAR DIFERENCIA Y REPETIR EL ARQUEO | ARQUEOS_MF_post | faltante_residual_d0_menos_remanente_calc=$0 | umbral_grabar_faltantes=$20.000 | Escritura_Gestion_MF: sin texto nuevo | solo ajuste de Remanente/Diferencia</t>
        </is>
      </c>
    </row>
    <row r="100">
      <c r="A100" t="n">
        <v>367</v>
      </c>
      <c r="B100" t="n">
        <v>9580</v>
      </c>
      <c r="D100" t="inlineStr">
        <is>
          <t>BELLTECH</t>
        </is>
      </c>
      <c r="E100" s="3" t="n">
        <v>46119</v>
      </c>
      <c r="F100" s="3" t="n">
        <v>46118</v>
      </c>
      <c r="G100" t="inlineStr">
        <is>
          <t>14:05:00</t>
        </is>
      </c>
      <c r="H100" t="n">
        <v>107726800</v>
      </c>
      <c r="I100" t="n">
        <v>7771800</v>
      </c>
      <c r="J100" t="n">
        <v>34950000</v>
      </c>
      <c r="K100" t="n">
        <v>27688000</v>
      </c>
      <c r="M100">
        <f>I100-(H100+J100-K100)- L100</f>
        <v/>
      </c>
      <c r="N100">
        <f>IF(M100=0,"Cuadrado",IF(M100&gt;0,"Faltante","Sobrante"))</f>
        <v/>
      </c>
      <c r="O100" t="inlineStr">
        <is>
          <t>La diferencia es contabilizada por la Gerencia De Autoservicios y Efectivo de manera centralizada a la cuenta de sobrantes 279510020 el 07/04/2026</t>
        </is>
      </c>
      <c r="P100" t="n">
        <v>1120360426</v>
      </c>
      <c r="Q100" t="inlineStr">
        <is>
          <t>Inicio_cajero=9580 | fecha_arqueo=06/04/2026 | d0(Saldo-(Efectivo+Dispensado-Recibido))=$-107.217.000 | Tras_770500 movs=0 | remanente_770500(aplicado_con_signo_inv_BD)=$0 | diferencia_d0_menos_remanente=$-107.217.000 | 810291 aplica_por_signo=positivo | clvmov=003070451 | valor_bd=$104.000.000 | aporte_inv_signo=$-104.000.000 | cobertura=97.00% (rango 80%-120%) | diferencia_actual=$-3.217.000 | 810291 sin_mas_candidatos_signo=positivo | diferencia_actual=$-3.217.000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01">
      <c r="A101" t="n">
        <v>499</v>
      </c>
      <c r="B101" t="n">
        <v>9810</v>
      </c>
      <c r="D101" t="inlineStr">
        <is>
          <t>BELLTECH</t>
        </is>
      </c>
      <c r="E101" s="3" t="n">
        <v>46119</v>
      </c>
      <c r="F101" s="3" t="n">
        <v>46118</v>
      </c>
      <c r="G101" t="inlineStr">
        <is>
          <t>09:52:00</t>
        </is>
      </c>
      <c r="H101" t="n">
        <v>320287250</v>
      </c>
      <c r="I101" t="n">
        <v>359828950</v>
      </c>
      <c r="J101" t="n">
        <v>60000</v>
      </c>
      <c r="K101" t="n">
        <v>19233000</v>
      </c>
      <c r="M101">
        <f>I101-(H101+J101-K101)- L101</f>
        <v/>
      </c>
      <c r="N101">
        <f>IF(M101=0,"Cuadrado",IF(M101&gt;0,"Faltante","Sobrante"))</f>
        <v/>
      </c>
      <c r="O101" t="inlineStr">
        <is>
          <t>ACLARAR DIFERENCIA Y REPETIR EL ARQUEO</t>
        </is>
      </c>
      <c r="P101" t="n">
        <v>71337474</v>
      </c>
      <c r="Q101" t="inlineStr">
        <is>
          <t>Inicio_cajero=9810 | fecha_arqueo=06/04/2026 | d0(Saldo-(Efectivo+Dispensado-Recibido))=$58.714.700 | Tras_770500 movs=0 | remanente_770500(aplicado_con_signo_inv_BD)=$0 | diferencia_d0_menos_remanente=$58.714.700 | 810291 no_aplica_por_cobertura | signo_objetivo=negativo | clvmov=003085898 | valor_bd=$-315.773.000 | cobertura=537.81% fuera de 80%-120% | diferencia_se_mantiene=$58.714.700 | Faltante $58.714.700 &gt; umbral_sobrantes($25.000.000) | no entra cruce por cuenta sobrantes en este bloque | RESULTADO gestión manual | faltante sin cerrar con 810291/sobrantes según reglas | ARQUEOS_MF_post | faltante_residual_d0_menos_remanente_calc=$58.714.700 | umbral_grabar_faltantes=$20.000 | Escritura_Gestion_MF: ACLARAR DIFERENCIA Y REPETIR EL ARQUEO</t>
        </is>
      </c>
    </row>
    <row r="102">
      <c r="A102" t="n">
        <v>499</v>
      </c>
      <c r="B102" t="n">
        <v>9811</v>
      </c>
      <c r="D102" t="inlineStr">
        <is>
          <t>BELLTECH</t>
        </is>
      </c>
      <c r="E102" s="3" t="n">
        <v>46119</v>
      </c>
      <c r="F102" s="3" t="n">
        <v>46118</v>
      </c>
      <c r="G102" t="inlineStr">
        <is>
          <t>09:35:00</t>
        </is>
      </c>
      <c r="H102" t="n">
        <v>170130100</v>
      </c>
      <c r="I102" t="n">
        <v>93845400</v>
      </c>
      <c r="J102" t="n">
        <v>0</v>
      </c>
      <c r="K102" t="n">
        <v>0</v>
      </c>
      <c r="M102">
        <f>I102-(H102+J102-K102)- L102</f>
        <v/>
      </c>
      <c r="N102">
        <f>IF(M102=0,"Cuadrado",IF(M102&gt;0,"Faltante","Sobrante"))</f>
        <v/>
      </c>
      <c r="O102" t="inlineStr">
        <is>
          <t>ACLARAR DIFERENCIA Y REPETIR EL ARQUEO</t>
        </is>
      </c>
      <c r="P102" t="n">
        <v>71337474</v>
      </c>
      <c r="Q102" t="inlineStr">
        <is>
          <t>Inicio_cajero=9811 | fecha_arqueo=06/04/2026 | d0(Saldo-(Efectivo+Dispensado-Recibido))=$-76.284.700 | Tras_770500 movs=0 | remanente_770500(aplicado_con_signo_inv_BD)=$0 | diferencia_d0_menos_remanente=$-76.284.700 | 810291 no_aplica_por_signo | diferencia=$-76.284.700 | signo_requerido=positivo | RESULTADO sobrante_excede_tope | abs(diferencia)=$76.284.700 &gt; tope_contabilizar_sobrante($50.000.000) | marcar ACLARAR DIFERENCIA Y REPETIR EL ARQUEO | ARQUEOS_MF_post | faltante_residual_d0_menos_remanente_calc=$0 | umbral_grabar_faltantes=$20.000 | Escritura_Gestion_MF: sin texto nuevo | solo ajuste de Remanente/Diferencia</t>
        </is>
      </c>
    </row>
    <row r="103">
      <c r="A103" t="n">
        <v>674</v>
      </c>
      <c r="B103" t="n">
        <v>5200</v>
      </c>
      <c r="D103" t="inlineStr">
        <is>
          <t>BELLTECH</t>
        </is>
      </c>
      <c r="E103" s="3" t="n">
        <v>46119</v>
      </c>
      <c r="F103" s="3" t="n">
        <v>46118</v>
      </c>
      <c r="G103" t="inlineStr">
        <is>
          <t>09:10:00</t>
        </is>
      </c>
      <c r="H103" t="n">
        <v>8197250</v>
      </c>
      <c r="I103" t="n">
        <v>13611250</v>
      </c>
      <c r="J103" t="n">
        <v>9200000</v>
      </c>
      <c r="K103" t="n">
        <v>3786000</v>
      </c>
      <c r="M103">
        <f>I103-(H103+J103-K103)- L103</f>
        <v/>
      </c>
      <c r="N103">
        <f>IF(M103=0,"Cuadrado",IF(M103&gt;0,"Faltante","Sobrante"))</f>
        <v/>
      </c>
      <c r="O103" t="inlineStr">
        <is>
          <t>Cajero cuadrado, sin observación por parte de la sucursal</t>
        </is>
      </c>
      <c r="P103" t="n">
        <v>79813088</v>
      </c>
      <c r="Q103" t="inlineStr">
        <is>
          <t>Inicio_cajero=5200 | fecha_arqueo=06/04/2026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  <row r="104">
      <c r="A104" t="n">
        <v>888</v>
      </c>
      <c r="B104" t="n">
        <v>6818</v>
      </c>
      <c r="D104" t="inlineStr">
        <is>
          <t>BELLTECH</t>
        </is>
      </c>
      <c r="E104" s="3" t="n">
        <v>46119</v>
      </c>
      <c r="F104" s="3" t="n">
        <v>46113</v>
      </c>
      <c r="G104" t="inlineStr">
        <is>
          <t>14:54:00</t>
        </is>
      </c>
      <c r="H104" t="n">
        <v>41196600</v>
      </c>
      <c r="I104" t="n">
        <v>8806600</v>
      </c>
      <c r="J104" t="n">
        <v>13010000</v>
      </c>
      <c r="K104" t="n">
        <v>45400000</v>
      </c>
      <c r="M104">
        <f>I104-(H104+J104-K104)- L104</f>
        <v/>
      </c>
      <c r="N104">
        <f>IF(M104=0,"Cuadrado",IF(M104&gt;0,"Faltante","Sobrante"))</f>
        <v/>
      </c>
      <c r="O104" t="inlineStr">
        <is>
          <t>Cajero cuadrado, sin observación por parte de la sucursal</t>
        </is>
      </c>
      <c r="P104" t="n">
        <v>1085921765</v>
      </c>
      <c r="Q104" t="inlineStr">
        <is>
          <t>Inicio_cajero=6818 | fecha_arqueo=01/04/2026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  <row r="105">
      <c r="A105" t="n">
        <v>300</v>
      </c>
      <c r="B105" t="n">
        <v>5139</v>
      </c>
      <c r="D105" t="inlineStr">
        <is>
          <t>BELLTECH</t>
        </is>
      </c>
      <c r="E105" s="3" t="n">
        <v>46119</v>
      </c>
      <c r="F105" s="3" t="n">
        <v>46113</v>
      </c>
      <c r="G105" t="inlineStr">
        <is>
          <t>10:07:00</t>
        </is>
      </c>
      <c r="H105" t="n">
        <v>177486500</v>
      </c>
      <c r="I105" t="n">
        <v>152473800</v>
      </c>
      <c r="J105" t="n">
        <v>13150000</v>
      </c>
      <c r="K105" t="n">
        <v>38162700</v>
      </c>
      <c r="M105">
        <f>I105-(H105+J105-K105)- L105</f>
        <v/>
      </c>
      <c r="N105">
        <f>IF(M105=0,"Cuadrado",IF(M105&gt;0,"Faltante","Sobrante"))</f>
        <v/>
      </c>
      <c r="O105" t="inlineStr">
        <is>
          <t>Cajero cuadrado, sin observación por parte de la sucursal</t>
        </is>
      </c>
      <c r="P105" t="n">
        <v>53097567</v>
      </c>
      <c r="Q105" t="inlineStr">
        <is>
          <t>Inicio_cajero=5139 | fecha_arqueo=01/04/2026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  <row r="106">
      <c r="A106" t="n">
        <v>221</v>
      </c>
      <c r="B106" t="n">
        <v>5221</v>
      </c>
      <c r="D106" t="inlineStr">
        <is>
          <t>BELLTECH</t>
        </is>
      </c>
      <c r="E106" s="3" t="n">
        <v>46119</v>
      </c>
      <c r="F106" s="3" t="n">
        <v>46118</v>
      </c>
      <c r="G106" t="inlineStr">
        <is>
          <t>09:21:00</t>
        </is>
      </c>
      <c r="H106" t="n">
        <v>145076600</v>
      </c>
      <c r="I106" t="n">
        <v>137087600</v>
      </c>
      <c r="J106" t="n">
        <v>2460000</v>
      </c>
      <c r="K106" t="n">
        <v>10449000</v>
      </c>
      <c r="M106">
        <f>I106-(H106+J106-K106)- L106</f>
        <v/>
      </c>
      <c r="N106">
        <f>IF(M106=0,"Cuadrado",IF(M106&gt;0,"Faltante","Sobrante"))</f>
        <v/>
      </c>
      <c r="O106" t="inlineStr">
        <is>
          <t>Cajero cuadrado, sin observación por parte de la sucursal</t>
        </is>
      </c>
      <c r="P106" t="n">
        <v>1013643232</v>
      </c>
      <c r="Q106" t="inlineStr">
        <is>
          <t>Inicio_cajero=5221 | fecha_arqueo=06/04/2026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  <row r="107">
      <c r="A107" t="n">
        <v>273</v>
      </c>
      <c r="B107" t="n">
        <v>6906</v>
      </c>
      <c r="D107" t="inlineStr">
        <is>
          <t>BELLTECH</t>
        </is>
      </c>
      <c r="E107" s="3" t="n">
        <v>46119</v>
      </c>
      <c r="F107" s="3" t="n">
        <v>46118</v>
      </c>
      <c r="G107" t="inlineStr">
        <is>
          <t>15:07:00</t>
        </is>
      </c>
      <c r="H107" t="n">
        <v>153651600</v>
      </c>
      <c r="I107" t="n">
        <v>198228000</v>
      </c>
      <c r="J107" t="n">
        <v>51170000</v>
      </c>
      <c r="K107" t="n">
        <v>6593600</v>
      </c>
      <c r="M107">
        <f>I107-(H107+J107-K107)- L107</f>
        <v/>
      </c>
      <c r="N107">
        <f>IF(M107=0,"Cuadrado",IF(M107&gt;0,"Faltante","Sobrante"))</f>
        <v/>
      </c>
      <c r="O107" t="inlineStr">
        <is>
          <t>Cajero cuadrado, sin observación por parte de la sucursal</t>
        </is>
      </c>
      <c r="P107" t="n">
        <v>79641131</v>
      </c>
      <c r="Q107" t="inlineStr">
        <is>
          <t>Inicio_cajero=6906 | fecha_arqueo=06/04/2026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  <row r="108">
      <c r="A108" t="n">
        <v>185</v>
      </c>
      <c r="B108" t="n">
        <v>2208</v>
      </c>
      <c r="D108" t="inlineStr">
        <is>
          <t>DIEBOLD</t>
        </is>
      </c>
      <c r="E108" s="3" t="n">
        <v>46119</v>
      </c>
      <c r="F108" s="3" t="n">
        <v>46118</v>
      </c>
      <c r="G108" t="inlineStr">
        <is>
          <t>16:28:00</t>
        </is>
      </c>
      <c r="H108" t="n">
        <v>107548950</v>
      </c>
      <c r="I108" t="n">
        <v>71444950</v>
      </c>
      <c r="J108" t="n">
        <v>23930000</v>
      </c>
      <c r="K108" t="n">
        <v>60034000</v>
      </c>
      <c r="M108">
        <f>I108-(H108+J108-K108)- L108</f>
        <v/>
      </c>
      <c r="N108">
        <f>IF(M108=0,"Cuadrado",IF(M108&gt;0,"Faltante","Sobrante"))</f>
        <v/>
      </c>
      <c r="O108" t="inlineStr">
        <is>
          <t>Cajero cuadrado, sin observación por parte de la sucursal</t>
        </is>
      </c>
      <c r="P108" t="n">
        <v>66784636</v>
      </c>
      <c r="Q108" t="inlineStr">
        <is>
          <t>Inicio_cajero=2208 | fecha_arqueo=06/04/2026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  <row r="109">
      <c r="A109" t="n">
        <v>61</v>
      </c>
      <c r="B109" t="n">
        <v>788</v>
      </c>
      <c r="D109" t="inlineStr">
        <is>
          <t>BELLTECH</t>
        </is>
      </c>
      <c r="E109" s="3" t="n">
        <v>46120</v>
      </c>
      <c r="F109" s="3" t="n">
        <v>46119</v>
      </c>
      <c r="G109" t="inlineStr">
        <is>
          <t>11:34:00</t>
        </is>
      </c>
      <c r="H109" t="n">
        <v>199927700</v>
      </c>
      <c r="I109" t="n">
        <v>193348100</v>
      </c>
      <c r="J109" t="n">
        <v>3580000</v>
      </c>
      <c r="K109" t="n">
        <v>2277150</v>
      </c>
      <c r="L109">
        <f>0</f>
        <v/>
      </c>
      <c r="M109">
        <f>I109-(H109+J109-K109)- L109</f>
        <v/>
      </c>
      <c r="N109">
        <f>IF(M109=0,"Cuadrado",IF(M109&gt;0,"Faltante","Sobrante"))</f>
        <v/>
      </c>
      <c r="O109" t="inlineStr">
        <is>
          <t>La diferencia es contabilizada por la Gerencia De Autoservicios y Efectivo de manera centralizada a la cuenta de sobrantes 279510020 el 08/04/2026</t>
        </is>
      </c>
      <c r="P109" t="n">
        <v>16497924</v>
      </c>
      <c r="Q109" t="inlineStr">
        <is>
          <t>Inicio_cajero=788 | fecha_arqueo=07/04/2026 | d0(Saldo-(Efectivo+Dispensado-Recibido))=$-7.882.450 | Tras_770500 movs=0 | remanente_770500(aplicado_con_signo_inv_BD)=$0 | diferencia_d0_menos_remanente=$-7.882.450 | 810291 no_aplica_por_signo | diferencia=$-7.882.450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10">
      <c r="A110" t="n">
        <v>692</v>
      </c>
      <c r="B110" t="n">
        <v>1515</v>
      </c>
      <c r="D110" t="inlineStr">
        <is>
          <t>BELLTECH</t>
        </is>
      </c>
      <c r="E110" s="3" t="n">
        <v>46120</v>
      </c>
      <c r="F110" s="3" t="n">
        <v>46119</v>
      </c>
      <c r="G110" t="inlineStr">
        <is>
          <t>15:08:00</t>
        </is>
      </c>
      <c r="H110" t="n">
        <v>85472750</v>
      </c>
      <c r="I110" t="n">
        <v>50234400</v>
      </c>
      <c r="J110" t="n">
        <v>22100000</v>
      </c>
      <c r="K110" t="n">
        <v>38351100</v>
      </c>
      <c r="L110">
        <f>0</f>
        <v/>
      </c>
      <c r="M110">
        <f>I110-(H110+J110-K110)- L110</f>
        <v/>
      </c>
      <c r="N110">
        <f>IF(M110=0,"Cuadrado",IF(M110&gt;0,"Faltante","Sobrante"))</f>
        <v/>
      </c>
      <c r="O110" t="inlineStr">
        <is>
          <t>La diferencia es contabilizada por la Gerencia De Autoservicios y Efectivo de manera centralizada a la cuenta de sobrantes 279510020 el 08/04/2026</t>
        </is>
      </c>
      <c r="P110" t="n">
        <v>30840635</v>
      </c>
      <c r="Q110" t="inlineStr">
        <is>
          <t>Inicio_cajero=1515 | fecha_arqueo=07/04/2026 | d0(Saldo-(Efectivo+Dispensado-Recibido))=$-18.987.250 | Tras_770500 movs=0 | remanente_770500(aplicado_con_signo_inv_BD)=$0 | diferencia_d0_menos_remanente=$-18.987.250 | 810291 no_aplica_por_signo | diferencia=$-18.987.250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11">
      <c r="A111" t="n">
        <v>944</v>
      </c>
      <c r="B111" t="n">
        <v>2228</v>
      </c>
      <c r="D111" t="inlineStr">
        <is>
          <t>BELLTECH</t>
        </is>
      </c>
      <c r="E111" s="3" t="n">
        <v>46120</v>
      </c>
      <c r="F111" s="3" t="n">
        <v>46119</v>
      </c>
      <c r="G111" t="inlineStr">
        <is>
          <t>09:54:00</t>
        </is>
      </c>
      <c r="H111" t="n">
        <v>214413700</v>
      </c>
      <c r="I111" t="n">
        <v>202902200</v>
      </c>
      <c r="J111" t="n">
        <v>3780000</v>
      </c>
      <c r="K111" t="n">
        <v>8801800</v>
      </c>
      <c r="L111">
        <f>0</f>
        <v/>
      </c>
      <c r="M111">
        <f>I111-(H111+J111-K111)- L111</f>
        <v/>
      </c>
      <c r="N111">
        <f>IF(M111=0,"Cuadrado",IF(M111&gt;0,"Faltante","Sobrante"))</f>
        <v/>
      </c>
      <c r="O111" t="inlineStr">
        <is>
          <t>La diferencia es contabilizada por la Gerencia De Autoservicios y Efectivo de manera centralizada a la cuenta de sobrantes 279510020 el 08/04/2026</t>
        </is>
      </c>
      <c r="P111" t="n">
        <v>79644034</v>
      </c>
      <c r="Q111" t="inlineStr">
        <is>
          <t>Inicio_cajero=2228 | fecha_arqueo=07/04/2026 | d0(Saldo-(Efectivo+Dispensado-Recibido))=$-6.489.700 | Tras_770500 movs=0 | remanente_770500(aplicado_con_signo_inv_BD)=$0 | diferencia_d0_menos_remanente=$-6.489.700 | 810291 no_aplica_por_signo | diferencia=$-6.489.700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12">
      <c r="A112" t="n">
        <v>59</v>
      </c>
      <c r="B112" t="n">
        <v>5002</v>
      </c>
      <c r="D112" t="inlineStr">
        <is>
          <t>BELLTECH</t>
        </is>
      </c>
      <c r="E112" s="3" t="n">
        <v>46120</v>
      </c>
      <c r="F112" s="3" t="n">
        <v>46119</v>
      </c>
      <c r="G112" t="inlineStr">
        <is>
          <t>16:06:00</t>
        </is>
      </c>
      <c r="H112" t="n">
        <v>521118650</v>
      </c>
      <c r="I112" t="n">
        <v>462224650</v>
      </c>
      <c r="J112" t="n">
        <v>17540000</v>
      </c>
      <c r="K112" t="n">
        <v>74072000</v>
      </c>
      <c r="L112">
        <f>0</f>
        <v/>
      </c>
      <c r="M112">
        <f>I112-(H112+J112-K112)- L112</f>
        <v/>
      </c>
      <c r="N112">
        <f>IF(M112=0,"Cuadrado",IF(M112&gt;0,"Faltante","Sobrante"))</f>
        <v/>
      </c>
      <c r="O112" t="inlineStr">
        <is>
          <t>La diferencia es contabilizada por la Gerencia De Autoservicios y Efectivo de manera centralizada a la cuenta de sobrantes 279510020 el 08/04/2026</t>
        </is>
      </c>
      <c r="P112" t="n">
        <v>1060652821</v>
      </c>
      <c r="Q112" t="inlineStr">
        <is>
          <t>Inicio_cajero=5002 | fecha_arqueo=07/04/2026 | d0(Saldo-(Efectivo+Dispensado-Recibido))=$-2.362.000 | Tras_770500 movs=0 | remanente_770500(aplicado_con_signo_inv_BD)=$0 | diferencia_d0_menos_remanente=$-2.362.000 | 810291 no_aplica_por_signo | diferencia=$-2.362.000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13">
      <c r="A113" t="n">
        <v>882</v>
      </c>
      <c r="B113" t="n">
        <v>5020</v>
      </c>
      <c r="D113" t="inlineStr">
        <is>
          <t>BELLTECH</t>
        </is>
      </c>
      <c r="E113" s="3" t="n">
        <v>46120</v>
      </c>
      <c r="F113" s="3" t="n">
        <v>46119</v>
      </c>
      <c r="G113" t="inlineStr">
        <is>
          <t>10:06:00</t>
        </is>
      </c>
      <c r="H113" t="n">
        <v>106917600</v>
      </c>
      <c r="I113" t="n">
        <v>80572900</v>
      </c>
      <c r="J113" t="n">
        <v>23050000</v>
      </c>
      <c r="K113" t="n">
        <v>49392000</v>
      </c>
      <c r="L113">
        <f>0</f>
        <v/>
      </c>
      <c r="M113">
        <f>I113-(H113+J113-K113)- L113</f>
        <v/>
      </c>
      <c r="N113">
        <f>IF(M113=0,"Cuadrado",IF(M113&gt;0,"Faltante","Sobrante"))</f>
        <v/>
      </c>
      <c r="O113" t="inlineStr">
        <is>
          <t>La diferencia es contabilizada por la Gerencia De Autoservicios y Efectivo de manera centralizada a la cuenta de sobrantes 279510020 el 08/04/2026</t>
        </is>
      </c>
      <c r="P113" t="n">
        <v>33369487</v>
      </c>
      <c r="Q113" t="inlineStr">
        <is>
          <t>Inicio_cajero=5020 | fecha_arqueo=07/04/2026 | d0(Saldo-(Efectivo+Dispensado-Recibido))=$-2.700 | Tras_770500 movs=0 | remanente_770500(aplicado_con_signo_inv_BD)=$0 | diferencia_d0_menos_remanente=$-2.700 | 810291 no_aplica_por_cobertura | signo_objetivo=positivo | clvmov=003115785 | valor_bd=$20.000.000 | cobertura=740740.74% fuera de 80%-120% | diferencia_se_mantiene=$-2.700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14">
      <c r="A114" t="n">
        <v>32</v>
      </c>
      <c r="B114" t="n">
        <v>5027</v>
      </c>
      <c r="D114" t="inlineStr">
        <is>
          <t>BELLTECH</t>
        </is>
      </c>
      <c r="E114" s="3" t="n">
        <v>46120</v>
      </c>
      <c r="F114" s="3" t="n">
        <v>46119</v>
      </c>
      <c r="G114" t="inlineStr">
        <is>
          <t>10:11:00</t>
        </is>
      </c>
      <c r="H114" t="n">
        <v>285934550</v>
      </c>
      <c r="I114" t="n">
        <v>287681550</v>
      </c>
      <c r="J114" t="n">
        <v>4150000</v>
      </c>
      <c r="K114" t="n">
        <v>2113000</v>
      </c>
      <c r="L114">
        <f>-290000</f>
        <v/>
      </c>
      <c r="M114">
        <f>I114-(H114+J114-K114)- L114</f>
        <v/>
      </c>
      <c r="N114">
        <f>IF(M114=0,"Cuadrado",IF(M114&gt;0,"Faltante","Sobrante"))</f>
        <v/>
      </c>
      <c r="O114" t="inlineStr">
        <is>
          <t>Cajero cuadrado, sin observación por parte de la sucursal</t>
        </is>
      </c>
      <c r="P114" t="n">
        <v>79750158</v>
      </c>
      <c r="Q114" t="inlineStr">
        <is>
          <t>Inicio_cajero=5027 | fecha_arqueo=07/04/2026 | d0(Saldo-(Efectivo+Dispensado-Recibido))=$-290.000 | Tras_770500 movs=0 | remanente_770500(aplicado_con_signo_inv_BD)=$0 | diferencia_d0_menos_remanente=$-290.000 | 810291 aplica_por_signo=positivo | clvmov=003010874 | valor_bd=$290.000 | aporte_inv_signo=$-290.000 | cobertura=100.00% (rango 80%-120%) | diferencia_actual=$0 | RESULTADO cuadrado | |diferencia|&lt;=tolerancia($1) | remanente=$-290.000 | ARQUEOS_MF_post | faltante_residual_d0_menos_remanente_calc=$0 | umbral_grabar_faltantes=$20.000 | Escritura_Gestion_MF: texto cajero cuadrado</t>
        </is>
      </c>
    </row>
    <row r="115">
      <c r="A115" t="n">
        <v>167</v>
      </c>
      <c r="B115" t="n">
        <v>5030</v>
      </c>
      <c r="D115" t="inlineStr">
        <is>
          <t>BELLTECH</t>
        </is>
      </c>
      <c r="E115" s="3" t="n">
        <v>46120</v>
      </c>
      <c r="F115" s="3" t="n">
        <v>46119</v>
      </c>
      <c r="G115" t="inlineStr">
        <is>
          <t>12:02:00</t>
        </is>
      </c>
      <c r="H115" t="n">
        <v>242384550</v>
      </c>
      <c r="I115" t="n">
        <v>231334500</v>
      </c>
      <c r="J115" t="n">
        <v>5710000</v>
      </c>
      <c r="K115" t="n">
        <v>16760000</v>
      </c>
      <c r="L115">
        <f>0</f>
        <v/>
      </c>
      <c r="M115">
        <f>I115-(H115+J115-K115)- L115</f>
        <v/>
      </c>
      <c r="N115">
        <f>IF(M115=0,"Cuadrado",IF(M115&gt;0,"Faltante","Sobrante"))</f>
        <v/>
      </c>
      <c r="O115" t="inlineStr">
        <is>
          <t>La diferencia es contabilizada por la Gerencia De Autoservicios y Efectivo de manera centralizada a la cuenta de sobrantes 279510020 el 08/04/2026</t>
        </is>
      </c>
      <c r="P115" t="n">
        <v>80156680</v>
      </c>
      <c r="Q115" t="inlineStr">
        <is>
          <t>Inicio_cajero=5030 | fecha_arqueo=07/04/2026 | d0(Saldo-(Efectivo+Dispensado-Recibido))=$-50 | Tras_770500 movs=0 | remanente_770500(aplicado_con_signo_inv_BD)=$0 | diferencia_d0_menos_remanente=$-50 | 810291 no_aplica_por_cobertura | signo_objetivo=positivo | clvmov=003036226 | valor_bd=$159.400 | cobertura=318800.00% fuera de 80%-120% | diferencia_se_mantiene=$-50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16">
      <c r="A116" t="n">
        <v>867</v>
      </c>
      <c r="B116" t="n">
        <v>5043</v>
      </c>
      <c r="D116" t="inlineStr">
        <is>
          <t>BELLTECH</t>
        </is>
      </c>
      <c r="E116" s="3" t="n">
        <v>46120</v>
      </c>
      <c r="F116" s="3" t="n">
        <v>46119</v>
      </c>
      <c r="G116" t="inlineStr">
        <is>
          <t>10:21:00</t>
        </is>
      </c>
      <c r="H116" t="n">
        <v>335237850</v>
      </c>
      <c r="I116" t="n">
        <v>317932850</v>
      </c>
      <c r="J116" t="n">
        <v>8010000</v>
      </c>
      <c r="K116" t="n">
        <v>21300000</v>
      </c>
      <c r="L116">
        <f>0</f>
        <v/>
      </c>
      <c r="M116">
        <f>I116-(H116+J116-K116)- L116</f>
        <v/>
      </c>
      <c r="N116">
        <f>IF(M116=0,"Cuadrado",IF(M116&gt;0,"Faltante","Sobrante"))</f>
        <v/>
      </c>
      <c r="O116" t="inlineStr">
        <is>
          <t>La diferencia es contabilizada por la Gerencia De Autoservicios y Efectivo de manera centralizada a la cuenta de sobrantes 279510020 el 08/04/2026</t>
        </is>
      </c>
      <c r="P116" t="n">
        <v>9726594</v>
      </c>
      <c r="Q116" t="inlineStr">
        <is>
          <t>Inicio_cajero=5043 | fecha_arqueo=07/04/2026 | d0(Saldo-(Efectivo+Dispensado-Recibido))=$-4.015.000 | Tras_770500 movs=0 | remanente_770500(aplicado_con_signo_inv_BD)=$0 | diferencia_d0_menos_remanente=$-4.015.000 | 810291 no_aplica_por_signo | diferencia=$-4.015.000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17">
      <c r="A117" t="n">
        <v>623</v>
      </c>
      <c r="B117" t="n">
        <v>5047</v>
      </c>
      <c r="D117" t="inlineStr">
        <is>
          <t>BELLTECH</t>
        </is>
      </c>
      <c r="E117" s="3" t="n">
        <v>46120</v>
      </c>
      <c r="F117" s="3" t="n">
        <v>46119</v>
      </c>
      <c r="G117" t="inlineStr">
        <is>
          <t>08:46:00</t>
        </is>
      </c>
      <c r="H117" t="n">
        <v>311911100</v>
      </c>
      <c r="I117" t="n">
        <v>311026650</v>
      </c>
      <c r="J117" t="n">
        <v>20000</v>
      </c>
      <c r="K117" t="n">
        <v>1000000</v>
      </c>
      <c r="L117">
        <f>95550</f>
        <v/>
      </c>
      <c r="M117">
        <f>I117-(H117+J117-K117)- L117</f>
        <v/>
      </c>
      <c r="N117">
        <f>IF(M117=0,"Cuadrado",IF(M117&gt;0,"Faltante","Sobrante"))</f>
        <v/>
      </c>
      <c r="O117" t="inlineStr">
        <is>
          <t>El faltante $95.550 es cruzado con sobrante contabilizado el día 19/03/2026 ($95.550) el cual es reversado por la seccion el día 08/04/2026</t>
        </is>
      </c>
      <c r="P117" t="n">
        <v>1012348871</v>
      </c>
      <c r="Q117" t="inlineStr">
        <is>
          <t>Inicio_cajero=5047 | fecha_arqueo=07/04/2026 | d0(Saldo-(Efectivo+Dispensado-Recibido))=$95.550 | Tras_770500 movs=0 | remanente_770500(aplicado_con_signo_inv_BD)=$0 | diferencia_d0_menos_remanente=$95.550 | 810291 no_aplica_por_cobertura | signo_objetivo=negativo | clvmov=003087377 | valor_bd=$-126.215.000 | cobertura=132093.14% fuera de 80%-120% | diferencia_se_mantiene=$95.550 | Faltante restante=$95.550 &lt;= umbral_sobrantes($25.000.000) | buscar cruce en cuenta 279510020 (NUMDOC suma neta negativa = sobrante activo) | RESULTADO justificado_sobrantes | etapa2 posteriores + penúltimo día (cruce parcial) | ARQUEOS_MF_post | faltante_residual_d0_menos_remanente_calc=$0 | umbral_grabar_faltantes=$20.000 | Escritura_Gestion_MF: cruce faltante con sobrante(s) 279510020 (texto reverso sección)</t>
        </is>
      </c>
    </row>
    <row r="118">
      <c r="A118" t="n">
        <v>7</v>
      </c>
      <c r="B118" t="n">
        <v>5059</v>
      </c>
      <c r="D118" t="inlineStr">
        <is>
          <t>BELLTECH</t>
        </is>
      </c>
      <c r="E118" s="3" t="n">
        <v>46120</v>
      </c>
      <c r="F118" s="3" t="n">
        <v>46119</v>
      </c>
      <c r="G118" t="inlineStr">
        <is>
          <t>09:47:00</t>
        </is>
      </c>
      <c r="H118" t="n">
        <v>243715150</v>
      </c>
      <c r="I118" t="n">
        <v>233208100</v>
      </c>
      <c r="J118" t="n">
        <v>1600000</v>
      </c>
      <c r="K118" t="n">
        <v>10662850</v>
      </c>
      <c r="L118">
        <f>665000</f>
        <v/>
      </c>
      <c r="M118">
        <f>I118-(H118+J118-K118)- L118</f>
        <v/>
      </c>
      <c r="N118">
        <f>IF(M118=0,"Cuadrado",IF(M118&gt;0,"Faltante","Sobrante"))</f>
        <v/>
      </c>
      <c r="O118" t="inlineStr">
        <is>
          <t>La diferencia es contabilizada por la Gerencia De Autoservicios y Efectivo de manera centralizada a la cuenta de sobrantes 279510020 el 08/04/2026</t>
        </is>
      </c>
      <c r="P118" t="n">
        <v>1020460907</v>
      </c>
      <c r="Q118" t="inlineStr">
        <is>
          <t>Inicio_cajero=5059 | fecha_arqueo=07/04/2026 | d0(Saldo-(Efectivo+Dispensado-Recibido))=$-1.444.200 | Tras_770500 movs=1 | remanente_770500(aplicado_con_signo_inv_BD)=$665.000 | diferencia_d0_menos_remanente=$-2.109.200 | 810291 no_aplica_por_signo | diferencia=$-2.109.200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19">
      <c r="A119" t="n">
        <v>634</v>
      </c>
      <c r="B119" t="n">
        <v>5087</v>
      </c>
      <c r="D119" t="inlineStr">
        <is>
          <t>BELLTECH</t>
        </is>
      </c>
      <c r="E119" s="3" t="n">
        <v>46120</v>
      </c>
      <c r="F119" s="3" t="n">
        <v>46119</v>
      </c>
      <c r="G119" t="inlineStr">
        <is>
          <t>09:09:00</t>
        </is>
      </c>
      <c r="H119" t="n">
        <v>275742850</v>
      </c>
      <c r="I119" t="n">
        <v>252874650</v>
      </c>
      <c r="J119" t="n">
        <v>12410000</v>
      </c>
      <c r="K119" t="n">
        <v>37107000</v>
      </c>
      <c r="L119">
        <f>1828800</f>
        <v/>
      </c>
      <c r="M119">
        <f>I119-(H119+J119-K119)- L119</f>
        <v/>
      </c>
      <c r="N119">
        <f>IF(M119=0,"Cuadrado",IF(M119&gt;0,"Faltante","Sobrante"))</f>
        <v/>
      </c>
      <c r="O119" t="inlineStr">
        <is>
          <t>Cajero cuadrado, sin observación por parte de la sucursal</t>
        </is>
      </c>
      <c r="P119" t="n">
        <v>1032424944</v>
      </c>
      <c r="Q119" t="inlineStr">
        <is>
          <t>Inicio_cajero=5087 | fecha_arqueo=07/04/2026 | d0(Saldo-(Efectivo+Dispensado-Recibido))=$1.828.800 | Tras_770500 movs=1 | remanente_770500(aplicado_con_signo_inv_BD)=$1.828.800 | diferencia_d0_menos_remanente=$0 | RESULTADO cuadrado | |diferencia|&lt;=tolerancia($1) | remanente=$1.828.800 | ARQUEOS_MF_post | faltante_residual_d0_menos_remanente_calc=$0 | umbral_grabar_faltantes=$20.000 | Escritura_Gestion_MF: texto cajero cuadrado</t>
        </is>
      </c>
    </row>
    <row r="120">
      <c r="A120" t="n">
        <v>656</v>
      </c>
      <c r="B120" t="n">
        <v>5103</v>
      </c>
      <c r="D120" t="inlineStr">
        <is>
          <t>BELLTECH</t>
        </is>
      </c>
      <c r="E120" s="3" t="n">
        <v>46120</v>
      </c>
      <c r="F120" s="3" t="n">
        <v>46119</v>
      </c>
      <c r="G120" t="inlineStr">
        <is>
          <t>08:48:00</t>
        </is>
      </c>
      <c r="H120" t="n">
        <v>218287450</v>
      </c>
      <c r="I120" t="n">
        <v>214431350</v>
      </c>
      <c r="J120" t="n">
        <v>200000</v>
      </c>
      <c r="K120" t="n">
        <v>1900000</v>
      </c>
      <c r="L120">
        <f>-6100</f>
        <v/>
      </c>
      <c r="M120">
        <f>I120-(H120+J120-K120)- L120</f>
        <v/>
      </c>
      <c r="N120">
        <f>IF(M120=0,"Cuadrado",IF(M120&gt;0,"Faltante","Sobrante"))</f>
        <v/>
      </c>
      <c r="O120" t="inlineStr">
        <is>
          <t>La diferencia es contabilizada por la Gerencia De Autoservicios y Efectivo de manera centralizada a la cuenta de sobrantes 279510020 el 08/04/2026</t>
        </is>
      </c>
      <c r="P120" t="n">
        <v>1065627875</v>
      </c>
      <c r="Q120" t="inlineStr">
        <is>
          <t>Inicio_cajero=5103 | fecha_arqueo=07/04/2026 | d0(Saldo-(Efectivo+Dispensado-Recibido))=$-2.156.100 | Tras_770500 movs=1 | remanente_770500(aplicado_con_signo_inv_BD)=$-6.100 | diferencia_d0_menos_remanente=$-2.150.000 | 810291 no_aplica_por_signo | diferencia=$-2.150.000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21">
      <c r="A121" t="n">
        <v>937</v>
      </c>
      <c r="B121" t="n">
        <v>5115</v>
      </c>
      <c r="D121" t="inlineStr">
        <is>
          <t>BELLTECH</t>
        </is>
      </c>
      <c r="E121" s="3" t="n">
        <v>46120</v>
      </c>
      <c r="F121" s="3" t="n">
        <v>46119</v>
      </c>
      <c r="G121" t="inlineStr">
        <is>
          <t>08:42:00</t>
        </is>
      </c>
      <c r="H121" t="n">
        <v>144281950</v>
      </c>
      <c r="I121" t="n">
        <v>148481950</v>
      </c>
      <c r="J121" t="n">
        <v>1000000</v>
      </c>
      <c r="K121" t="n">
        <v>100000</v>
      </c>
      <c r="L121">
        <f>2910000+250000+140000</f>
        <v/>
      </c>
      <c r="M121">
        <f>I121-(H121+J121-K121)- L121</f>
        <v/>
      </c>
      <c r="N121">
        <f>IF(M121=0,"Cuadrado",IF(M121&gt;0,"Faltante","Sobrante"))</f>
        <v/>
      </c>
      <c r="O121" t="inlineStr">
        <is>
          <t>El faltante $140.000 es cruzado con sobrante contabilizado el día 01/04/2026 ($140.000) el cual es reversado por la seccion el día 08/04/2026</t>
        </is>
      </c>
      <c r="P121" t="n">
        <v>1061702364</v>
      </c>
      <c r="Q121" t="inlineStr">
        <is>
          <t>Inicio_cajero=5115 | fecha_arqueo=07/04/2026 | d0(Saldo-(Efectivo+Dispensado-Recibido))=$3.300.000 | Tras_770500 movs=2 | remanente_770500(aplicado_con_signo_inv_BD)=$3.160.000 | diferencia_d0_menos_remanente=$140.000 | 810291 no_aplica_por_cobertura | signo_objetivo=negativo | clvmov=003121267 | valor_bd=$-92.831.000 | cobertura=66307.86% fuera de 80%-120% | diferencia_se_mantiene=$140.000 | Faltante restante=$140.000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      </is>
      </c>
    </row>
    <row r="122">
      <c r="A122" t="n">
        <v>40</v>
      </c>
      <c r="B122" t="n">
        <v>5142</v>
      </c>
      <c r="D122" t="inlineStr">
        <is>
          <t>BELLTECH</t>
        </is>
      </c>
      <c r="E122" s="3" t="n">
        <v>46120</v>
      </c>
      <c r="F122" s="3" t="n">
        <v>46119</v>
      </c>
      <c r="G122" t="inlineStr">
        <is>
          <t>10:09:00</t>
        </is>
      </c>
      <c r="H122" t="n">
        <v>225578950</v>
      </c>
      <c r="I122" t="n">
        <v>229748950</v>
      </c>
      <c r="J122" t="n">
        <v>7670000</v>
      </c>
      <c r="K122" t="n">
        <v>3590000</v>
      </c>
      <c r="L122">
        <f>0</f>
        <v/>
      </c>
      <c r="M122">
        <f>I122-(H122+J122-K122)- L122</f>
        <v/>
      </c>
      <c r="N122">
        <f>IF(M122=0,"Cuadrado",IF(M122&gt;0,"Faltante","Sobrante"))</f>
        <v/>
      </c>
      <c r="O122" t="inlineStr">
        <is>
          <t>ACLARAR DIFERENCIA Y REPETIR EL ARQUEO</t>
        </is>
      </c>
      <c r="P122" t="n">
        <v>1022424390</v>
      </c>
      <c r="Q122" t="inlineStr">
        <is>
          <t>Inicio_cajero=5142 | fecha_arqueo=07/04/2026 | d0(Saldo-(Efectivo+Dispensado-Recibido))=$90.000 | Tras_770500 movs=0 | remanente_770500(aplicado_con_signo_inv_BD)=$0 | diferencia_d0_menos_remanente=$90.000 | 810291 no_aplica_por_cobertura | signo_objetivo=negativo | clvmov=003011675 | valor_bd=$-130.520.000 | cobertura=145022.22% fuera de 80%-120% | diferencia_se_mantiene=$90.000 | Faltante restante=$90.000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faltante_residual_d0_menos_remanente_calc=$90.000 | umbral_grabar_faltantes=$20.000 | Escritura_Gestion_MF: ACLARAR DIFERENCIA Y REPETIR EL ARQUEO</t>
        </is>
      </c>
    </row>
    <row r="123">
      <c r="A123" t="n">
        <v>812</v>
      </c>
      <c r="B123" t="n">
        <v>5144</v>
      </c>
      <c r="D123" t="inlineStr">
        <is>
          <t>BELLTECH</t>
        </is>
      </c>
      <c r="E123" s="3" t="n">
        <v>46120</v>
      </c>
      <c r="F123" s="3" t="n">
        <v>46119</v>
      </c>
      <c r="G123" t="inlineStr">
        <is>
          <t>11:40:00</t>
        </is>
      </c>
      <c r="H123" t="n">
        <v>451732700</v>
      </c>
      <c r="I123" t="n">
        <v>382142550</v>
      </c>
      <c r="J123" t="n">
        <v>19600000</v>
      </c>
      <c r="K123" t="n">
        <v>84088200</v>
      </c>
      <c r="L123">
        <f>-5089000</f>
        <v/>
      </c>
      <c r="M123">
        <f>I123-(H123+J123-K123)- L123</f>
        <v/>
      </c>
      <c r="N123">
        <f>IF(M123=0,"Cuadrado",IF(M123&gt;0,"Faltante","Sobrante"))</f>
        <v/>
      </c>
      <c r="O123" t="inlineStr">
        <is>
          <t>La diferencia es contabilizada por la Gerencia De Autoservicios y Efectivo de manera centralizada a la cuenta de sobrantes 279510020 el 08/04/2026</t>
        </is>
      </c>
      <c r="P123" t="n">
        <v>31711383</v>
      </c>
      <c r="Q123" t="inlineStr">
        <is>
          <t>Inicio_cajero=5144 | fecha_arqueo=07/04/2026 | d0(Saldo-(Efectivo+Dispensado-Recibido))=$-5.101.950 | Tras_770500 movs=1 | remanente_770500(aplicado_con_signo_inv_BD)=$-5.089.000 | diferencia_d0_menos_remanente=$-12.950 | 810291 no_aplica_por_signo | diferencia=$-12.950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24">
      <c r="A124" t="n">
        <v>358</v>
      </c>
      <c r="B124" t="n">
        <v>5149</v>
      </c>
      <c r="D124" t="inlineStr">
        <is>
          <t>BELLTECH</t>
        </is>
      </c>
      <c r="E124" s="3" t="n">
        <v>46120</v>
      </c>
      <c r="F124" s="3" t="n">
        <v>46119</v>
      </c>
      <c r="G124" t="inlineStr">
        <is>
          <t>11:39:00</t>
        </is>
      </c>
      <c r="H124" t="n">
        <v>188881250</v>
      </c>
      <c r="I124" t="n">
        <v>190260850</v>
      </c>
      <c r="J124" t="n">
        <v>41020000</v>
      </c>
      <c r="K124" t="n">
        <v>39640000</v>
      </c>
      <c r="L124">
        <f>-400</f>
        <v/>
      </c>
      <c r="M124">
        <f>I124-(H124+J124-K124)- L124</f>
        <v/>
      </c>
      <c r="N124">
        <f>IF(M124=0,"Cuadrado",IF(M124&gt;0,"Faltante","Sobrante"))</f>
        <v/>
      </c>
      <c r="O124" t="inlineStr">
        <is>
          <t>Cajero cuadrado, sin observación por parte de la sucursal</t>
        </is>
      </c>
      <c r="P124" t="n">
        <v>46456877</v>
      </c>
      <c r="Q124" t="inlineStr">
        <is>
          <t>Inicio_cajero=5149 | fecha_arqueo=07/04/2026 | d0(Saldo-(Efectivo+Dispensado-Recibido))=$-400 | Tras_770500 movs=1 | remanente_770500(aplicado_con_signo_inv_BD)=$-400 | diferencia_d0_menos_remanente=$0 | RESULTADO cuadrado | |diferencia|&lt;=tolerancia($1) | remanente=$-400 | ARQUEOS_MF_post | faltante_residual_d0_menos_remanente_calc=$0 | umbral_grabar_faltantes=$20.000 | Escritura_Gestion_MF: texto cajero cuadrado</t>
        </is>
      </c>
    </row>
    <row r="125">
      <c r="A125" t="n">
        <v>750</v>
      </c>
      <c r="B125" t="n">
        <v>5157</v>
      </c>
      <c r="D125" t="inlineStr">
        <is>
          <t>BELLTECH</t>
        </is>
      </c>
      <c r="E125" s="3" t="n">
        <v>46120</v>
      </c>
      <c r="F125" s="3" t="n">
        <v>46119</v>
      </c>
      <c r="G125" t="inlineStr">
        <is>
          <t>08:23:48</t>
        </is>
      </c>
      <c r="H125" t="n">
        <v>184033400</v>
      </c>
      <c r="I125" t="n">
        <v>177133400</v>
      </c>
      <c r="J125" t="n">
        <v>4180000</v>
      </c>
      <c r="K125" t="n">
        <v>9830000</v>
      </c>
      <c r="L125">
        <f>0</f>
        <v/>
      </c>
      <c r="M125">
        <f>I125-(H125+J125-K125)- L125</f>
        <v/>
      </c>
      <c r="N125">
        <f>IF(M125=0,"Cuadrado",IF(M125&gt;0,"Faltante","Sobrante"))</f>
        <v/>
      </c>
      <c r="O125" t="inlineStr">
        <is>
          <t>La diferencia es contabilizada por la Gerencia De Autoservicios y Efectivo de manera centralizada a la cuenta de sobrantes 279510020 el 08/04/2026</t>
        </is>
      </c>
      <c r="P125" t="n">
        <v>31529631</v>
      </c>
      <c r="Q125" t="inlineStr">
        <is>
          <t>Inicio_cajero=5157 | fecha_arqueo=07/04/2026 | d0(Saldo-(Efectivo+Dispensado-Recibido))=$-1.250.000 | Tras_770500 movs=0 | remanente_770500(aplicado_con_signo_inv_BD)=$0 | diferencia_d0_menos_remanente=$-1.250.000 | 810291 no_aplica_por_signo | diferencia=$-1.250.000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26">
      <c r="A126" t="n">
        <v>667</v>
      </c>
      <c r="B126" t="n">
        <v>5167</v>
      </c>
      <c r="D126" t="inlineStr">
        <is>
          <t>BELLTECH</t>
        </is>
      </c>
      <c r="E126" s="3" t="n">
        <v>46120</v>
      </c>
      <c r="F126" s="3" t="n">
        <v>46119</v>
      </c>
      <c r="G126" t="inlineStr">
        <is>
          <t>15:37:00</t>
        </is>
      </c>
      <c r="H126" t="n">
        <v>172955450</v>
      </c>
      <c r="I126" t="n">
        <v>219650450</v>
      </c>
      <c r="J126" t="n">
        <v>46910000</v>
      </c>
      <c r="K126" t="n">
        <v>0</v>
      </c>
      <c r="L126">
        <f>0</f>
        <v/>
      </c>
      <c r="M126">
        <f>I126-(H126+J126-K126)- L126</f>
        <v/>
      </c>
      <c r="N126">
        <f>IF(M126=0,"Cuadrado",IF(M126&gt;0,"Faltante","Sobrante"))</f>
        <v/>
      </c>
      <c r="O126" t="inlineStr">
        <is>
          <t>La diferencia es contabilizada por la Gerencia De Autoservicios y Efectivo de manera centralizada a la cuenta de sobrantes 279510020 el 08/04/2026</t>
        </is>
      </c>
      <c r="P126" t="n">
        <v>79953058</v>
      </c>
      <c r="Q126" t="inlineStr">
        <is>
          <t>Inicio_cajero=5167 | fecha_arqueo=07/04/2026 | d0(Saldo-(Efectivo+Dispensado-Recibido))=$-215.000 | Tras_770500 movs=0 | remanente_770500(aplicado_con_signo_inv_BD)=$0 | diferencia_d0_menos_remanente=$-215.000 | 810291 no_aplica_por_cobertura | signo_objetivo=positivo | clvmov=003090963 | valor_bd=$180.000.000 | cobertura=83720.93% fuera de 80%-120% | diferencia_se_mantiene=$-215.000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27">
      <c r="A127" t="n">
        <v>253</v>
      </c>
      <c r="B127" t="n">
        <v>5176</v>
      </c>
      <c r="D127" t="inlineStr">
        <is>
          <t>BELLTECH</t>
        </is>
      </c>
      <c r="E127" s="3" t="n">
        <v>46120</v>
      </c>
      <c r="F127" s="3" t="n">
        <v>46119</v>
      </c>
      <c r="G127" t="inlineStr">
        <is>
          <t>10:32:00</t>
        </is>
      </c>
      <c r="H127" t="n">
        <v>173614600</v>
      </c>
      <c r="I127" t="n">
        <v>171049600</v>
      </c>
      <c r="J127" t="n">
        <v>310000</v>
      </c>
      <c r="K127" t="n">
        <v>1150000</v>
      </c>
      <c r="L127">
        <f>385000</f>
        <v/>
      </c>
      <c r="M127">
        <f>I127-(H127+J127-K127)- L127</f>
        <v/>
      </c>
      <c r="N127">
        <f>IF(M127=0,"Cuadrado",IF(M127&gt;0,"Faltante","Sobrante"))</f>
        <v/>
      </c>
      <c r="O127" t="inlineStr">
        <is>
          <t>La diferencia es contabilizada por la Gerencia De Autoservicios y Efectivo de manera centralizada a la cuenta de sobrantes 279510020 el 08/04/2026</t>
        </is>
      </c>
      <c r="P127" t="n">
        <v>1017241432</v>
      </c>
      <c r="Q127" t="inlineStr">
        <is>
          <t>Inicio_cajero=5176 | fecha_arqueo=07/04/2026 | d0(Saldo-(Efectivo+Dispensado-Recibido))=$-1.725.000 | Tras_770500 movs=1 | remanente_770500(aplicado_con_signo_inv_BD)=$385.000 | diferencia_d0_menos_remanente=$-2.110.000 | 810291 no_aplica_por_signo | diferencia=$-2.110.000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28">
      <c r="A128" t="n">
        <v>756</v>
      </c>
      <c r="B128" t="n">
        <v>5183</v>
      </c>
      <c r="D128" t="inlineStr">
        <is>
          <t>BELLTECH</t>
        </is>
      </c>
      <c r="E128" s="3" t="n">
        <v>46120</v>
      </c>
      <c r="F128" s="3" t="n">
        <v>46119</v>
      </c>
      <c r="G128" t="inlineStr">
        <is>
          <t>10:53:00</t>
        </is>
      </c>
      <c r="H128" t="n">
        <v>212934900</v>
      </c>
      <c r="I128" t="n">
        <v>190933800</v>
      </c>
      <c r="J128" t="n">
        <v>22270000</v>
      </c>
      <c r="K128" t="n">
        <v>50890000</v>
      </c>
      <c r="L128">
        <f>1140000+2840000+902950+1340000</f>
        <v/>
      </c>
      <c r="M128">
        <f>I128-(H128+J128-K128)- L128</f>
        <v/>
      </c>
      <c r="N128">
        <f>IF(M128=0,"Cuadrado",IF(M128&gt;0,"Faltante","Sobrante"))</f>
        <v/>
      </c>
      <c r="O128" t="inlineStr">
        <is>
          <t>La diferencia es contabilizada por la Gerencia De Autoservicios y Efectivo de manera centralizada a la cuenta de faltantes 168710093 el 08/04/2026, esta diferencia ingresa a proceso de investigación en el área para identificar a que corresponde.</t>
        </is>
      </c>
      <c r="P128" t="n">
        <v>41963135</v>
      </c>
      <c r="Q128" t="inlineStr">
        <is>
          <t>Inicio_cajero=5183 | fecha_arqueo=07/04/2026 | d0(Saldo-(Efectivo+Dispensado-Recibido))=$6.618.900 | Tras_770500 movs=4 | remanente_770500(aplicado_con_signo_inv_BD)=$6.222.950 | diferencia_d0_menos_remanente=$395.950 | 810291 no_aplica_por_cobertura | signo_objetivo=negativo | clvmov=003101092 | valor_bd=$-187.676.000 | cobertura=47398.91% fuera de 80%-120% | diferencia_se_mantiene=$395.950 | Faltante restante=$395.950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faltante_residual_d0_menos_remanente_calc=$395.950 | umbral_grabar_faltantes=$20.000 | Escritura_Gestion_MF: 168710093 (2da repetición arqueo previo con repetir)</t>
        </is>
      </c>
    </row>
    <row r="129">
      <c r="A129" t="n">
        <v>716</v>
      </c>
      <c r="B129" t="n">
        <v>5192</v>
      </c>
      <c r="D129" t="inlineStr">
        <is>
          <t>BELLTECH</t>
        </is>
      </c>
      <c r="E129" s="3" t="n">
        <v>46120</v>
      </c>
      <c r="F129" s="3" t="n">
        <v>46119</v>
      </c>
      <c r="G129" t="inlineStr">
        <is>
          <t>09:11:00</t>
        </is>
      </c>
      <c r="H129" t="n">
        <v>213695550</v>
      </c>
      <c r="I129" t="n">
        <v>198283950</v>
      </c>
      <c r="J129" t="n">
        <v>13380000</v>
      </c>
      <c r="K129" t="n">
        <v>28740000</v>
      </c>
      <c r="L129">
        <f>0</f>
        <v/>
      </c>
      <c r="M129">
        <f>I129-(H129+J129-K129)- L129</f>
        <v/>
      </c>
      <c r="N129">
        <f>IF(M129=0,"Cuadrado",IF(M129&gt;0,"Faltante","Sobrante"))</f>
        <v/>
      </c>
      <c r="O129" t="inlineStr">
        <is>
          <t>La diferencia es contabilizada por la Gerencia De Autoservicios y Efectivo de manera centralizada a la cuenta de sobrantes 279510020 el 08/04/2026</t>
        </is>
      </c>
      <c r="P129" t="n">
        <v>16285775</v>
      </c>
      <c r="Q129" t="inlineStr">
        <is>
          <t>Inicio_cajero=5192 | fecha_arqueo=07/04/2026 | d0(Saldo-(Efectivo+Dispensado-Recibido))=$-51.600 | Tras_770500 movs=0 | remanente_770500(aplicado_con_signo_inv_BD)=$0 | diferencia_d0_menos_remanente=$-51.600 | 810291 no_aplica_por_cobertura | signo_objetivo=positivo | clvmov=003097369 | valor_bd=$10.000 | cobertura=19.38% fuera de 80%-120% | diferencia_se_mantiene=$-51.600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30">
      <c r="A130" t="n">
        <v>383</v>
      </c>
      <c r="B130" t="n">
        <v>5194</v>
      </c>
      <c r="D130" t="inlineStr">
        <is>
          <t>BELLTECH</t>
        </is>
      </c>
      <c r="E130" s="3" t="n">
        <v>46120</v>
      </c>
      <c r="F130" s="3" t="n">
        <v>46119</v>
      </c>
      <c r="G130" t="inlineStr">
        <is>
          <t>09:15:00</t>
        </is>
      </c>
      <c r="H130" t="n">
        <v>384286600</v>
      </c>
      <c r="I130" t="n">
        <v>371495600</v>
      </c>
      <c r="J130" t="n">
        <v>3000000</v>
      </c>
      <c r="K130" t="n">
        <v>11461000</v>
      </c>
      <c r="L130">
        <f>0</f>
        <v/>
      </c>
      <c r="M130">
        <f>I130-(H130+J130-K130)- L130</f>
        <v/>
      </c>
      <c r="N130">
        <f>IF(M130=0,"Cuadrado",IF(M130&gt;0,"Faltante","Sobrante"))</f>
        <v/>
      </c>
      <c r="O130" t="inlineStr">
        <is>
          <t>La diferencia es contabilizada por la Gerencia De Autoservicios y Efectivo de manera centralizada a la cuenta de sobrantes 279510020 el 08/04/2026</t>
        </is>
      </c>
      <c r="P130" t="n">
        <v>1073160492</v>
      </c>
      <c r="Q130" t="inlineStr">
        <is>
          <t>Inicio_cajero=5194 | fecha_arqueo=07/04/2026 | d0(Saldo-(Efectivo+Dispensado-Recibido))=$-4.330.000 | Tras_770500 movs=0 | remanente_770500(aplicado_con_signo_inv_BD)=$0 | diferencia_d0_menos_remanente=$-4.330.000 | 810291 no_aplica_por_cobertura | signo_objetivo=positivo | clvmov=003062717 | valor_bd=$20.000.000 | cobertura=461.89% fuera de 80%-120% | diferencia_se_mantiene=$-4.330.000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31">
      <c r="A131" t="n">
        <v>432</v>
      </c>
      <c r="B131" t="n">
        <v>5195</v>
      </c>
      <c r="D131" t="inlineStr">
        <is>
          <t>BELLTECH</t>
        </is>
      </c>
      <c r="E131" s="3" t="n">
        <v>46120</v>
      </c>
      <c r="F131" s="3" t="n">
        <v>46119</v>
      </c>
      <c r="G131" t="inlineStr">
        <is>
          <t>09:28:00</t>
        </is>
      </c>
      <c r="H131" t="n">
        <v>188705450</v>
      </c>
      <c r="I131" t="n">
        <v>184505450</v>
      </c>
      <c r="J131" t="n">
        <v>5070000</v>
      </c>
      <c r="K131" t="n">
        <v>9434000</v>
      </c>
      <c r="L131">
        <f>1164000</f>
        <v/>
      </c>
      <c r="M131">
        <f>I131-(H131+J131-K131)- L131</f>
        <v/>
      </c>
      <c r="N131">
        <f>IF(M131=0,"Cuadrado",IF(M131&gt;0,"Faltante","Sobrante"))</f>
        <v/>
      </c>
      <c r="O131" t="inlineStr">
        <is>
          <t>La diferencia es contabilizada por la Gerencia De Autoservicios y Efectivo de manera centralizada a la cuenta de sobrantes 279510020 el 08/04/2026</t>
        </is>
      </c>
      <c r="P131" t="n">
        <v>71935844</v>
      </c>
      <c r="Q131" t="inlineStr">
        <is>
          <t>Inicio_cajero=5195 | fecha_arqueo=07/04/2026 | d0(Saldo-(Efectivo+Dispensado-Recibido))=$164.000 | Tras_770500 movs=1 | remanente_770500(aplicado_con_signo_inv_BD)=$1.164.000 | diferencia_d0_menos_remanente=$-1.000.000 | 810291 no_aplica_por_signo | diferencia=$-1.000.000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32">
      <c r="A132" t="n">
        <v>793</v>
      </c>
      <c r="B132" t="n">
        <v>5216</v>
      </c>
      <c r="D132" t="inlineStr">
        <is>
          <t>BELLTECH</t>
        </is>
      </c>
      <c r="E132" s="3" t="n">
        <v>46120</v>
      </c>
      <c r="F132" s="3" t="n">
        <v>46119</v>
      </c>
      <c r="G132" t="inlineStr">
        <is>
          <t>14:18:00</t>
        </is>
      </c>
      <c r="H132" t="n">
        <v>229640400</v>
      </c>
      <c r="I132" t="n">
        <v>172229900</v>
      </c>
      <c r="J132" t="n">
        <v>34110000</v>
      </c>
      <c r="K132" t="n">
        <v>89770400</v>
      </c>
      <c r="L132">
        <f>0</f>
        <v/>
      </c>
      <c r="M132">
        <f>I132-(H132+J132-K132)- L132</f>
        <v/>
      </c>
      <c r="N132">
        <f>IF(M132=0,"Cuadrado",IF(M132&gt;0,"Faltante","Sobrante"))</f>
        <v/>
      </c>
      <c r="O132" t="inlineStr">
        <is>
          <t>La diferencia es contabilizada por la Gerencia De Autoservicios y Efectivo de manera centralizada a la cuenta de sobrantes 279510020 el 08/04/2026</t>
        </is>
      </c>
      <c r="P132" t="n">
        <v>80218400</v>
      </c>
      <c r="Q132" t="inlineStr">
        <is>
          <t>Inicio_cajero=5216 | fecha_arqueo=07/04/2026 | d0(Saldo-(Efectivo+Dispensado-Recibido))=$-1.750.100 | Tras_770500 movs=0 | remanente_770500(aplicado_con_signo_inv_BD)=$0 | diferencia_d0_menos_remanente=$-1.750.100 | 810291 no_aplica_por_signo | diferencia=$-1.750.100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33">
      <c r="A133" t="n">
        <v>941</v>
      </c>
      <c r="B133" t="n">
        <v>5220</v>
      </c>
      <c r="D133" t="inlineStr">
        <is>
          <t>BELLTECH</t>
        </is>
      </c>
      <c r="E133" s="3" t="n">
        <v>46120</v>
      </c>
      <c r="F133" s="3" t="n">
        <v>46119</v>
      </c>
      <c r="G133" t="inlineStr">
        <is>
          <t>08:57:00</t>
        </is>
      </c>
      <c r="H133" t="n">
        <v>52201700</v>
      </c>
      <c r="I133" t="n">
        <v>39456050</v>
      </c>
      <c r="J133" t="n">
        <v>500000</v>
      </c>
      <c r="K133" t="n">
        <v>11953000</v>
      </c>
      <c r="L133">
        <f>0</f>
        <v/>
      </c>
      <c r="M133">
        <f>I133-(H133+J133-K133)- L133</f>
        <v/>
      </c>
      <c r="N133">
        <f>IF(M133=0,"Cuadrado",IF(M133&gt;0,"Faltante","Sobrante"))</f>
        <v/>
      </c>
      <c r="O133" t="inlineStr">
        <is>
          <t>La diferencia es contabilizada por la Gerencia De Autoservicios y Efectivo de manera centralizada a la cuenta de sobrantes 279510020 el 08/04/2026</t>
        </is>
      </c>
      <c r="P133" t="n">
        <v>1075228904</v>
      </c>
      <c r="Q133" t="inlineStr">
        <is>
          <t>Inicio_cajero=5220 | fecha_arqueo=07/04/2026 | d0(Saldo-(Efectivo+Dispensado-Recibido))=$-1.292.650 | Tras_770500 movs=0 | remanente_770500(aplicado_con_signo_inv_BD)=$0 | diferencia_d0_menos_remanente=$-1.292.650 | 810291 no_aplica_por_cobertura | signo_objetivo=positivo | clvmov=003121403 | valor_bd=$2.250.000 | cobertura=174.06% fuera de 80%-120% | diferencia_se_mantiene=$-1.292.650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34">
      <c r="A134" t="n">
        <v>844</v>
      </c>
      <c r="B134" t="n">
        <v>6169</v>
      </c>
      <c r="D134" t="inlineStr">
        <is>
          <t>BELLTECH</t>
        </is>
      </c>
      <c r="E134" s="3" t="n">
        <v>46120</v>
      </c>
      <c r="F134" s="3" t="n">
        <v>46119</v>
      </c>
      <c r="G134" t="inlineStr">
        <is>
          <t>08:59:00</t>
        </is>
      </c>
      <c r="H134" t="n">
        <v>290712750</v>
      </c>
      <c r="I134" t="n">
        <v>294939750</v>
      </c>
      <c r="J134" t="n">
        <v>4760000</v>
      </c>
      <c r="K134" t="n">
        <v>0</v>
      </c>
      <c r="L134">
        <f>-1533000+27000+10000+963000</f>
        <v/>
      </c>
      <c r="M134">
        <f>I134-(H134+J134-K134)- L134</f>
        <v/>
      </c>
      <c r="N134">
        <f>IF(M134=0,"Cuadrado",IF(M134&gt;0,"Faltante","Sobrante"))</f>
        <v/>
      </c>
      <c r="O134" t="inlineStr">
        <is>
          <t>El faltante $1.000.000 es cruzado con sobrante contabilizado el día 19/03/2026 ($27.000), el día 27/03/2026 ($10.000), el día 07/04/2026 ($963.000) el cual es reversado por la seccion el día 08/04/2026</t>
        </is>
      </c>
      <c r="P134" t="n">
        <v>86058432</v>
      </c>
      <c r="Q134" t="inlineStr">
        <is>
          <t>Inicio_cajero=6169 | fecha_arqueo=07/04/2026 | d0(Saldo-(Efectivo+Dispensado-Recibido))=$-533.000 | Tras_770500 movs=1 | remanente_770500(aplicado_con_signo_inv_BD)=$-1.533.000 | diferencia_d0_menos_remanente=$1.000.000 | 810291 no_aplica_por_cobertura | signo_objetivo=negativo | clvmov=003111216 | valor_bd=$-280.087.000 | cobertura=28008.70% fuera de 80%-120% | diferencia_se_mantiene=$1.000.000 | Faltante restante=$1.000.000 &lt;= umbral_sobrantes($25.000.000) | buscar cruce en cuenta 279510020 (NUMDOC suma neta negativa = sobrante activo) | RESULTADO justificado_sobrantes | etapa1 NUMDOC posteriores al penúltimo arqueo | cant_chunks=3 | ARQUEOS_MF_post | faltante_residual_d0_menos_remanente_calc=$0 | umbral_grabar_faltantes=$20.000 | Escritura_Gestion_MF: cruce faltante con sobrante(s) 279510020 (texto reverso sección)</t>
        </is>
      </c>
    </row>
    <row r="135">
      <c r="A135" t="n">
        <v>267</v>
      </c>
      <c r="B135" t="n">
        <v>6186</v>
      </c>
      <c r="D135" t="inlineStr">
        <is>
          <t>BELLTECH</t>
        </is>
      </c>
      <c r="E135" s="3" t="n">
        <v>46120</v>
      </c>
      <c r="F135" s="3" t="n">
        <v>46119</v>
      </c>
      <c r="G135" t="inlineStr">
        <is>
          <t>14:58:00</t>
        </is>
      </c>
      <c r="H135" t="n">
        <v>89626350</v>
      </c>
      <c r="I135" t="n">
        <v>252990850</v>
      </c>
      <c r="J135" t="n">
        <v>8020000</v>
      </c>
      <c r="K135" t="n">
        <v>67484500</v>
      </c>
      <c r="L135">
        <f>230439000</f>
        <v/>
      </c>
      <c r="M135">
        <f>I135-(H135+J135-K135)- L135</f>
        <v/>
      </c>
      <c r="N135">
        <f>IF(M135=0,"Cuadrado",IF(M135&gt;0,"Faltante","Sobrante"))</f>
        <v/>
      </c>
      <c r="O135" t="inlineStr">
        <is>
          <t>La diferencia es contabilizada por la Gerencia De Autoservicios y Efectivo de manera centralizada a la cuenta de sobrantes 279510020 el 08/04/2026</t>
        </is>
      </c>
      <c r="P135" t="n">
        <v>1017263917</v>
      </c>
      <c r="Q135" t="inlineStr">
        <is>
          <t>Inicio_cajero=6186 | fecha_arqueo=07/04/2026 | d0(Saldo-(Efectivo+Dispensado-Recibido))=$222.829.000 | Tras_770500 movs=0 | remanente_770500(aplicado_con_signo_inv_BD)=$0 | diferencia_d0_menos_remanente=$222.829.000 | 810291 aplica_por_signo=negativo | clvmov=003049603 | valor_bd=$-230.439.000 | aporte_inv_signo=$230.439.000 | cobertura=103.42% (rango 80%-120%) | diferencia_actual=$-7.610.000 | 810291 sin_mas_candidatos_signo=positivo | diferencia_actual=$-7.610.000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36">
      <c r="A136" t="n">
        <v>231</v>
      </c>
      <c r="B136" t="n">
        <v>6243</v>
      </c>
      <c r="D136" t="inlineStr">
        <is>
          <t>BELLTECH</t>
        </is>
      </c>
      <c r="E136" s="3" t="n">
        <v>46120</v>
      </c>
      <c r="F136" s="3" t="n">
        <v>46119</v>
      </c>
      <c r="G136" t="inlineStr">
        <is>
          <t>09:50:00</t>
        </is>
      </c>
      <c r="H136" t="n">
        <v>188364250</v>
      </c>
      <c r="I136" t="n">
        <v>205464250</v>
      </c>
      <c r="J136" t="n">
        <v>17510000</v>
      </c>
      <c r="K136" t="n">
        <v>4010000</v>
      </c>
      <c r="L136">
        <f>0</f>
        <v/>
      </c>
      <c r="M136">
        <f>I136-(H136+J136-K136)- L136</f>
        <v/>
      </c>
      <c r="N136">
        <f>IF(M136=0,"Cuadrado",IF(M136&gt;0,"Faltante","Sobrante"))</f>
        <v/>
      </c>
      <c r="O136" t="inlineStr">
        <is>
          <t>ACLARAR DIFERENCIA Y REPETIR EL ARQUEO</t>
        </is>
      </c>
      <c r="P136" t="n">
        <v>52979634</v>
      </c>
      <c r="Q136" t="inlineStr">
        <is>
          <t>Inicio_cajero=6243 | fecha_arqueo=07/04/2026 | d0(Saldo-(Efectivo+Dispensado-Recibido))=$3.600.000 | Tras_770500 movs=0 | remanente_770500(aplicado_con_signo_inv_BD)=$0 | diferencia_d0_menos_remanente=$3.600.000 | 810291 no_aplica_por_cobertura | signo_objetivo=negativo | clvmov=003043312 | valor_bd=$-43.308.000 | cobertura=1203.00% fuera de 80%-120% | diferencia_se_mantiene=$3.600.000 | Faltante restante=$3.600.000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faltante_residual_d0_menos_remanente_calc=$3.600.000 | umbral_grabar_faltantes=$20.000 | Escritura_Gestion_MF: ACLARAR DIFERENCIA Y REPETIR EL ARQUEO</t>
        </is>
      </c>
    </row>
    <row r="137">
      <c r="A137" t="n">
        <v>79</v>
      </c>
      <c r="B137" t="n">
        <v>6245</v>
      </c>
      <c r="D137" t="inlineStr">
        <is>
          <t>BELLTECH</t>
        </is>
      </c>
      <c r="E137" s="3" t="n">
        <v>46120</v>
      </c>
      <c r="F137" s="3" t="n">
        <v>46119</v>
      </c>
      <c r="G137" t="inlineStr">
        <is>
          <t>08:05:00</t>
        </is>
      </c>
      <c r="H137" t="n">
        <v>3106250</v>
      </c>
      <c r="I137" t="n">
        <v>275467750</v>
      </c>
      <c r="J137" t="n">
        <v>1200000</v>
      </c>
      <c r="K137" t="n">
        <v>13927000</v>
      </c>
      <c r="L137">
        <f>286557000</f>
        <v/>
      </c>
      <c r="M137">
        <f>I137-(H137+J137-K137)- L137</f>
        <v/>
      </c>
      <c r="N137">
        <f>IF(M137=0,"Cuadrado",IF(M137&gt;0,"Faltante","Sobrante"))</f>
        <v/>
      </c>
      <c r="O137" t="inlineStr">
        <is>
          <t>La diferencia es contabilizada por la Gerencia De Autoservicios y Efectivo de manera centralizada a la cuenta de sobrantes 279510020 el 08/04/2026</t>
        </is>
      </c>
      <c r="P137" t="n">
        <v>79772242</v>
      </c>
      <c r="Q137" t="inlineStr">
        <is>
          <t>Inicio_cajero=6245 | fecha_arqueo=07/04/2026 | d0(Saldo-(Efectivo+Dispensado-Recibido))=$285.088.500 | Tras_770500 movs=0 | remanente_770500(aplicado_con_signo_inv_BD)=$0 | diferencia_d0_menos_remanente=$285.088.500 | 810291 aplica_por_signo=negativo | clvmov=003021047 | valor_bd=$-286.557.000 | aporte_inv_signo=$286.557.000 | cobertura=100.52% (rango 80%-120%) | diferencia_actual=$-1.468.500 | 810291 sin_mas_candidatos_signo=positivo | diferencia_actual=$-1.468.500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38">
      <c r="A138" t="n">
        <v>741</v>
      </c>
      <c r="B138" t="n">
        <v>6843</v>
      </c>
      <c r="D138" t="inlineStr">
        <is>
          <t>DIEBOLD</t>
        </is>
      </c>
      <c r="E138" s="3" t="n">
        <v>46120</v>
      </c>
      <c r="F138" s="3" t="n">
        <v>46119</v>
      </c>
      <c r="G138" t="inlineStr">
        <is>
          <t>10:19:00</t>
        </is>
      </c>
      <c r="H138" t="n">
        <v>95787850</v>
      </c>
      <c r="I138" t="n">
        <v>91742850</v>
      </c>
      <c r="J138" t="n">
        <v>11690000</v>
      </c>
      <c r="K138" t="n">
        <v>10735000</v>
      </c>
      <c r="L138">
        <f>0</f>
        <v/>
      </c>
      <c r="M138">
        <f>I138-(H138+J138-K138)- L138</f>
        <v/>
      </c>
      <c r="N138">
        <f>IF(M138=0,"Cuadrado",IF(M138&gt;0,"Faltante","Sobrante"))</f>
        <v/>
      </c>
      <c r="O138" t="inlineStr">
        <is>
          <t>La diferencia es contabilizada por la Gerencia De Autoservicios y Efectivo de manera centralizada a la cuenta de sobrantes 279510020 el 08/04/2026</t>
        </is>
      </c>
      <c r="P138" t="n">
        <v>1130637714</v>
      </c>
      <c r="Q138" t="inlineStr">
        <is>
          <t>Inicio_cajero=6843 | fecha_arqueo=07/04/2026 | d0(Saldo-(Efectivo+Dispensado-Recibido))=$-5.000.000 | Tras_770500 movs=0 | remanente_770500(aplicado_con_signo_inv_BD)=$0 | diferencia_d0_menos_remanente=$-5.000.000 | 810291 no_aplica_por_signo | diferencia=$-5.000.000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39">
      <c r="A139" t="n">
        <v>623</v>
      </c>
      <c r="B139" t="n">
        <v>7375</v>
      </c>
      <c r="D139" t="inlineStr">
        <is>
          <t>BELLTECH</t>
        </is>
      </c>
      <c r="E139" s="3" t="n">
        <v>46120</v>
      </c>
      <c r="F139" s="3" t="n">
        <v>46119</v>
      </c>
      <c r="G139" t="inlineStr">
        <is>
          <t>09:22:00</t>
        </is>
      </c>
      <c r="H139" t="n">
        <v>252820300</v>
      </c>
      <c r="I139" t="n">
        <v>227661500</v>
      </c>
      <c r="J139" t="n">
        <v>4200000</v>
      </c>
      <c r="K139" t="n">
        <v>28118800</v>
      </c>
      <c r="L139">
        <f>0</f>
        <v/>
      </c>
      <c r="M139">
        <f>I139-(H139+J139-K139)- L139</f>
        <v/>
      </c>
      <c r="N139">
        <f>IF(M139=0,"Cuadrado",IF(M139&gt;0,"Faltante","Sobrante"))</f>
        <v/>
      </c>
      <c r="O139" t="inlineStr">
        <is>
          <t>La diferencia es contabilizada por la Gerencia De Autoservicios y Efectivo de manera centralizada a la cuenta de sobrantes 279510020 el 08/04/2026</t>
        </is>
      </c>
      <c r="P139" t="n">
        <v>1012348871</v>
      </c>
      <c r="Q139" t="inlineStr">
        <is>
          <t>Inicio_cajero=7375 | fecha_arqueo=07/04/2026 | d0(Saldo-(Efectivo+Dispensado-Recibido))=$-1.240.000 | Tras_770500 movs=0 | remanente_770500(aplicado_con_signo_inv_BD)=$0 | diferencia_d0_menos_remanente=$-1.240.000 | 810291 no_aplica_por_signo | diferencia=$-1.240.000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40">
      <c r="A140" t="n">
        <v>812</v>
      </c>
      <c r="B140" t="n">
        <v>7613</v>
      </c>
      <c r="D140" t="inlineStr">
        <is>
          <t>DIEBOLD</t>
        </is>
      </c>
      <c r="E140" s="3" t="n">
        <v>46120</v>
      </c>
      <c r="F140" s="3" t="n">
        <v>46119</v>
      </c>
      <c r="G140" t="inlineStr">
        <is>
          <t>10:27:00</t>
        </is>
      </c>
      <c r="H140" t="n">
        <v>134871100</v>
      </c>
      <c r="I140" t="n">
        <v>118819400</v>
      </c>
      <c r="J140" t="n">
        <v>15370000</v>
      </c>
      <c r="K140" t="n">
        <v>31783000</v>
      </c>
      <c r="L140">
        <f>0</f>
        <v/>
      </c>
      <c r="M140">
        <f>I140-(H140+J140-K140)- L140</f>
        <v/>
      </c>
      <c r="N140">
        <f>IF(M140=0,"Cuadrado",IF(M140&gt;0,"Faltante","Sobrante"))</f>
        <v/>
      </c>
      <c r="O140" t="inlineStr">
        <is>
          <t>ACLARAR DIFERENCIA Y REPETIR EL ARQUEO</t>
        </is>
      </c>
      <c r="P140" t="n">
        <v>31711383</v>
      </c>
      <c r="Q140" t="inlineStr">
        <is>
          <t>Inicio_cajero=7613 | fecha_arqueo=07/04/2026 | d0(Saldo-(Efectivo+Dispensado-Recibido))=$361.300 | Tras_770500 movs=0 | remanente_770500(aplicado_con_signo_inv_BD)=$0 | diferencia_d0_menos_remanente=$361.300 | 810291 no_aplica_por_cobertura | signo_objetivo=negativo | clvmov=003107210 | valor_bd=$-93.148.000 | cobertura=25781.35% fuera de 80%-120% | diferencia_se_mantiene=$361.300 | Faltante restante=$361.300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faltante_residual_d0_menos_remanente_calc=$361.300 | umbral_grabar_faltantes=$20.000 | Escritura_Gestion_MF: ACLARAR DIFERENCIA Y REPETIR EL ARQUEO</t>
        </is>
      </c>
    </row>
    <row r="141">
      <c r="A141" t="n">
        <v>812</v>
      </c>
      <c r="B141" t="n">
        <v>7614</v>
      </c>
      <c r="D141" t="inlineStr">
        <is>
          <t>DIEBOLD</t>
        </is>
      </c>
      <c r="E141" s="3" t="n">
        <v>46120</v>
      </c>
      <c r="F141" s="3" t="n">
        <v>46119</v>
      </c>
      <c r="G141" t="inlineStr">
        <is>
          <t>11:05:00</t>
        </is>
      </c>
      <c r="H141" t="n">
        <v>234932300</v>
      </c>
      <c r="I141" t="n">
        <v>207418800</v>
      </c>
      <c r="J141" t="n">
        <v>24030000</v>
      </c>
      <c r="K141" t="n">
        <v>52448500</v>
      </c>
      <c r="L141">
        <f>0</f>
        <v/>
      </c>
      <c r="M141">
        <f>I141-(H141+J141-K141)- L141</f>
        <v/>
      </c>
      <c r="N141">
        <f>IF(M141=0,"Cuadrado",IF(M141&gt;0,"Faltante","Sobrante"))</f>
        <v/>
      </c>
      <c r="O141" t="inlineStr">
        <is>
          <t>ACLARAR DIFERENCIA Y REPETIR EL ARQUEO</t>
        </is>
      </c>
      <c r="P141" t="n">
        <v>31711383</v>
      </c>
      <c r="Q141" t="inlineStr">
        <is>
          <t>Inicio_cajero=7614 | fecha_arqueo=07/04/2026 | d0(Saldo-(Efectivo+Dispensado-Recibido))=$905.000 | Tras_770500 movs=0 | remanente_770500(aplicado_con_signo_inv_BD)=$0 | diferencia_d0_menos_remanente=$905.000 | 810291 no_aplica_por_cobertura | signo_objetivo=negativo | clvmov=003107211 | valor_bd=$-188.703.000 | cobertura=20851.16% fuera de 80%-120% | diferencia_se_mantiene=$905.000 | Faltante restante=$905.000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faltante_residual_d0_menos_remanente_calc=$905.000 | umbral_grabar_faltantes=$20.000 | Escritura_Gestion_MF: ACLARAR DIFERENCIA Y REPETIR EL ARQUEO</t>
        </is>
      </c>
    </row>
    <row r="142">
      <c r="A142" t="n">
        <v>7</v>
      </c>
      <c r="B142" t="n">
        <v>7812</v>
      </c>
      <c r="D142" t="inlineStr">
        <is>
          <t>DIEBOLD</t>
        </is>
      </c>
      <c r="E142" s="3" t="n">
        <v>46120</v>
      </c>
      <c r="F142" s="3" t="n">
        <v>46119</v>
      </c>
      <c r="G142" t="inlineStr">
        <is>
          <t>10:25:00</t>
        </is>
      </c>
      <c r="H142" t="n">
        <v>101490300</v>
      </c>
      <c r="I142" t="n">
        <v>106920300</v>
      </c>
      <c r="J142" t="n">
        <v>4050000</v>
      </c>
      <c r="K142" t="n">
        <v>0</v>
      </c>
      <c r="L142">
        <f>0</f>
        <v/>
      </c>
      <c r="M142">
        <f>I142-(H142+J142-K142)- L142</f>
        <v/>
      </c>
      <c r="N142">
        <f>IF(M142=0,"Cuadrado",IF(M142&gt;0,"Faltante","Sobrante"))</f>
        <v/>
      </c>
      <c r="O142" t="inlineStr">
        <is>
          <t>ACLARAR DIFERENCIA Y REPETIR EL ARQUEO</t>
        </is>
      </c>
      <c r="P142" t="n">
        <v>1020460907</v>
      </c>
      <c r="Q142" t="inlineStr">
        <is>
          <t>Inicio_cajero=7812 | fecha_arqueo=07/04/2026 | d0(Saldo-(Efectivo+Dispensado-Recibido))=$1.380.000 | Tras_770500 movs=0 | remanente_770500(aplicado_con_signo_inv_BD)=$0 | diferencia_d0_menos_remanente=$1.380.000 | 810291 no_aplica_por_cobertura | signo_objetivo=negativo | clvmov=003002420 | valor_bd=$-75.800.000 | cobertura=5492.75% fuera de 80%-120% | diferencia_se_mantiene=$1.380.000 | Faltante restante=$1.380.000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faltante_residual_d0_menos_remanente_calc=$1.380.000 | umbral_grabar_faltantes=$20.000 | Escritura_Gestion_MF: ACLARAR DIFERENCIA Y REPETIR EL ARQUEO</t>
        </is>
      </c>
    </row>
    <row r="143">
      <c r="A143" t="n">
        <v>810</v>
      </c>
      <c r="B143" t="n">
        <v>8204</v>
      </c>
      <c r="D143" t="inlineStr">
        <is>
          <t>BELLTECH</t>
        </is>
      </c>
      <c r="E143" s="3" t="n">
        <v>46120</v>
      </c>
      <c r="F143" s="3" t="n">
        <v>46119</v>
      </c>
      <c r="G143" t="inlineStr">
        <is>
          <t>08:04:00</t>
        </is>
      </c>
      <c r="H143" t="n">
        <v>105195000</v>
      </c>
      <c r="I143" t="n">
        <v>105204800</v>
      </c>
      <c r="J143" t="n">
        <v>0</v>
      </c>
      <c r="K143" t="n">
        <v>0</v>
      </c>
      <c r="L143">
        <f>-200+10000</f>
        <v/>
      </c>
      <c r="M143">
        <f>I143-(H143+J143-K143)- L143</f>
        <v/>
      </c>
      <c r="N143">
        <f>IF(M143=0,"Cuadrado",IF(M143&gt;0,"Faltante","Sobrante"))</f>
        <v/>
      </c>
      <c r="O143" t="inlineStr">
        <is>
          <t>El faltante $10.000 es cruzado con sobrante contabilizado el día 17/03/2026 ($10.000) el cual es reversado por la seccion el día 08/04/2026</t>
        </is>
      </c>
      <c r="P143" t="n">
        <v>29682644</v>
      </c>
      <c r="Q143" t="inlineStr">
        <is>
          <t>Inicio_cajero=8204 | fecha_arqueo=07/04/2026 | d0(Saldo-(Efectivo+Dispensado-Recibido))=$9.800 | Tras_770500 movs=1 | remanente_770500(aplicado_con_signo_inv_BD)=$-200 | diferencia_d0_menos_remanente=$10.000 | 810291 no_aplica_por_cobertura | signo_objetivo=negativo | clvmov=003107004 | valor_bd=$-66.335.000 | cobertura=663350.00% fuera de 80%-120% | diferencia_se_mantiene=$10.000 | Faltante restante=$10.000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      </is>
      </c>
    </row>
    <row r="144">
      <c r="A144" t="n">
        <v>916</v>
      </c>
      <c r="B144" t="n">
        <v>8290</v>
      </c>
      <c r="D144" t="inlineStr">
        <is>
          <t>BELLTECH</t>
        </is>
      </c>
      <c r="E144" s="3" t="n">
        <v>46120</v>
      </c>
      <c r="F144" s="3" t="n">
        <v>46119</v>
      </c>
      <c r="G144" t="inlineStr">
        <is>
          <t>10:35:00</t>
        </is>
      </c>
      <c r="H144" t="n">
        <v>363152350</v>
      </c>
      <c r="I144" t="n">
        <v>436083500</v>
      </c>
      <c r="J144" t="n">
        <v>14650000</v>
      </c>
      <c r="K144" t="n">
        <v>11717900</v>
      </c>
      <c r="L144">
        <f>0</f>
        <v/>
      </c>
      <c r="M144">
        <f>I144-(H144+J144-K144)- L144</f>
        <v/>
      </c>
      <c r="N144">
        <f>IF(M144=0,"Cuadrado",IF(M144&gt;0,"Faltante","Sobrante"))</f>
        <v/>
      </c>
      <c r="O144" t="inlineStr">
        <is>
          <t>ACLARAR DIFERENCIA Y REPETIR EL ARQUEO</t>
        </is>
      </c>
      <c r="P144" t="n">
        <v>1082887437</v>
      </c>
      <c r="Q144" t="inlineStr">
        <is>
          <t>Inicio_cajero=8290 | fecha_arqueo=07/04/2026 | d0(Saldo-(Efectivo+Dispensado-Recibido))=$69.999.050 | Tras_770500 movs=0 | remanente_770500(aplicado_con_signo_inv_BD)=$0 | diferencia_d0_menos_remanente=$69.999.050 | 810291 no_aplica_por_cobertura | signo_objetivo=negativo | clvmov=003120602 | valor_bd=$-424.010.000 | cobertura=605.74% fuera de 80%-120% | diferencia_se_mantiene=$69.999.050 | Faltante $69.999.050 &gt; umbral_sobrantes($25.000.000) | no entra cruce por cuenta sobrantes en este bloque | RESULTADO gestión manual | faltante sin cerrar con 810291/sobrantes según reglas | ARQUEOS_MF_post | faltante_residual_d0_menos_remanente_calc=$69.999.050 | umbral_grabar_faltantes=$20.000 | Escritura_Gestion_MF: ACLARAR DIFERENCIA Y REPETIR EL ARQUEO</t>
        </is>
      </c>
    </row>
    <row r="145">
      <c r="A145" t="n">
        <v>915</v>
      </c>
      <c r="B145" t="n">
        <v>8313</v>
      </c>
      <c r="D145" t="inlineStr">
        <is>
          <t>BELLTECH</t>
        </is>
      </c>
      <c r="E145" s="3" t="n">
        <v>46120</v>
      </c>
      <c r="F145" s="3" t="n">
        <v>46119</v>
      </c>
      <c r="G145" t="inlineStr">
        <is>
          <t>09:21:00</t>
        </is>
      </c>
      <c r="H145" t="n">
        <v>330962700</v>
      </c>
      <c r="I145" t="n">
        <v>320614100</v>
      </c>
      <c r="J145" t="n">
        <v>4720000</v>
      </c>
      <c r="K145" t="n">
        <v>15055650</v>
      </c>
      <c r="L145">
        <f>0</f>
        <v/>
      </c>
      <c r="M145">
        <f>I145-(H145+J145-K145)- L145</f>
        <v/>
      </c>
      <c r="N145">
        <f>IF(M145=0,"Cuadrado",IF(M145&gt;0,"Faltante","Sobrante"))</f>
        <v/>
      </c>
      <c r="O145" t="inlineStr">
        <is>
          <t>La diferencia es contabilizada por la Gerencia De Autoservicios y Efectivo de manera centralizada a la cuenta de sobrantes 279510020 el 08/04/2026</t>
        </is>
      </c>
      <c r="P145" t="n">
        <v>52279779</v>
      </c>
      <c r="Q145" t="inlineStr">
        <is>
          <t>Inicio_cajero=8313 | fecha_arqueo=07/04/2026 | d0(Saldo-(Efectivo+Dispensado-Recibido))=$-12.950 | Tras_770500 movs=0 | remanente_770500(aplicado_con_signo_inv_BD)=$0 | diferencia_d0_menos_remanente=$-12.950 | 810291 no_aplica_por_cobertura | signo_objetivo=positivo | clvmov=003120537 | valor_bd=$150.000 | cobertura=1158.30% fuera de 80%-120% | diferencia_se_mantiene=$-12.950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46">
      <c r="A146" t="n">
        <v>915</v>
      </c>
      <c r="B146" t="n">
        <v>8314</v>
      </c>
      <c r="D146" t="inlineStr">
        <is>
          <t>BELLTECH</t>
        </is>
      </c>
      <c r="E146" s="3" t="n">
        <v>46120</v>
      </c>
      <c r="F146" s="3" t="n">
        <v>46119</v>
      </c>
      <c r="G146" t="inlineStr">
        <is>
          <t>10:29:00</t>
        </is>
      </c>
      <c r="H146" t="n">
        <v>222891600</v>
      </c>
      <c r="I146" t="n">
        <v>224810200</v>
      </c>
      <c r="J146" t="n">
        <v>16710000</v>
      </c>
      <c r="K146" t="n">
        <v>7389100</v>
      </c>
      <c r="L146">
        <f>0</f>
        <v/>
      </c>
      <c r="M146">
        <f>I146-(H146+J146-K146)- L146</f>
        <v/>
      </c>
      <c r="N146">
        <f>IF(M146=0,"Cuadrado",IF(M146&gt;0,"Faltante","Sobrante"))</f>
        <v/>
      </c>
      <c r="O146" t="inlineStr">
        <is>
          <t>La diferencia es contabilizada por la Gerencia De Autoservicios y Efectivo de manera centralizada a la cuenta de sobrantes 279510020 el 08/04/2026</t>
        </is>
      </c>
      <c r="P146" t="n">
        <v>52279779</v>
      </c>
      <c r="Q146" t="inlineStr">
        <is>
          <t>Inicio_cajero=8314 | fecha_arqueo=07/04/2026 | d0(Saldo-(Efectivo+Dispensado-Recibido))=$-7.402.300 | Tras_770500 movs=0 | remanente_770500(aplicado_con_signo_inv_BD)=$0 | diferencia_d0_menos_remanente=$-7.402.300 | 810291 no_aplica_por_signo | diferencia=$-7.402.300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47">
      <c r="A147" t="n">
        <v>944</v>
      </c>
      <c r="B147" t="n">
        <v>8353</v>
      </c>
      <c r="D147" t="inlineStr">
        <is>
          <t>BELLTECH</t>
        </is>
      </c>
      <c r="E147" s="3" t="n">
        <v>46120</v>
      </c>
      <c r="F147" s="3" t="n">
        <v>46119</v>
      </c>
      <c r="G147" t="inlineStr">
        <is>
          <t>10:38:00</t>
        </is>
      </c>
      <c r="H147" t="n">
        <v>254652450</v>
      </c>
      <c r="I147" t="n">
        <v>241713200</v>
      </c>
      <c r="J147" t="n">
        <v>5890000</v>
      </c>
      <c r="K147" t="n">
        <v>18801200</v>
      </c>
      <c r="L147">
        <f>0</f>
        <v/>
      </c>
      <c r="M147">
        <f>I147-(H147+J147-K147)- L147</f>
        <v/>
      </c>
      <c r="N147">
        <f>IF(M147=0,"Cuadrado",IF(M147&gt;0,"Faltante","Sobrante"))</f>
        <v/>
      </c>
      <c r="O147" t="inlineStr">
        <is>
          <t>La diferencia es contabilizada por la Gerencia De Autoservicios y Efectivo de manera centralizada a la cuenta de sobrantes 279510020 el 08/04/2026</t>
        </is>
      </c>
      <c r="P147" t="n">
        <v>79644034</v>
      </c>
      <c r="Q147" t="inlineStr">
        <is>
          <t>Inicio_cajero=8353 | fecha_arqueo=07/04/2026 | d0(Saldo-(Efectivo+Dispensado-Recibido))=$-28.050 | Tras_770500 movs=0 | remanente_770500(aplicado_con_signo_inv_BD)=$0 | diferencia_d0_menos_remanente=$-28.050 | 810291 no_aplica_por_signo | diferencia=$-28.050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48">
      <c r="A148" t="n">
        <v>944</v>
      </c>
      <c r="B148" t="n">
        <v>8354</v>
      </c>
      <c r="D148" t="inlineStr">
        <is>
          <t>BELLTECH</t>
        </is>
      </c>
      <c r="E148" s="3" t="n">
        <v>46120</v>
      </c>
      <c r="F148" s="3" t="n">
        <v>46119</v>
      </c>
      <c r="G148" t="inlineStr">
        <is>
          <t>11:18:00</t>
        </is>
      </c>
      <c r="H148" t="n">
        <v>272454450</v>
      </c>
      <c r="I148" t="n">
        <v>232342150</v>
      </c>
      <c r="J148" t="n">
        <v>15980000</v>
      </c>
      <c r="K148" t="n">
        <v>56137300</v>
      </c>
      <c r="L148">
        <f>0</f>
        <v/>
      </c>
      <c r="M148">
        <f>I148-(H148+J148-K148)- L148</f>
        <v/>
      </c>
      <c r="N148">
        <f>IF(M148=0,"Cuadrado",IF(M148&gt;0,"Faltante","Sobrante"))</f>
        <v/>
      </c>
      <c r="O148" t="inlineStr">
        <is>
          <t>ACLARAR DIFERENCIA Y REPETIR EL ARQUEO</t>
        </is>
      </c>
      <c r="P148" t="n">
        <v>79644034</v>
      </c>
      <c r="Q148" t="inlineStr">
        <is>
          <t>Inicio_cajero=8354 | fecha_arqueo=07/04/2026 | d0(Saldo-(Efectivo+Dispensado-Recibido))=$45.000 | Tras_770500 movs=0 | remanente_770500(aplicado_con_signo_inv_BD)=$0 | diferencia_d0_menos_remanente=$45.000 | 810291 no_aplica_por_cobertura | signo_objetivo=negativo | clvmov=003121948 | valor_bd=$-249.132.000 | cobertura=553626.67% fuera de 80%-120% | diferencia_se_mantiene=$45.000 | Faltante restante=$45.000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faltante_residual_d0_menos_remanente_calc=$45.000 | umbral_grabar_faltantes=$20.000 | Escritura_Gestion_MF: ACLARAR DIFERENCIA Y REPETIR EL ARQUEO</t>
        </is>
      </c>
    </row>
    <row r="149">
      <c r="A149" t="n">
        <v>495</v>
      </c>
      <c r="B149" t="n">
        <v>8482</v>
      </c>
      <c r="D149" t="inlineStr">
        <is>
          <t>BELLTECH</t>
        </is>
      </c>
      <c r="E149" s="3" t="n">
        <v>46120</v>
      </c>
      <c r="F149" s="3" t="n">
        <v>46119</v>
      </c>
      <c r="G149" t="inlineStr">
        <is>
          <t>11:13:00</t>
        </is>
      </c>
      <c r="H149" t="n">
        <v>102247950</v>
      </c>
      <c r="I149" t="n">
        <v>94360150</v>
      </c>
      <c r="J149" t="n">
        <v>14790000</v>
      </c>
      <c r="K149" t="n">
        <v>24387800</v>
      </c>
      <c r="L149">
        <f>0</f>
        <v/>
      </c>
      <c r="M149">
        <f>I149-(H149+J149-K149)- L149</f>
        <v/>
      </c>
      <c r="N149">
        <f>IF(M149=0,"Cuadrado",IF(M149&gt;0,"Faltante","Sobrante"))</f>
        <v/>
      </c>
      <c r="O149" t="inlineStr">
        <is>
          <t>ACLARAR DIFERENCIA Y REPETIR EL ARQUEO</t>
        </is>
      </c>
      <c r="P149" t="n">
        <v>1052081923</v>
      </c>
      <c r="Q149" t="inlineStr">
        <is>
          <t>Inicio_cajero=8482 | fecha_arqueo=07/04/2026 | d0(Saldo-(Efectivo+Dispensado-Recibido))=$1.710.000 | Tras_770500 movs=0 | remanente_770500(aplicado_con_signo_inv_BD)=$0 | diferencia_d0_menos_remanente=$1.710.000 | 810291 no_aplica_por_cobertura | signo_objetivo=negativo | clvmov=003073949 | valor_bd=$-58.234.000 | cobertura=3405.50% fuera de 80%-120% | diferencia_se_mantiene=$1.710.000 | Faltante restante=$1.710.000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faltante_residual_d0_menos_remanente_calc=$1.710.000 | umbral_grabar_faltantes=$20.000 | Escritura_Gestion_MF: ACLARAR DIFERENCIA Y REPETIR EL ARQUEO</t>
        </is>
      </c>
    </row>
    <row r="150">
      <c r="A150" t="n">
        <v>728</v>
      </c>
      <c r="B150" t="n">
        <v>8587</v>
      </c>
      <c r="D150" t="inlineStr">
        <is>
          <t>BELLTECH</t>
        </is>
      </c>
      <c r="E150" s="3" t="n">
        <v>46120</v>
      </c>
      <c r="F150" s="3" t="n">
        <v>46119</v>
      </c>
      <c r="G150" t="inlineStr">
        <is>
          <t>16:04:00</t>
        </is>
      </c>
      <c r="H150" t="n">
        <v>186040100</v>
      </c>
      <c r="I150" t="n">
        <v>234850100</v>
      </c>
      <c r="J150" t="n">
        <v>48830000</v>
      </c>
      <c r="K150" t="n">
        <v>0</v>
      </c>
      <c r="L150">
        <f>0</f>
        <v/>
      </c>
      <c r="M150">
        <f>I150-(H150+J150-K150)- L150</f>
        <v/>
      </c>
      <c r="N150">
        <f>IF(M150=0,"Cuadrado",IF(M150&gt;0,"Faltante","Sobrante"))</f>
        <v/>
      </c>
      <c r="O150" t="inlineStr">
        <is>
          <t>La diferencia es contabilizada por la Gerencia De Autoservicios y Efectivo de manera centralizada a la cuenta de sobrantes 279510020 el 08/04/2026</t>
        </is>
      </c>
      <c r="P150" t="n">
        <v>1112783690</v>
      </c>
      <c r="Q150" t="inlineStr">
        <is>
          <t>Inicio_cajero=8587 | fecha_arqueo=07/04/2026 | d0(Saldo-(Efectivo+Dispensado-Recibido))=$-20.000 | Tras_770500 movs=0 | remanente_770500(aplicado_con_signo_inv_BD)=$0 | diferencia_d0_menos_remanente=$-20.000 | 810291 no_aplica_por_cobertura | signo_objetivo=positivo | clvmov=003098541 | valor_bd=$45.000.000 | cobertura=225000.00% fuera de 80%-120% | diferencia_se_mantiene=$-20.000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51">
      <c r="A151" t="n">
        <v>866</v>
      </c>
      <c r="B151" t="n">
        <v>8662</v>
      </c>
      <c r="D151" t="inlineStr">
        <is>
          <t>BELLTECH</t>
        </is>
      </c>
      <c r="E151" s="3" t="n">
        <v>46120</v>
      </c>
      <c r="F151" s="3" t="n">
        <v>46119</v>
      </c>
      <c r="G151" t="inlineStr">
        <is>
          <t>08:33:00</t>
        </is>
      </c>
      <c r="H151" t="n">
        <v>190343200</v>
      </c>
      <c r="I151" t="n">
        <v>199373250</v>
      </c>
      <c r="J151" t="n">
        <v>11880000</v>
      </c>
      <c r="K151" t="n">
        <v>3000000</v>
      </c>
      <c r="L151">
        <f>150000</f>
        <v/>
      </c>
      <c r="M151">
        <f>I151-(H151+J151-K151)- L151</f>
        <v/>
      </c>
      <c r="N151">
        <f>IF(M151=0,"Cuadrado",IF(M151&gt;0,"Faltante","Sobrante"))</f>
        <v/>
      </c>
      <c r="O151" t="inlineStr">
        <is>
          <t>La diferencia es contabilizada por la Gerencia De Autoservicios y Efectivo de manera centralizada a la cuenta de faltantes 168710093 el 08/04/2026, esta diferencia ingresa a proceso de investigación en el área para identificar a que corresponde.</t>
        </is>
      </c>
      <c r="P151" t="n">
        <v>1113674245</v>
      </c>
      <c r="Q151" t="inlineStr">
        <is>
          <t>Inicio_cajero=8662 | fecha_arqueo=07/04/2026 | d0(Saldo-(Efectivo+Dispensado-Recibido))=$150.050 | Tras_770500 movs=1 | remanente_770500(aplicado_con_signo_inv_BD)=$150.000 | diferencia_d0_menos_remanente=$50 | 810291 no_aplica_por_cobertura | signo_objetivo=negativo | clvmov=003114032 | valor_bd=$-1.626.000 | cobertura=3252000.00% fuera de 80%-120% | diferencia_se_mantiene=$50 | Faltante restante=$50 &lt;= umbral_sobrantes($25.000.000) | buscar cruce en cuenta 279510020 (NUMDOC suma neta negativa = sobrante activo) | Cruce sobrantes | no alcanzó faltante exacto | queda aclarar_diferencia o gestión manual | RESULTADO pendiente aclarar/repetir o faltante pequeño 168710093 (según paso ARQUEOS MF) | ARQUEOS_MF_post | faltante_residual_d0_menos_remanente_calc=$50 | umbral_grabar_faltantes=$20.000 | Escritura_Gestion_MF: 168710093 por residual pequeño (sin cruce sobrantes)</t>
        </is>
      </c>
    </row>
    <row r="152">
      <c r="A152" t="n">
        <v>85</v>
      </c>
      <c r="B152" t="n">
        <v>8974</v>
      </c>
      <c r="D152" t="inlineStr">
        <is>
          <t>BELLTECH</t>
        </is>
      </c>
      <c r="E152" s="3" t="n">
        <v>46120</v>
      </c>
      <c r="F152" s="3" t="n">
        <v>46119</v>
      </c>
      <c r="G152" t="inlineStr">
        <is>
          <t>09:25:00</t>
        </is>
      </c>
      <c r="H152" t="n">
        <v>176618950</v>
      </c>
      <c r="I152" t="n">
        <v>166248950</v>
      </c>
      <c r="J152" t="n">
        <v>2700000</v>
      </c>
      <c r="K152" t="n">
        <v>8074700</v>
      </c>
      <c r="L152">
        <f>0</f>
        <v/>
      </c>
      <c r="M152">
        <f>I152-(H152+J152-K152)- L152</f>
        <v/>
      </c>
      <c r="N152">
        <f>IF(M152=0,"Cuadrado",IF(M152&gt;0,"Faltante","Sobrante"))</f>
        <v/>
      </c>
      <c r="O152" t="inlineStr">
        <is>
          <t>La diferencia es contabilizada por la Gerencia De Autoservicios y Efectivo de manera centralizada a la cuenta de sobrantes 279510020 el 08/04/2026</t>
        </is>
      </c>
      <c r="P152" t="n">
        <v>1047413788</v>
      </c>
      <c r="Q152" t="inlineStr">
        <is>
          <t>Inicio_cajero=8974 | fecha_arqueo=07/04/2026 | d0(Saldo-(Efectivo+Dispensado-Recibido))=$-4.995.300 | Tras_770500 movs=0 | remanente_770500(aplicado_con_signo_inv_BD)=$0 | diferencia_d0_menos_remanente=$-4.995.300 | 810291 no_aplica_por_cobertura | signo_objetivo=positivo | clvmov=003022444 | valor_bd=$500.000 | cobertura=10.01% fuera de 80%-120% | diferencia_se_mantiene=$-4.995.300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53">
      <c r="A153" t="n">
        <v>551</v>
      </c>
      <c r="B153" t="n">
        <v>9643</v>
      </c>
      <c r="D153" t="inlineStr">
        <is>
          <t>BELLTECH</t>
        </is>
      </c>
      <c r="E153" s="3" t="n">
        <v>46120</v>
      </c>
      <c r="F153" s="3" t="n">
        <v>46119</v>
      </c>
      <c r="G153" t="inlineStr">
        <is>
          <t>14:29:00</t>
        </is>
      </c>
      <c r="H153" t="n">
        <v>277451400</v>
      </c>
      <c r="I153" t="n">
        <v>280006400</v>
      </c>
      <c r="J153" t="n">
        <v>41930000</v>
      </c>
      <c r="K153" t="n">
        <v>39324650</v>
      </c>
      <c r="L153">
        <f>0</f>
        <v/>
      </c>
      <c r="M153">
        <f>I153-(H153+J153-K153)- L153</f>
        <v/>
      </c>
      <c r="N153">
        <f>IF(M153=0,"Cuadrado",IF(M153&gt;0,"Faltante","Sobrante"))</f>
        <v/>
      </c>
      <c r="O153" t="inlineStr">
        <is>
          <t>La diferencia es contabilizada por la Gerencia De Autoservicios y Efectivo de manera centralizada a la cuenta de sobrantes 279510020 el 08/04/2026</t>
        </is>
      </c>
      <c r="P153" t="n">
        <v>1152213498</v>
      </c>
      <c r="Q153" t="inlineStr">
        <is>
          <t>Inicio_cajero=9643 | fecha_arqueo=07/04/2026 | d0(Saldo-(Efectivo+Dispensado-Recibido))=$-50.350 | Tras_770500 movs=0 | remanente_770500(aplicado_con_signo_inv_BD)=$0 | diferencia_d0_menos_remanente=$-50.350 | 810291 no_aplica_por_cobertura | signo_objetivo=positivo | clvmov=003080608 | valor_bd=$10.000.000 | cobertura=19860.97% fuera de 80%-120% | diferencia_se_mantiene=$-50.350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54">
      <c r="A154" t="n">
        <v>551</v>
      </c>
      <c r="B154" t="n">
        <v>9644</v>
      </c>
      <c r="D154" t="inlineStr">
        <is>
          <t>BELLTECH</t>
        </is>
      </c>
      <c r="E154" s="3" t="n">
        <v>46120</v>
      </c>
      <c r="F154" s="3" t="n">
        <v>46119</v>
      </c>
      <c r="G154" t="inlineStr">
        <is>
          <t>15:05:00</t>
        </is>
      </c>
      <c r="H154" t="n">
        <v>285127300</v>
      </c>
      <c r="I154" t="n">
        <v>263067700</v>
      </c>
      <c r="J154" t="n">
        <v>30060000</v>
      </c>
      <c r="K154" t="n">
        <v>52098250</v>
      </c>
      <c r="L154">
        <f>0</f>
        <v/>
      </c>
      <c r="M154">
        <f>I154-(H154+J154-K154)- L154</f>
        <v/>
      </c>
      <c r="N154">
        <f>IF(M154=0,"Cuadrado",IF(M154&gt;0,"Faltante","Sobrante"))</f>
        <v/>
      </c>
      <c r="O154" t="inlineStr">
        <is>
          <t>La diferencia es contabilizada por la Gerencia De Autoservicios y Efectivo de manera centralizada a la cuenta de sobrantes 279510020 el 08/04/2026</t>
        </is>
      </c>
      <c r="P154" t="n">
        <v>1152213498</v>
      </c>
      <c r="Q154" t="inlineStr">
        <is>
          <t>Inicio_cajero=9644 | fecha_arqueo=07/04/2026 | d0(Saldo-(Efectivo+Dispensado-Recibido))=$-21.350 | Tras_770500 movs=0 | remanente_770500(aplicado_con_signo_inv_BD)=$0 | diferencia_d0_menos_remanente=$-21.350 | 810291 no_aplica_por_cobertura | signo_objetivo=positivo | clvmov=003080609 | valor_bd=$8.000.000 | cobertura=37470.73% fuera de 80%-120% | diferencia_se_mantiene=$-21.350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55">
      <c r="A155" t="n">
        <v>849</v>
      </c>
      <c r="B155" t="n">
        <v>9724</v>
      </c>
      <c r="D155" t="inlineStr">
        <is>
          <t>BELLTECH</t>
        </is>
      </c>
      <c r="E155" s="3" t="n">
        <v>46120</v>
      </c>
      <c r="F155" s="3" t="n">
        <v>46119</v>
      </c>
      <c r="G155" t="inlineStr">
        <is>
          <t>08:41:00</t>
        </is>
      </c>
      <c r="H155" t="n">
        <v>135225100</v>
      </c>
      <c r="I155" t="n">
        <v>130245100</v>
      </c>
      <c r="J155" t="n">
        <v>0</v>
      </c>
      <c r="K155" t="n">
        <v>0</v>
      </c>
      <c r="L155">
        <f>0</f>
        <v/>
      </c>
      <c r="M155">
        <f>I155-(H155+J155-K155)- L155</f>
        <v/>
      </c>
      <c r="N155">
        <f>IF(M155=0,"Cuadrado",IF(M155&gt;0,"Faltante","Sobrante"))</f>
        <v/>
      </c>
      <c r="O155" t="inlineStr">
        <is>
          <t>La diferencia es contabilizada por la Gerencia De Autoservicios y Efectivo de manera centralizada a la cuenta de sobrantes 279510020 el 08/04/2026</t>
        </is>
      </c>
      <c r="P155" t="n">
        <v>86063461</v>
      </c>
      <c r="Q155" t="inlineStr">
        <is>
          <t>Inicio_cajero=9724 | fecha_arqueo=07/04/2026 | d0(Saldo-(Efectivo+Dispensado-Recibido))=$-4.980.000 | Tras_770500 movs=0 | remanente_770500(aplicado_con_signo_inv_BD)=$0 | diferencia_d0_menos_remanente=$-4.980.000 | 810291 no_aplica_por_signo | diferencia=$-4.980.000 | signo_requerido=positivo | RESULTADO sobrante tras banco | diferencia&lt;=$0 -&gt; sugiere texto Gestión MF cuenta 279510020 (si celda vacía) | ARQUEOS_MF_post | faltante_residual_d0_menos_remanente_calc=$0 | umbral_grabar_faltantes=$20.000 | Escritura_Gestion_MF: contabilización sobrante cuenta 279510020 (tras 770500/810291 queda lado sobrante)</t>
        </is>
      </c>
    </row>
    <row r="156">
      <c r="A156" t="n">
        <v>191</v>
      </c>
      <c r="B156" t="n">
        <v>5112</v>
      </c>
      <c r="D156" t="inlineStr">
        <is>
          <t>BELLTECH</t>
        </is>
      </c>
      <c r="E156" s="3" t="n">
        <v>46120</v>
      </c>
      <c r="F156" s="3" t="n">
        <v>46119</v>
      </c>
      <c r="G156" t="inlineStr">
        <is>
          <t>15:04:00</t>
        </is>
      </c>
      <c r="H156" t="n">
        <v>273469200</v>
      </c>
      <c r="I156" t="n">
        <v>204534600</v>
      </c>
      <c r="J156" t="n">
        <v>23920000</v>
      </c>
      <c r="K156" t="n">
        <v>92854600</v>
      </c>
      <c r="L156">
        <f>0</f>
        <v/>
      </c>
      <c r="M156">
        <f>I156-(H156+J156-K156)- L156</f>
        <v/>
      </c>
      <c r="N156">
        <f>IF(M156=0,"Cuadrado",IF(M156&gt;0,"Faltante","Sobrante"))</f>
        <v/>
      </c>
      <c r="O156" t="inlineStr">
        <is>
          <t>Cajero cuadrado, sin observación por parte de la sucursal</t>
        </is>
      </c>
      <c r="P156" t="n">
        <v>42126559</v>
      </c>
      <c r="Q156" t="inlineStr">
        <is>
          <t>Inicio_cajero=5112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  <row r="157">
      <c r="A157" t="n">
        <v>258</v>
      </c>
      <c r="B157" t="n">
        <v>5155</v>
      </c>
      <c r="D157" t="inlineStr">
        <is>
          <t>BELLTECH</t>
        </is>
      </c>
      <c r="E157" s="3" t="n">
        <v>46120</v>
      </c>
      <c r="F157" s="3" t="n">
        <v>46119</v>
      </c>
      <c r="G157" t="inlineStr">
        <is>
          <t>14:17:00</t>
        </is>
      </c>
      <c r="H157" t="n">
        <v>197775650</v>
      </c>
      <c r="I157" t="n">
        <v>215231650</v>
      </c>
      <c r="J157" t="n">
        <v>72500000</v>
      </c>
      <c r="K157" t="n">
        <v>55044000</v>
      </c>
      <c r="L157">
        <f>0</f>
        <v/>
      </c>
      <c r="M157">
        <f>I157-(H157+J157-K157)- L157</f>
        <v/>
      </c>
      <c r="N157">
        <f>IF(M157=0,"Cuadrado",IF(M157&gt;0,"Faltante","Sobrante"))</f>
        <v/>
      </c>
      <c r="O157" t="inlineStr">
        <is>
          <t>Cajero cuadrado, sin observación por parte de la sucursal</t>
        </is>
      </c>
      <c r="P157" t="n">
        <v>1049625867</v>
      </c>
      <c r="Q157" t="inlineStr">
        <is>
          <t>Inicio_cajero=5155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  <row r="158">
      <c r="A158" t="n">
        <v>420</v>
      </c>
      <c r="B158" t="n">
        <v>5173</v>
      </c>
      <c r="D158" t="inlineStr">
        <is>
          <t>BELLTECH</t>
        </is>
      </c>
      <c r="E158" s="3" t="n">
        <v>46120</v>
      </c>
      <c r="F158" s="3" t="n">
        <v>46119</v>
      </c>
      <c r="G158" t="inlineStr">
        <is>
          <t>07:50:00</t>
        </is>
      </c>
      <c r="H158" t="n">
        <v>134409650</v>
      </c>
      <c r="I158" t="n">
        <v>135499650</v>
      </c>
      <c r="J158" t="n">
        <v>1090000</v>
      </c>
      <c r="K158" t="n">
        <v>0</v>
      </c>
      <c r="L158">
        <f>-100000+100000</f>
        <v/>
      </c>
      <c r="M158">
        <f>I158-(H158+J158-K158)- L158</f>
        <v/>
      </c>
      <c r="N158">
        <f>IF(M158=0,"Cuadrado",IF(M158&gt;0,"Faltante","Sobrante"))</f>
        <v/>
      </c>
      <c r="O158" t="inlineStr">
        <is>
          <t>El faltante $100.000 es cruzado con sobrante contabilizado el día 07/04/2026 ($100.000) el cual es reversado por la seccion el día 08/04/2026</t>
        </is>
      </c>
      <c r="P158" t="n">
        <v>1020436470</v>
      </c>
      <c r="Q158" t="inlineStr">
        <is>
          <t>Inicio_cajero=5173 | fecha_arqueo=07/04/2026 | d0(Saldo-(Efectivo+Dispensado-Recibido))=$0 | Tras_770500 movs=1 | remanente_770500(aplicado_con_signo_inv_BD)=$-100.000 | diferencia_d0_menos_remanente=$100.000 | 810291 no_aplica_por_cobertura | signo_objetivo=negativo | clvmov=003065522 | valor_bd=$-76.241.000 | cobertura=76241.00% fuera de 80%-120% | diferencia_se_mantiene=$100.000 | Faltante restante=$100.000 &lt;= umbral_sobrantes($25.000.000) | buscar cruce en cuenta 279510020 (NUMDOC suma neta negativa = sobrante activo) | RESULTADO justificado_sobrantes | etapa1 NUMDOC posteriores al penúltimo arqueo | cant_chunks=1 | ARQUEOS_MF_post | faltante_residual_d0_menos_remanente_calc=$0 | umbral_grabar_faltantes=$20.000 | Escritura_Gestion_MF: cruce faltante con sobrante(s) 279510020 (texto reverso sección)</t>
        </is>
      </c>
    </row>
    <row r="159">
      <c r="A159" t="n">
        <v>37</v>
      </c>
      <c r="B159" t="n">
        <v>6406</v>
      </c>
      <c r="D159" t="inlineStr">
        <is>
          <t>BELLTECH</t>
        </is>
      </c>
      <c r="E159" s="3" t="n">
        <v>46120</v>
      </c>
      <c r="F159" s="3" t="n">
        <v>46119</v>
      </c>
      <c r="G159" t="inlineStr">
        <is>
          <t>09:11:00</t>
        </is>
      </c>
      <c r="H159" t="n">
        <v>82757400</v>
      </c>
      <c r="I159" t="n">
        <v>82757400</v>
      </c>
      <c r="J159" t="n">
        <v>0</v>
      </c>
      <c r="K159" t="n">
        <v>0</v>
      </c>
      <c r="L159">
        <f>0</f>
        <v/>
      </c>
      <c r="M159">
        <f>I159-(H159+J159-K159)- L159</f>
        <v/>
      </c>
      <c r="N159">
        <f>IF(M159=0,"Cuadrado",IF(M159&gt;0,"Faltante","Sobrante"))</f>
        <v/>
      </c>
      <c r="O159" t="inlineStr">
        <is>
          <t>Cajero cuadrado, sin observación por parte de la sucursal</t>
        </is>
      </c>
      <c r="P159" t="n">
        <v>1018444239</v>
      </c>
      <c r="Q159" t="inlineStr">
        <is>
          <t>Inicio_cajero=6406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  <row r="160">
      <c r="A160" t="n">
        <v>96</v>
      </c>
      <c r="B160" t="n">
        <v>6735</v>
      </c>
      <c r="D160" t="inlineStr">
        <is>
          <t>BELLTECH</t>
        </is>
      </c>
      <c r="E160" s="3" t="n">
        <v>46120</v>
      </c>
      <c r="F160" s="3" t="n">
        <v>46119</v>
      </c>
      <c r="G160" t="inlineStr">
        <is>
          <t>09:42:00</t>
        </is>
      </c>
      <c r="H160" t="n">
        <v>141616150</v>
      </c>
      <c r="I160" t="n">
        <v>142455150</v>
      </c>
      <c r="J160" t="n">
        <v>23020000</v>
      </c>
      <c r="K160" t="n">
        <v>22181000</v>
      </c>
      <c r="L160">
        <f>0</f>
        <v/>
      </c>
      <c r="M160">
        <f>I160-(H160+J160-K160)- L160</f>
        <v/>
      </c>
      <c r="N160">
        <f>IF(M160=0,"Cuadrado",IF(M160&gt;0,"Faltante","Sobrante"))</f>
        <v/>
      </c>
      <c r="O160" t="inlineStr">
        <is>
          <t>Cajero cuadrado, sin observación por parte de la sucursal</t>
        </is>
      </c>
      <c r="P160" t="n">
        <v>39491642</v>
      </c>
      <c r="Q160" t="inlineStr">
        <is>
          <t>Inicio_cajero=6735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  <row r="161">
      <c r="A161" t="n">
        <v>888</v>
      </c>
      <c r="B161" t="n">
        <v>6818</v>
      </c>
      <c r="D161" t="inlineStr">
        <is>
          <t>BELLTECH</t>
        </is>
      </c>
      <c r="E161" s="3" t="n">
        <v>46120</v>
      </c>
      <c r="F161" s="3" t="n">
        <v>46119</v>
      </c>
      <c r="G161" t="inlineStr">
        <is>
          <t>14:31:00</t>
        </is>
      </c>
      <c r="H161" t="n">
        <v>86796600</v>
      </c>
      <c r="I161" t="n">
        <v>6996600</v>
      </c>
      <c r="J161" t="n">
        <v>100000</v>
      </c>
      <c r="K161" t="n">
        <v>79900000</v>
      </c>
      <c r="L161">
        <f>0</f>
        <v/>
      </c>
      <c r="M161">
        <f>I161-(H161+J161-K161)- L161</f>
        <v/>
      </c>
      <c r="N161">
        <f>IF(M161=0,"Cuadrado",IF(M161&gt;0,"Faltante","Sobrante"))</f>
        <v/>
      </c>
      <c r="O161" t="inlineStr">
        <is>
          <t>Cajero cuadrado, sin observación por parte de la sucursal</t>
        </is>
      </c>
      <c r="P161" t="n">
        <v>1085921765</v>
      </c>
      <c r="Q161" t="inlineStr">
        <is>
          <t>Inicio_cajero=6818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  <row r="162">
      <c r="A162" t="n">
        <v>728</v>
      </c>
      <c r="B162" t="n">
        <v>8586</v>
      </c>
      <c r="D162" t="inlineStr">
        <is>
          <t>BELLTECH</t>
        </is>
      </c>
      <c r="E162" s="3" t="n">
        <v>46120</v>
      </c>
      <c r="F162" s="3" t="n">
        <v>46119</v>
      </c>
      <c r="G162" t="inlineStr">
        <is>
          <t>15:33:00</t>
        </is>
      </c>
      <c r="H162" t="n">
        <v>457316850</v>
      </c>
      <c r="I162" t="n">
        <v>295429850</v>
      </c>
      <c r="J162" t="n">
        <v>27230000</v>
      </c>
      <c r="K162" t="n">
        <v>189117000</v>
      </c>
      <c r="L162">
        <f>0</f>
        <v/>
      </c>
      <c r="M162">
        <f>I162-(H162+J162-K162)- L162</f>
        <v/>
      </c>
      <c r="N162">
        <f>IF(M162=0,"Cuadrado",IF(M162&gt;0,"Faltante","Sobrante"))</f>
        <v/>
      </c>
      <c r="O162" t="inlineStr">
        <is>
          <t>Cajero cuadrado, sin observación por parte de la sucursal</t>
        </is>
      </c>
      <c r="P162" t="n">
        <v>1112783690</v>
      </c>
      <c r="Q162" t="inlineStr">
        <is>
          <t>Inicio_cajero=8586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  <row r="163">
      <c r="A163" t="n">
        <v>890</v>
      </c>
      <c r="B163" t="n">
        <v>9584</v>
      </c>
      <c r="D163" t="inlineStr">
        <is>
          <t>BELLTECH</t>
        </is>
      </c>
      <c r="E163" s="3" t="n">
        <v>46120</v>
      </c>
      <c r="F163" s="3" t="n">
        <v>46119</v>
      </c>
      <c r="G163" t="inlineStr">
        <is>
          <t>09:11:00</t>
        </is>
      </c>
      <c r="H163" t="n">
        <v>330703050</v>
      </c>
      <c r="I163" t="n">
        <v>328443050</v>
      </c>
      <c r="J163" t="n">
        <v>8540000</v>
      </c>
      <c r="K163" t="n">
        <v>10800000</v>
      </c>
      <c r="L163">
        <f>0</f>
        <v/>
      </c>
      <c r="M163">
        <f>I163-(H163+J163-K163)- L163</f>
        <v/>
      </c>
      <c r="N163">
        <f>IF(M163=0,"Cuadrado",IF(M163&gt;0,"Faltante","Sobrante"))</f>
        <v/>
      </c>
      <c r="O163" t="inlineStr">
        <is>
          <t>Cajero cuadrado, sin observación por parte de la sucursal</t>
        </is>
      </c>
      <c r="P163" t="n">
        <v>1053835867</v>
      </c>
      <c r="Q163" t="inlineStr">
        <is>
          <t>Inicio_cajero=9584 | fecha_arqueo=07/04/2026 | d0(Saldo-(Efectivo+Dispensado-Recibido))=$0 | Tras_770500 movs=0 | remanente_770500(aplicado_con_signo_inv_BD)=$0 | diferencia_d0_menos_remanente=$0 | RESULTADO cuadrado | |diferencia|&lt;=tolerancia($1) | remanente=$0 | ARQUEOS_MF_post | faltante_residual_d0_menos_remanente_calc=$0 | umbral_grabar_faltantes=$20.000 | Escritura_Gestion_MF: texto cajero cuadrado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Suc</t>
        </is>
      </c>
      <c r="B1" s="1" t="inlineStr">
        <is>
          <t>Cajero</t>
        </is>
      </c>
      <c r="C1" s="1" t="inlineStr">
        <is>
          <t>Marca</t>
        </is>
      </c>
      <c r="D1" s="1" t="inlineStr">
        <is>
          <t>Cajero.1</t>
        </is>
      </c>
      <c r="E1" s="1" t="inlineStr">
        <is>
          <t xml:space="preserve">Sucursal </t>
        </is>
      </c>
      <c r="F1" s="1" t="inlineStr">
        <is>
          <t>Lider de servicio</t>
        </is>
      </c>
      <c r="G1" s="1" t="inlineStr">
        <is>
          <t>SUBGERENTE</t>
        </is>
      </c>
      <c r="H1" s="1" t="inlineStr">
        <is>
          <t>FECHA ARQUEO</t>
        </is>
      </c>
      <c r="I1" s="1" t="inlineStr">
        <is>
          <t>FECHA REPROGRAMACION</t>
        </is>
      </c>
      <c r="J1" s="1" t="inlineStr">
        <is>
          <t>FECHA PROGRAMADA</t>
        </is>
      </c>
      <c r="K1" s="1" t="inlineStr">
        <is>
          <t>OBSERVACIÓN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COD. SUC</t>
        </is>
      </c>
      <c r="C1" s="1" t="inlineStr">
        <is>
          <t>CODIGO.1</t>
        </is>
      </c>
      <c r="D1" s="1" t="inlineStr">
        <is>
          <t>Dispensador / Multifuncional</t>
        </is>
      </c>
      <c r="E1" s="1" t="inlineStr">
        <is>
          <t>ADMINISTRACIÓN</t>
        </is>
      </c>
      <c r="F1" s="1" t="inlineStr">
        <is>
          <t>MARCA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Suc</t>
        </is>
      </c>
      <c r="B1" s="1" t="inlineStr">
        <is>
          <t>Cajero</t>
        </is>
      </c>
      <c r="C1" s="1" t="inlineStr">
        <is>
          <t>Marca</t>
        </is>
      </c>
      <c r="D1" s="1" t="inlineStr">
        <is>
          <t>Cajero.1</t>
        </is>
      </c>
      <c r="E1" s="1" t="inlineStr">
        <is>
          <t xml:space="preserve">Sucursal </t>
        </is>
      </c>
      <c r="F1" s="1" t="inlineStr">
        <is>
          <t>Lider de servicio</t>
        </is>
      </c>
      <c r="G1" s="1" t="inlineStr">
        <is>
          <t>SUBGERENTE</t>
        </is>
      </c>
      <c r="H1" s="1" t="inlineStr">
        <is>
          <t>FECHA ARQUEO</t>
        </is>
      </c>
      <c r="I1" s="1" t="inlineStr">
        <is>
          <t>FECHA REPROGRAMACION</t>
        </is>
      </c>
      <c r="J1" s="1" t="inlineStr">
        <is>
          <t>FECHA PROGRAMADA</t>
        </is>
      </c>
      <c r="K1" s="1" t="inlineStr">
        <is>
          <t>OBSERVACIÓN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2026-04-09T02:48:55Z</dcterms:created>
  <dcterms:modified xsi:type="dcterms:W3CDTF">2026-04-09T02:48:56Z</dcterms:modified>
</cp:coreProperties>
</file>