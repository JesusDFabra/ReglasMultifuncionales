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ancolombia-my.sharepoint.com/personal/sango_bancolombia_com_co/Documents/CUADRE CAJEROS SUCURSALES/Resultados sucursales/Resultados multifuncionales/08_04_2026/"/>
    </mc:Choice>
  </mc:AlternateContent>
  <xr:revisionPtr revIDLastSave="4" documentId="11_919A637C0C3ABA237F2E539B5EA22E0F00F46F97" xr6:coauthVersionLast="47" xr6:coauthVersionMax="47" xr10:uidLastSave="{C12EE345-6BA0-4B8D-BD3E-332A3F8C6342}"/>
  <bookViews>
    <workbookView xWindow="-120" yWindow="-120" windowWidth="24240" windowHeight="13020" xr2:uid="{00000000-000D-0000-FFFF-FFFF00000000}"/>
  </bookViews>
  <sheets>
    <sheet name="DETALLE MF" sheetId="1" r:id="rId1"/>
    <sheet name="Lista MF" sheetId="2" r:id="rId2"/>
    <sheet name="Notas" sheetId="3" r:id="rId3"/>
    <sheet name="CP" sheetId="4" r:id="rId4"/>
    <sheet name="Hoja1" sheetId="5" r:id="rId5"/>
  </sheets>
  <definedNames>
    <definedName name="_xlnm._FilterDatabase" localSheetId="0" hidden="1">'DETALLE MF'!$A$1:$Q$163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0" i="1" l="1"/>
  <c r="M160" i="1" s="1"/>
  <c r="N160" i="1" s="1"/>
  <c r="L156" i="1"/>
  <c r="M156" i="1" s="1"/>
  <c r="N156" i="1" s="1"/>
  <c r="L143" i="1"/>
  <c r="M143" i="1" s="1"/>
  <c r="N143" i="1" s="1"/>
  <c r="L142" i="1"/>
  <c r="M142" i="1" s="1"/>
  <c r="N142" i="1" s="1"/>
  <c r="M141" i="1"/>
  <c r="N141" i="1" s="1"/>
  <c r="L141" i="1"/>
  <c r="L129" i="1"/>
  <c r="M129" i="1" s="1"/>
  <c r="N129" i="1" s="1"/>
  <c r="L126" i="1"/>
  <c r="M126" i="1" s="1"/>
  <c r="N126" i="1" s="1"/>
  <c r="L121" i="1"/>
  <c r="M121" i="1" s="1"/>
  <c r="N121" i="1" s="1"/>
  <c r="L163" i="1"/>
  <c r="M163" i="1" s="1"/>
  <c r="N163" i="1" s="1"/>
  <c r="L162" i="1"/>
  <c r="M162" i="1" s="1"/>
  <c r="N162" i="1" s="1"/>
  <c r="L161" i="1"/>
  <c r="M161" i="1" s="1"/>
  <c r="N161" i="1" s="1"/>
  <c r="L159" i="1"/>
  <c r="M159" i="1" s="1"/>
  <c r="N159" i="1" s="1"/>
  <c r="L158" i="1"/>
  <c r="M158" i="1" s="1"/>
  <c r="N158" i="1" s="1"/>
  <c r="L157" i="1"/>
  <c r="M157" i="1" s="1"/>
  <c r="N157" i="1" s="1"/>
  <c r="M155" i="1"/>
  <c r="N155" i="1" s="1"/>
  <c r="L155" i="1"/>
  <c r="L154" i="1"/>
  <c r="M154" i="1" s="1"/>
  <c r="N154" i="1" s="1"/>
  <c r="L153" i="1"/>
  <c r="M153" i="1" s="1"/>
  <c r="N153" i="1" s="1"/>
  <c r="L152" i="1"/>
  <c r="M152" i="1" s="1"/>
  <c r="N152" i="1" s="1"/>
  <c r="L151" i="1"/>
  <c r="M151" i="1" s="1"/>
  <c r="N151" i="1" s="1"/>
  <c r="L150" i="1"/>
  <c r="M150" i="1" s="1"/>
  <c r="N150" i="1" s="1"/>
  <c r="L149" i="1"/>
  <c r="M149" i="1" s="1"/>
  <c r="N149" i="1" s="1"/>
  <c r="L148" i="1"/>
  <c r="M148" i="1" s="1"/>
  <c r="N148" i="1" s="1"/>
  <c r="M147" i="1"/>
  <c r="N147" i="1" s="1"/>
  <c r="L147" i="1"/>
  <c r="L146" i="1"/>
  <c r="M146" i="1" s="1"/>
  <c r="N146" i="1" s="1"/>
  <c r="L145" i="1"/>
  <c r="M145" i="1" s="1"/>
  <c r="N145" i="1" s="1"/>
  <c r="L144" i="1"/>
  <c r="M144" i="1" s="1"/>
  <c r="N144" i="1" s="1"/>
  <c r="L140" i="1"/>
  <c r="M140" i="1" s="1"/>
  <c r="N140" i="1" s="1"/>
  <c r="L139" i="1"/>
  <c r="M139" i="1" s="1"/>
  <c r="N139" i="1" s="1"/>
  <c r="L138" i="1"/>
  <c r="M138" i="1" s="1"/>
  <c r="N138" i="1" s="1"/>
  <c r="L137" i="1"/>
  <c r="M137" i="1" s="1"/>
  <c r="N137" i="1" s="1"/>
  <c r="M136" i="1"/>
  <c r="N136" i="1" s="1"/>
  <c r="L136" i="1"/>
  <c r="L135" i="1"/>
  <c r="M135" i="1" s="1"/>
  <c r="N135" i="1" s="1"/>
  <c r="L134" i="1"/>
  <c r="M134" i="1" s="1"/>
  <c r="N134" i="1" s="1"/>
  <c r="L133" i="1"/>
  <c r="M133" i="1" s="1"/>
  <c r="N133" i="1" s="1"/>
  <c r="L132" i="1"/>
  <c r="M132" i="1" s="1"/>
  <c r="N132" i="1" s="1"/>
  <c r="L131" i="1"/>
  <c r="M131" i="1" s="1"/>
  <c r="N131" i="1" s="1"/>
  <c r="L130" i="1"/>
  <c r="M130" i="1" s="1"/>
  <c r="N130" i="1" s="1"/>
  <c r="L128" i="1"/>
  <c r="M128" i="1" s="1"/>
  <c r="N128" i="1" s="1"/>
  <c r="M127" i="1"/>
  <c r="N127" i="1" s="1"/>
  <c r="L127" i="1"/>
  <c r="L125" i="1"/>
  <c r="M125" i="1" s="1"/>
  <c r="N125" i="1" s="1"/>
  <c r="L124" i="1"/>
  <c r="M124" i="1" s="1"/>
  <c r="N124" i="1" s="1"/>
  <c r="L123" i="1"/>
  <c r="M123" i="1" s="1"/>
  <c r="N123" i="1" s="1"/>
  <c r="L122" i="1"/>
  <c r="M122" i="1" s="1"/>
  <c r="N122" i="1" s="1"/>
  <c r="L120" i="1"/>
  <c r="M120" i="1" s="1"/>
  <c r="N120" i="1" s="1"/>
  <c r="L119" i="1"/>
  <c r="M119" i="1" s="1"/>
  <c r="N119" i="1" s="1"/>
  <c r="L118" i="1"/>
  <c r="M118" i="1" s="1"/>
  <c r="N118" i="1" s="1"/>
  <c r="M117" i="1"/>
  <c r="N117" i="1" s="1"/>
  <c r="L117" i="1"/>
  <c r="L116" i="1"/>
  <c r="M116" i="1" s="1"/>
  <c r="N116" i="1" s="1"/>
  <c r="L115" i="1"/>
  <c r="M115" i="1" s="1"/>
  <c r="N115" i="1" s="1"/>
  <c r="L114" i="1"/>
  <c r="M114" i="1" s="1"/>
  <c r="N114" i="1" s="1"/>
  <c r="L113" i="1"/>
  <c r="M113" i="1" s="1"/>
  <c r="N113" i="1" s="1"/>
  <c r="L112" i="1"/>
  <c r="M112" i="1" s="1"/>
  <c r="N112" i="1" s="1"/>
  <c r="L111" i="1"/>
  <c r="M111" i="1" s="1"/>
  <c r="N111" i="1" s="1"/>
  <c r="L110" i="1"/>
  <c r="M110" i="1" s="1"/>
  <c r="N110" i="1" s="1"/>
  <c r="M109" i="1"/>
  <c r="N109" i="1" s="1"/>
  <c r="L109" i="1"/>
  <c r="M108" i="1"/>
  <c r="N108" i="1" s="1"/>
  <c r="M107" i="1"/>
  <c r="N107" i="1" s="1"/>
  <c r="M106" i="1"/>
  <c r="N106" i="1" s="1"/>
  <c r="M105" i="1"/>
  <c r="N105" i="1" s="1"/>
  <c r="M104" i="1"/>
  <c r="N104" i="1" s="1"/>
  <c r="M103" i="1"/>
  <c r="N103" i="1" s="1"/>
  <c r="M102" i="1"/>
  <c r="N102" i="1" s="1"/>
  <c r="M101" i="1"/>
  <c r="N101" i="1" s="1"/>
  <c r="M100" i="1"/>
  <c r="N100" i="1" s="1"/>
  <c r="M99" i="1"/>
  <c r="N99" i="1" s="1"/>
  <c r="M98" i="1"/>
  <c r="N98" i="1" s="1"/>
  <c r="M97" i="1"/>
  <c r="N97" i="1" s="1"/>
  <c r="M96" i="1"/>
  <c r="N96" i="1" s="1"/>
  <c r="M95" i="1"/>
  <c r="N95" i="1" s="1"/>
  <c r="M94" i="1"/>
  <c r="N94" i="1" s="1"/>
  <c r="M93" i="1"/>
  <c r="N93" i="1" s="1"/>
  <c r="M92" i="1"/>
  <c r="N92" i="1" s="1"/>
  <c r="M91" i="1"/>
  <c r="N91" i="1" s="1"/>
  <c r="M90" i="1"/>
  <c r="N90" i="1" s="1"/>
  <c r="M89" i="1"/>
  <c r="N89" i="1" s="1"/>
  <c r="M88" i="1"/>
  <c r="N88" i="1" s="1"/>
  <c r="M87" i="1"/>
  <c r="N87" i="1" s="1"/>
  <c r="M86" i="1"/>
  <c r="N86" i="1" s="1"/>
  <c r="M85" i="1"/>
  <c r="N85" i="1" s="1"/>
  <c r="M84" i="1"/>
  <c r="N84" i="1" s="1"/>
  <c r="M83" i="1"/>
  <c r="N83" i="1" s="1"/>
  <c r="M82" i="1"/>
  <c r="N82" i="1" s="1"/>
  <c r="M81" i="1"/>
  <c r="N81" i="1" s="1"/>
  <c r="M80" i="1"/>
  <c r="N80" i="1" s="1"/>
  <c r="M79" i="1"/>
  <c r="N79" i="1" s="1"/>
  <c r="M78" i="1"/>
  <c r="N78" i="1" s="1"/>
  <c r="M77" i="1"/>
  <c r="N77" i="1" s="1"/>
  <c r="M76" i="1"/>
  <c r="N76" i="1" s="1"/>
  <c r="M75" i="1"/>
  <c r="N75" i="1" s="1"/>
  <c r="M74" i="1"/>
  <c r="N74" i="1" s="1"/>
  <c r="M73" i="1"/>
  <c r="N73" i="1" s="1"/>
  <c r="M72" i="1"/>
  <c r="N72" i="1" s="1"/>
  <c r="M71" i="1"/>
  <c r="N71" i="1" s="1"/>
  <c r="M70" i="1"/>
  <c r="N70" i="1" s="1"/>
  <c r="M69" i="1"/>
  <c r="N69" i="1" s="1"/>
  <c r="M68" i="1"/>
  <c r="N68" i="1" s="1"/>
  <c r="M67" i="1"/>
  <c r="N67" i="1" s="1"/>
  <c r="M66" i="1"/>
  <c r="N66" i="1" s="1"/>
  <c r="M65" i="1"/>
  <c r="N65" i="1" s="1"/>
  <c r="M64" i="1"/>
  <c r="N64" i="1" s="1"/>
  <c r="M63" i="1"/>
  <c r="N63" i="1" s="1"/>
  <c r="M62" i="1"/>
  <c r="N62" i="1" s="1"/>
  <c r="M61" i="1"/>
  <c r="N61" i="1" s="1"/>
  <c r="M60" i="1"/>
  <c r="N60" i="1" s="1"/>
  <c r="M59" i="1"/>
  <c r="N59" i="1" s="1"/>
  <c r="M58" i="1"/>
  <c r="N58" i="1" s="1"/>
  <c r="M57" i="1"/>
  <c r="N57" i="1" s="1"/>
  <c r="M56" i="1"/>
  <c r="N56" i="1" s="1"/>
  <c r="M55" i="1"/>
  <c r="N55" i="1" s="1"/>
  <c r="M54" i="1"/>
  <c r="N54" i="1" s="1"/>
  <c r="M53" i="1"/>
  <c r="N53" i="1" s="1"/>
  <c r="M52" i="1"/>
  <c r="N52" i="1" s="1"/>
  <c r="M51" i="1"/>
  <c r="N51" i="1" s="1"/>
  <c r="M50" i="1"/>
  <c r="N50" i="1" s="1"/>
  <c r="M49" i="1"/>
  <c r="N49" i="1" s="1"/>
  <c r="M48" i="1"/>
  <c r="N48" i="1" s="1"/>
  <c r="M47" i="1"/>
  <c r="N47" i="1" s="1"/>
  <c r="M46" i="1"/>
  <c r="N46" i="1" s="1"/>
  <c r="M45" i="1"/>
  <c r="N45" i="1" s="1"/>
  <c r="M44" i="1"/>
  <c r="N44" i="1" s="1"/>
  <c r="M43" i="1"/>
  <c r="N43" i="1" s="1"/>
  <c r="M42" i="1"/>
  <c r="N42" i="1" s="1"/>
  <c r="M41" i="1"/>
  <c r="N41" i="1" s="1"/>
  <c r="M40" i="1"/>
  <c r="N40" i="1" s="1"/>
  <c r="M39" i="1"/>
  <c r="N39" i="1" s="1"/>
  <c r="M38" i="1"/>
  <c r="N38" i="1" s="1"/>
  <c r="M37" i="1"/>
  <c r="N37" i="1" s="1"/>
  <c r="M36" i="1"/>
  <c r="N36" i="1" s="1"/>
  <c r="M35" i="1"/>
  <c r="N35" i="1" s="1"/>
  <c r="M34" i="1"/>
  <c r="N34" i="1" s="1"/>
  <c r="M33" i="1"/>
  <c r="N33" i="1" s="1"/>
  <c r="M32" i="1"/>
  <c r="N32" i="1" s="1"/>
  <c r="M31" i="1"/>
  <c r="N31" i="1" s="1"/>
  <c r="M30" i="1"/>
  <c r="N30" i="1" s="1"/>
  <c r="M29" i="1"/>
  <c r="N29" i="1" s="1"/>
  <c r="M28" i="1"/>
  <c r="N28" i="1" s="1"/>
  <c r="M27" i="1"/>
  <c r="N27" i="1" s="1"/>
  <c r="M26" i="1"/>
  <c r="N26" i="1" s="1"/>
  <c r="M25" i="1"/>
  <c r="N25" i="1" s="1"/>
  <c r="M24" i="1"/>
  <c r="N24" i="1" s="1"/>
  <c r="M23" i="1"/>
  <c r="N23" i="1" s="1"/>
  <c r="M22" i="1"/>
  <c r="N22" i="1" s="1"/>
  <c r="M21" i="1"/>
  <c r="N21" i="1" s="1"/>
  <c r="M20" i="1"/>
  <c r="N20" i="1" s="1"/>
  <c r="M19" i="1"/>
  <c r="N19" i="1" s="1"/>
  <c r="M18" i="1"/>
  <c r="N18" i="1" s="1"/>
  <c r="M17" i="1"/>
  <c r="N17" i="1" s="1"/>
  <c r="M16" i="1"/>
  <c r="N16" i="1" s="1"/>
  <c r="M15" i="1"/>
  <c r="N15" i="1" s="1"/>
  <c r="M14" i="1"/>
  <c r="N14" i="1" s="1"/>
  <c r="M13" i="1"/>
  <c r="N13" i="1" s="1"/>
  <c r="M12" i="1"/>
  <c r="N12" i="1" s="1"/>
  <c r="M11" i="1"/>
  <c r="N11" i="1" s="1"/>
  <c r="M10" i="1"/>
  <c r="N10" i="1" s="1"/>
  <c r="M9" i="1"/>
  <c r="N9" i="1" s="1"/>
  <c r="M8" i="1"/>
  <c r="N8" i="1" s="1"/>
  <c r="M7" i="1"/>
  <c r="N7" i="1" s="1"/>
  <c r="M6" i="1"/>
  <c r="N6" i="1" s="1"/>
  <c r="M5" i="1"/>
  <c r="N5" i="1" s="1"/>
  <c r="M4" i="1"/>
  <c r="N4" i="1" s="1"/>
  <c r="M3" i="1"/>
  <c r="N3" i="1" s="1"/>
  <c r="M2" i="1"/>
  <c r="N2" i="1" s="1"/>
</calcChain>
</file>

<file path=xl/sharedStrings.xml><?xml version="1.0" encoding="utf-8"?>
<sst xmlns="http://schemas.openxmlformats.org/spreadsheetml/2006/main" count="654" uniqueCount="300">
  <si>
    <t>Sucursal</t>
  </si>
  <si>
    <t>Cajero</t>
  </si>
  <si>
    <t>Marca</t>
  </si>
  <si>
    <t>Marca herramienta</t>
  </si>
  <si>
    <t>Fecha descarga arqueo</t>
  </si>
  <si>
    <t xml:space="preserve">Fecha Arqueo </t>
  </si>
  <si>
    <t>Hora Arqueo</t>
  </si>
  <si>
    <t>Efectivo Arqueado /Arqueo fisico saldo contadores</t>
  </si>
  <si>
    <t xml:space="preserve">Saldo Contable </t>
  </si>
  <si>
    <t>dispensado_corte_arqueo</t>
  </si>
  <si>
    <t>recibido_corte_arqueo</t>
  </si>
  <si>
    <t>Remanente /Provisión /Ajustes</t>
  </si>
  <si>
    <t>Diferencia</t>
  </si>
  <si>
    <t>Naturaleza</t>
  </si>
  <si>
    <t>Gestión a Realizar</t>
  </si>
  <si>
    <t>Documento responsable</t>
  </si>
  <si>
    <t>paso_a_paso_regla</t>
  </si>
  <si>
    <t>BELLTECH</t>
  </si>
  <si>
    <t>09:01:00</t>
  </si>
  <si>
    <t>El faltante $8.697.800 es cruzado con sobrante contabilizado el día 11/03/2026 ($8.697.800) el cual es reversado por la seccion el día 06/04/2026</t>
  </si>
  <si>
    <t>08:23:00</t>
  </si>
  <si>
    <t>La diferencia es contabilizada por la Gerencia De Autoservicios y Efectivo de manera centralizada a la cuenta de sobrantes 279510020 el 06/04/2026</t>
  </si>
  <si>
    <t>10:23:00</t>
  </si>
  <si>
    <t>08:35:00</t>
  </si>
  <si>
    <t>09:27:00</t>
  </si>
  <si>
    <t>Gestión manual - Revisar por el personal encargado</t>
  </si>
  <si>
    <t>08:15:00</t>
  </si>
  <si>
    <t>08:44:33</t>
  </si>
  <si>
    <t>11:13:00</t>
  </si>
  <si>
    <t>DIEBOLD</t>
  </si>
  <si>
    <t>08:09:00</t>
  </si>
  <si>
    <t>10:29:00</t>
  </si>
  <si>
    <t>El faltante $244.000 es cruzado con sobrante contabilizado el día 19/03/2026 ($150.000), el día 27/03/2026 ($94.000) el cual es reversado por la seccion el día 06/04/2026</t>
  </si>
  <si>
    <t>13:10:00</t>
  </si>
  <si>
    <t>Cajero cuadrado, sin observación por parte de la sucursal</t>
  </si>
  <si>
    <t>09:46:00</t>
  </si>
  <si>
    <t>10:17:00</t>
  </si>
  <si>
    <t>11:10:00</t>
  </si>
  <si>
    <t>09:20:00</t>
  </si>
  <si>
    <t>08:11:00</t>
  </si>
  <si>
    <t>ACLARAR DIFERENCIA Y REPETIR EL ARQUEO</t>
  </si>
  <si>
    <t>10:37:00</t>
  </si>
  <si>
    <t>08:43:00</t>
  </si>
  <si>
    <t>10:56:44</t>
  </si>
  <si>
    <t>08:56:00</t>
  </si>
  <si>
    <t>09:11:00</t>
  </si>
  <si>
    <t>El faltante $3.070.000 es cruzado con sobrante contabilizado el día 01/04/2026 ($3.070.000) el cual es reversado por la seccion el día 06/04/2026</t>
  </si>
  <si>
    <t>11:04:00</t>
  </si>
  <si>
    <t>La diferencia es contabilizada por la Gerencia De Autoservicios y Efectivo de manera centralizada a la cuenta de sobrantes 279510020 el 07/04/2026</t>
  </si>
  <si>
    <t>Inicio_cajero=172 | fecha_arqueo=06/04/2026 | d0(Saldo-(Efectivo+Dispensado-Recibido))=$-1.811.400 | Tras_770500 movs=0 | remanente_770500(aplicado_con_signo_inv_BD)=$0 | diferencia_d0_menos_remanente=$-1.811.400 | 810291 no_aplica_por_signo | diferencia=$-1.811.400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</si>
  <si>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10:10:00</t>
  </si>
  <si>
    <t>Inicio_cajero=316 | fecha_arqueo=06/04/2026 | d0(Saldo-(Efectivo+Dispensado-Recibido))=$80.511.000 | Tras_770500 movs=0 | remanente_770500(aplicado_con_signo_inv_BD)=$0 | diferencia_d0_menos_remanente=$80.511.000 | 810291 aplica_por_signo=negativo | clvmov=003002576 | valor_bd=$-81.511.000 | aporte_inv_signo=$81.511.000 | cobertura=101.24% (rango 80%-120%) | diferencia_actual=$-1.000.000 | 810291 no_aplica_por_cobertura | signo_objetivo=positivo | clvmov=003002519 | valor_bd=$2.000.000 | cobertura=200.00% fuera de 80%-120% | diferencia_se_mantiene=$-1.000.000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</si>
  <si>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08:59:00</t>
  </si>
  <si>
    <t>Inicio_cajero=1029 | fecha_arqueo=06/04/2026 | d0(Saldo-(Efectivo+Dispensado-Recibido))=$-2.050.000 | Tras_770500 movs=0 | remanente_770500(aplicado_con_signo_inv_BD)=$0 | diferencia_d0_menos_remanente=$-2.050.000 | 810291 no_aplica_por_signo | diferencia=$-2.050.000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</si>
  <si>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15:08:00</t>
  </si>
  <si>
    <t>Inicio_cajero=5013 | fecha_arqueo=06/04/2026 | d0(Saldo-(Efectivo+Dispensado-Recibido))=$123.006.450 | Tras_770500 movs=0 | remanente_770500(aplicado_con_signo_inv_BD)=$0 | diferencia_d0_menos_remanente=$123.006.450 | 810291 aplica_por_signo=negativo | clvmov=003116124 | valor_bd=$-125.199.000 | aporte_inv_signo=$125.199.000 | cobertura=101.78% (rango 80%-120%) | diferencia_actual=$-2.192.550 | 810291 sin_mas_candidatos_signo=positivo | diferencia_actual=$-2.192.550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</si>
  <si>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16:00:00</t>
  </si>
  <si>
    <t>La diferencia es contabilizada por la Gerencia De Autoservicios y Efectivo de manera centralizada a la cuenta de faltantes 168710093 el 07/04/2026, esta diferencia ingresa a proceso de investigación en el área para identificar a que corresponde.</t>
  </si>
  <si>
    <t>Inicio_cajero=5036 | fecha_arqueo=01/04/2026 | d0(Saldo-(Efectivo+Dispensado-Recibido))=$1.925.000 | Tras_770500 movs=1 | remanente_770500(aplicado_con_signo_inv_BD)=$-2.550.000 | diferencia_d0_menos_remanente=$4.475.000 | 810291 no_aplica_por_cobertura | signo_objetivo=negativo | clvmov=003021243 | valor_bd=$-132.986.000 | cobertura=2971.75% fuera de 80%-120% | diferencia_se_mantiene=$4.475.000 | Faltante restante=$4.475.000 &lt;= umbral_sobrantes($25.000.000) | buscar cruce en cuenta 279510020 (NUMDOC suma neta negativa = sobrante activo) | Cruce sobrantes | no alcanzó faltante exacto | queda aclarar_diferencia o gestión manual | RESULTADO pendiente aclarar/repetir o faltante pequeño 168710093 (según paso ARQUEOS MF) | ARQUEOS_MF_post | faltante_residual_d0_menos_remanente_calc=$4.475.000 | umbral_grabar_faltantes=$20.000 | Escritura_Gestion_MF: 168710093 (2da repetición arqueo previo con repetir)</t>
  </si>
  <si>
    <t>09:28:00</t>
  </si>
  <si>
    <t>El faltante $100.000 es cruzado con sobrante contabilizado el día 31/03/2026 ($100.000) el cual es reversado por la seccion el día 07/04/2026</t>
  </si>
  <si>
    <t>Inicio_cajero=5046 | fecha_arqueo=06/04/2026 | d0(Saldo-(Efectivo+Dispensado-Recibido))=$100.000 | Tras_770500 movs=0 | remanente_770500(aplicado_con_signo_inv_BD)=$0 | diferencia_d0_menos_remanente=$100.000 | 810291 no_aplica_por_cobertura | signo_objetivo=negativo | clvmov=003110279 | valor_bd=$-7.455.000 | cobertura=7455.00% fuera de 80%-120% | diferencia_se_mantiene=$100.000 | Faltante restante=$100.000 &lt;= umbral_sobrantes($25.000.000) | buscar cruce en cuenta 279510020 (NUMDOC suma neta negativa = sobrante activo) | RESULTADO justificado_sobrantes | etapa2 posteriores + penúltimo día (cruce parcial) | ARQUEOS_MF_post | faltante_residual_d0_menos_remanente_calc=$0 | umbral_grabar_faltantes=$20.000 | Escritura_Gestion_MF: cruce faltante con sobrante(s) 279510020 (texto reverso sección)</t>
  </si>
  <si>
    <t>15:46:00</t>
  </si>
  <si>
    <t>Inicio_cajero=5050 | fecha_arqueo=06/04/2026 | d0(Saldo-(Efectivo+Dispensado-Recibido))=$18.899.000 | Tras_770500 movs=0 | remanente_770500(aplicado_con_signo_inv_BD)=$0 | diferencia_d0_menos_remanente=$18.899.000 | 810291 no_aplica_por_cobertura | signo_objetivo=negativo | clvmov=003126283 | valor_bd=$-134.681.000 | cobertura=712.64% fuera de 80%-120% | diferencia_se_mantiene=$18.899.000 | Faltante restante=$18.899.000 &lt;= umbral_sobrantes($25.000.000) | buscar cruce en cuenta 279510020 (NUMDOC suma neta negativa = sobrante activo) | Cruce sobrantes | no alcanzó faltante exacto | queda aclarar_diferencia o gestión manual | RESULTADO pendiente aclarar/repetir o faltante pequeño 168710093 (según paso ARQUEOS MF) | ARQUEOS_MF_post | faltante_residual_d0_menos_remanente_calc=$18.899.000 | umbral_grabar_faltantes=$20.000 | Escritura_Gestion_MF: ACLARAR DIFERENCIA Y REPETIR EL ARQUEO</t>
  </si>
  <si>
    <t>14:29:00</t>
  </si>
  <si>
    <t>Inicio_cajero=5051 | fecha_arqueo=06/04/2026 | d0(Saldo-(Efectivo+Dispensado-Recibido))=$-8.119.400 | Tras_770500 movs=0 | remanente_770500(aplicado_con_signo_inv_BD)=$0 | diferencia_d0_menos_remanente=$-8.119.400 | 810291 no_aplica_por_signo | diferencia=$-8.119.400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</si>
  <si>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11:58:00</t>
  </si>
  <si>
    <t>Inicio_cajero=5076 | fecha_arqueo=01/04/2026 | d0(Saldo-(Efectivo+Dispensado-Recibido))=$288.766.400 | Tras_770500 movs=0 | remanente_770500(aplicado_con_signo_inv_BD)=$0 | diferencia_d0_menos_remanente=$288.766.400 | 810291 aplica_por_signo=negativo | clvmov=003061547 | valor_bd=$-236.726.000 | aporte_inv_signo=$236.726.000 | cobertura=81.98% (rango 80%-120%) | diferencia_actual=$52.040.400 | 810291 no_aplica_por_cobertura | signo_objetivo=negativo | clvmov=003061549 | valor_bd=$-70.034.000 | cobertura=134.58% fuera de 80%-120% | diferencia_se_mantiene=$52.040.400 | Faltante $52.040.400 &gt; umbral_sobrantes($25.000.000) | no entra cruce por cuenta sobrantes en este bloque | RESULTADO gestión manual | faltante sin cerrar con 810291/sobrantes según reglas | ARQUEOS_MF_post | faltante_residual_d0_menos_remanente_calc=$52.040.400 | umbral_grabar_faltantes=$20.000 | Escritura_Gestion_MF: ACLARAR DIFERENCIA Y REPETIR EL ARQUEO</t>
  </si>
  <si>
    <t>15:36:00</t>
  </si>
  <si>
    <t>Inicio_cajero=5078 | fecha_arqueo=06/04/2026 | d0(Saldo-(Efectivo+Dispensado-Recibido))=$216.470.050 | Tras_770500 movs=0 | remanente_770500(aplicado_con_signo_inv_BD)=$0 | diferencia_d0_menos_remanente=$216.470.050 | 810291 aplica_por_signo=negativo | clvmov=003005158 | valor_bd=$-245.000.000 | aporte_inv_signo=$245.000.000 | cobertura=113.18% (rango 80%-120%) | diferencia_actual=$-28.529.950 | 810291 sin_mas_candidatos_signo=positivo | diferencia_actual=$-28.529.950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</si>
  <si>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08:48:00</t>
  </si>
  <si>
    <t>Inicio_cajero=5080 | fecha_arqueo=06/04/2026 | d0(Saldo-(Efectivo+Dispensado-Recibido))=$-34.000 | Tras_770500 movs=0 | remanente_770500(aplicado_con_signo_inv_BD)=$0 | diferencia_d0_menos_remanente=$-34.000 | 810291 no_aplica_por_cobertura | signo_objetivo=positivo | clvmov=003040404 | valor_bd=$6.000.000 | cobertura=17647.06% fuera de 80%-120% | diferencia_se_mantiene=$-34.000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</si>
  <si>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16:02:00</t>
  </si>
  <si>
    <t>Inicio_cajero=5084 | fecha_arqueo=06/04/2026 | d0(Saldo-(Efectivo+Dispensado-Recibido))=$485.326.000 | Tras_770500 movs=0 | remanente_770500(aplicado_con_signo_inv_BD)=$0 | diferencia_d0_menos_remanente=$485.326.000 | 810291 aplica_por_signo=negativo | clvmov=003046741 | valor_bd=$-487.343.000 | aporte_inv_signo=$487.343.000 | cobertura=100.42% (rango 80%-120%) | diferencia_actual=$-2.017.000 | 810291 sin_mas_candidatos_signo=positivo | diferencia_actual=$-2.017.000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</si>
  <si>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13:18:00</t>
  </si>
  <si>
    <t>El faltante $1.828.800 es cruzado con sobrante contabilizado el día 01/04/2026 ($1.828.800) el cual es reversado por la seccion el día 07/04/2026</t>
  </si>
  <si>
    <t>Inicio_cajero=5087 | fecha_arqueo=06/04/2026 | d0(Saldo-(Efectivo+Dispensado-Recibido))=$2.812.300 | Tras_770500 movs=1 | remanente_770500(aplicado_con_signo_inv_BD)=$983.500 | diferencia_d0_menos_remanente=$1.828.800 | 810291 no_aplica_por_cobertura | signo_objetivo=negativo | clvmov=003099976 | valor_bd=$-160.688.000 | cobertura=8786.53% fuera de 80%-120% | diferencia_se_mantiene=$1.828.800 | Faltante restante=$1.828.800 &lt;= umbral_sobrantes($25.000.000) | buscar cruce en cuenta 279510020 (NUMDOC suma neta negativa = sobrante activo) | RESULTADO justificado_sobrantes | etapa1 NUMDOC posteriores al penúltimo arqueo | cant_chunks=1 | ARQUEOS_MF_post | faltante_residual_d0_menos_remanente_calc=$0 | umbral_grabar_faltantes=$20.000 | Escritura_Gestion_MF: cruce faltante con sobrante(s) 279510020 (texto reverso sección)</t>
  </si>
  <si>
    <t>08:31:00</t>
  </si>
  <si>
    <t>Inicio_cajero=5103 | fecha_arqueo=06/04/2026 | d0(Saldo-(Efectivo+Dispensado-Recibido))=$141.891.900 | Tras_770500 movs=0 | remanente_770500(aplicado_con_signo_inv_BD)=$0 | diferencia_d0_menos_remanente=$141.891.900 | 810291 aplica_por_signo=negativo | clvmov=003101773 | valor_bd=$-141.898.000 | aporte_inv_signo=$141.898.000 | cobertura=100.00% (rango 80%-120%) | diferencia_actual=$-6.100 | 810291 sin_mas_candidatos_signo=positivo | diferencia_actual=$-6.100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</si>
  <si>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09:43:00</t>
  </si>
  <si>
    <t>Inicio_cajero=5114 | fecha_arqueo=06/04/2026 | d0(Saldo-(Efectivo+Dispensado-Recibido))=$-47.400 | Tras_770500 movs=0 | remanente_770500(aplicado_con_signo_inv_BD)=$0 | diferencia_d0_menos_remanente=$-47.400 | 810291 no_aplica_por_signo | diferencia=$-47.400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</si>
  <si>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10:34:00</t>
  </si>
  <si>
    <t>Inicio_cajero=5122 | fecha_arqueo=06/04/2026 | d0(Saldo-(Efectivo+Dispensado-Recibido))=$3.070.000 | Tras_770500 movs=1 | remanente_770500(aplicado_con_signo_inv_BD)=$3.070.000 | diferencia_d0_menos_remanente=$0 | RESULTADO cuadrado | |diferencia|&lt;=tolerancia($1) | remanente=$3.070.000 | ARQUEOS_MF_post | faltante_residual_d0_menos_remanente_calc=$0 | umbral_grabar_faltantes=$20.000 | Escritura_Gestion_MF: texto cajero cuadrado</t>
  </si>
  <si>
    <t>15:57:00</t>
  </si>
  <si>
    <t>Inicio_cajero=5126 | fecha_arqueo=06/04/2026 | d0(Saldo-(Efectivo+Dispensado-Recibido))=$39.238.000 | Tras_770500 movs=0 | remanente_770500(aplicado_con_signo_inv_BD)=$0 | diferencia_d0_menos_remanente=$39.238.000 | 810291 aplica_por_signo=negativo | clvmov=003025397 | valor_bd=$-39.213.000 | aporte_inv_signo=$39.213.000 | cobertura=99.94% (rango 80%-120%) | diferencia_actual=$25.000 | 810291 sin_mas_candidatos_signo=negativo | diferencia_actual=$25.000 | Faltante restante=$25.000 &lt;= umbral_sobrantes($25.000.000) | buscar cruce en cuenta 279510020 (NUMDOC suma neta negativa = sobrante activo) | Cruce sobrantes | no alcanzó faltante exacto | queda aclarar_diferencia o gestión manual | RESULTADO pendiente aclarar/repetir o faltante pequeño 168710093 (según paso ARQUEOS MF) | ARQUEOS_MF_post | faltante_residual_d0_menos_remanente_calc=$25.000 | umbral_grabar_faltantes=$20.000 | Escritura_Gestion_MF: ACLARAR DIFERENCIA Y REPETIR EL ARQUEO</t>
  </si>
  <si>
    <t>09:18:00</t>
  </si>
  <si>
    <t>Inicio_cajero=5128 | fecha_arqueo=06/04/2026 | d0(Saldo-(Efectivo+Dispensado-Recibido))=$-1.960.000 | Tras_770500 movs=0 | remanente_770500(aplicado_con_signo_inv_BD)=$0 | diferencia_d0_menos_remanente=$-1.960.000 | 810291 no_aplica_por_signo | diferencia=$-1.960.000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</si>
  <si>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12:38:00</t>
  </si>
  <si>
    <t>Inicio_cajero=5129 | fecha_arqueo=01/04/2026 | d0(Saldo-(Efectivo+Dispensado-Recibido))=$-1.009.550 | Tras_770500 movs=0 | remanente_770500(aplicado_con_signo_inv_BD)=$0 | diferencia_d0_menos_remanente=$-1.009.550 | 810291 no_aplica_por_signo | diferencia=$-1.009.550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</si>
  <si>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17:25:00</t>
  </si>
  <si>
    <t>Inicio_cajero=5144 | fecha_arqueo=01/04/2026 | d0(Saldo-(Efectivo+Dispensado-Recibido))=$-5.089.000 | Tras_770500 movs=0 | remanente_770500(aplicado_con_signo_inv_BD)=$0 | diferencia_d0_menos_remanente=$-5.089.000 | 810291 no_aplica_por_cobertura | signo_objetivo=positivo | clvmov=003112246 | valor_bd=$20.000.000 | cobertura=393.00% fuera de 80%-120% | diferencia_se_mantiene=$-5.089.000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</si>
  <si>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10:39:00</t>
  </si>
  <si>
    <t>Inicio_cajero=5149 | fecha_arqueo=06/04/2026 | d0(Saldo-(Efectivo+Dispensado-Recibido))=$-20.000.400 | Tras_770500 movs=0 | remanente_770500(aplicado_con_signo_inv_BD)=$0 | diferencia_d0_menos_remanente=$-20.000.400 | 810291 aplica_por_signo=positivo | clvmov=003069052 | valor_bd=$20.000.000 | aporte_inv_signo=$-20.000.000 | cobertura=100.00% (rango 80%-120%) | diferencia_actual=$-400 | 810291 sin_mas_candidatos_signo=positivo | diferencia_actual=$-400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</si>
  <si>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12:36:00</t>
  </si>
  <si>
    <t>Inicio_cajero=5156 | fecha_arqueo=01/04/2026 | d0(Saldo-(Efectivo+Dispensado-Recibido))=$-4.746.650 | Tras_770500 movs=0 | remanente_770500(aplicado_con_signo_inv_BD)=$0 | diferencia_d0_menos_remanente=$-4.746.650 | 810291 no_aplica_por_cobertura | signo_objetivo=positivo | clvmov=003111395 | valor_bd=$70.000 | cobertura=1.47% fuera de 80%-120% | diferencia_se_mantiene=$-4.746.650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</si>
  <si>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08:58:00</t>
  </si>
  <si>
    <t>Inicio_cajero=5164 | fecha_arqueo=06/04/2026 | d0(Saldo-(Efectivo+Dispensado-Recibido))=$-1.610.000 | Tras_770500 movs=0 | remanente_770500(aplicado_con_signo_inv_BD)=$0 | diferencia_d0_menos_remanente=$-1.610.000 | 810291 no_aplica_por_cobertura | signo_objetivo=positivo | clvmov=003022893 | valor_bd=$70.000.000 | cobertura=4347.83% fuera de 80%-120% | diferencia_se_mantiene=$-1.610.000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</si>
  <si>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08:44:00</t>
  </si>
  <si>
    <t>El faltante $4.880.000 es cruzado con sobrante contabilizado el día 27/03/2026 ($2.543.000), el día 01/04/2026 ($2.337.000) el cual es reversado por la seccion el día 07/04/2026</t>
  </si>
  <si>
    <t>Inicio_cajero=5169 | fecha_arqueo=06/04/2026 | d0(Saldo-(Efectivo+Dispensado-Recibido))=$4.880.000 | Tras_770500 movs=0 | remanente_770500(aplicado_con_signo_inv_BD)=$0 | diferencia_d0_menos_remanente=$4.880.000 | 810291 no_aplica_por_cobertura | signo_objetivo=negativo | clvmov=003073205 | valor_bd=$-303.585.000 | cobertura=6221.00% fuera de 80%-120% | diferencia_se_mantiene=$4.880.000 | Faltante restante=$4.880.000 &lt;= umbral_sobrantes($25.000.000) | buscar cruce en cuenta 279510020 (NUMDOC suma neta negativa = sobrante activo) | RESULTADO justificado_sobrantes | etapa1 NUMDOC posteriores al penúltimo arqueo | cant_chunks=2 | ARQUEOS_MF_post | faltante_residual_d0_menos_remanente_calc=$0 | umbral_grabar_faltantes=$20.000 | Escritura_Gestion_MF: cruce faltante con sobrante(s) 279510020 (texto reverso sección)</t>
  </si>
  <si>
    <t>10:07:00</t>
  </si>
  <si>
    <t>Inicio_cajero=5183 | fecha_arqueo=06/04/2026 | d0(Saldo-(Efectivo+Dispensado-Recibido))=$6.618.900 | Tras_770500 movs=0 | remanente_770500(aplicado_con_signo_inv_BD)=$0 | diferencia_d0_menos_remanente=$6.618.900 | 810291 no_aplica_por_cobertura | signo_objetivo=negativo | clvmov=003113800 | valor_bd=$-183.883.000 | cobertura=2778.15% fuera de 80%-120% | diferencia_se_mantiene=$6.618.900 | Faltante restante=$6.618.900 &lt;= umbral_sobrantes($25.000.000) | buscar cruce en cuenta 279510020 (NUMDOC suma neta negativa = sobrante activo) | Cruce sobrantes | no alcanzó faltante exacto | queda aclarar_diferencia o gestión manual | RESULTADO pendiente aclarar/repetir o faltante pequeño 168710093 (según paso ARQUEOS MF) | ARQUEOS_MF_post | faltante_residual_d0_menos_remanente_calc=$6.618.900 | umbral_grabar_faltantes=$20.000 | Escritura_Gestion_MF: ACLARAR DIFERENCIA Y REPETIR EL ARQUEO</t>
  </si>
  <si>
    <t>14:08:00</t>
  </si>
  <si>
    <t>El faltante $1.164.000 es cruzado con sobrante contabilizado el día 19/03/2026 ($1.164.000) el cual es reversado por la seccion el día 07/04/2026</t>
  </si>
  <si>
    <t>Inicio_cajero=5195 | fecha_arqueo=01/04/2026 | d0(Saldo-(Efectivo+Dispensado-Recibido))=$1.164.000 | Tras_770500 movs=0 | remanente_770500(aplicado_con_signo_inv_BD)=$0 | diferencia_d0_menos_remanente=$1.164.000 | 810291 no_aplica_por_cobertura | signo_objetivo=negativo | clvmov=003071481 | valor_bd=$-182.317.000 | cobertura=15662.97% fuera de 80%-120% | diferencia_se_mantiene=$1.164.000 | Faltante restante=$1.164.000 &lt;= umbral_sobrantes($25.000.000) | buscar cruce en cuenta 279510020 (NUMDOC suma neta negativa = sobrante activo) | RESULTADO justificado_sobrantes | etapa1 NUMDOC posteriores al penúltimo arqueo | cant_chunks=1 | ARQUEOS_MF_post | faltante_residual_d0_menos_remanente_calc=$0 | umbral_grabar_faltantes=$20.000 | Escritura_Gestion_MF: cruce faltante con sobrante(s) 279510020 (texto reverso sección)</t>
  </si>
  <si>
    <t>09:25:00</t>
  </si>
  <si>
    <t>El faltante $71.650 es cruzado con sobrante contabilizado el día 19/03/2026 ($71.650) el cual es reversado por la seccion el día 07/04/2026</t>
  </si>
  <si>
    <t>Inicio_cajero=5206 | fecha_arqueo=06/04/2026 | d0(Saldo-(Efectivo+Dispensado-Recibido))=$71.650 | Tras_770500 movs=0 | remanente_770500(aplicado_con_signo_inv_BD)=$0 | diferencia_d0_menos_remanente=$71.650 | 810291 no_aplica_por_cobertura | signo_objetivo=negativo | clvmov=003080058 | valor_bd=$-124.296.000 | cobertura=173476.62% fuera de 80%-120% | diferencia_se_mantiene=$71.650 | Faltante restante=$71.650 &lt;= umbral_sobrantes($25.000.000) | buscar cruce en cuenta 279510020 (NUMDOC suma neta negativa = sobrante activo) | RESULTADO justificado_sobrantes | etapa2 posteriores + penúltimo día (cruce parcial) | ARQUEOS_MF_post | faltante_residual_d0_menos_remanente_calc=$0 | umbral_grabar_faltantes=$20.000 | Escritura_Gestion_MF: cruce faltante con sobrante(s) 279510020 (texto reverso sección)</t>
  </si>
  <si>
    <t>14:46:00</t>
  </si>
  <si>
    <t>Inicio_cajero=6180 | fecha_arqueo=06/04/2026 | d0(Saldo-(Efectivo+Dispensado-Recibido))=$130.607.300 | Tras_770500 movs=0 | remanente_770500(aplicado_con_signo_inv_BD)=$0 | diferencia_d0_menos_remanente=$130.607.300 | 810291 no_aplica_por_cobertura | signo_objetivo=negativo | clvmov=003106036 | valor_bd=$-60.568.000 | cobertura=46.37% fuera de 80%-120% | diferencia_se_mantiene=$130.607.300 | Faltante $130.607.300 &gt; umbral_sobrantes($25.000.000) | no entra cruce por cuenta sobrantes en este bloque | RESULTADO gestión manual | faltante sin cerrar con 810291/sobrantes según reglas | ARQUEOS_MF_post | faltante_residual_d0_menos_remanente_calc=$130.607.300 | umbral_grabar_faltantes=$20.000 | Escritura_Gestion_MF: ACLARAR DIFERENCIA Y REPETIR EL ARQUEO</t>
  </si>
  <si>
    <t>09:26:00</t>
  </si>
  <si>
    <t>Inicio_cajero=6218 | fecha_arqueo=06/04/2026 | d0(Saldo-(Efectivo+Dispensado-Recibido))=$1.800.000 | Tras_770500 movs=1 | remanente_770500(aplicado_con_signo_inv_BD)=$1.800.000 | diferencia_d0_menos_remanente=$0 | RESULTADO cuadrado | |diferencia|&lt;=tolerancia($1) | remanente=$1.800.000 | ARQUEOS_MF_post | faltante_residual_d0_menos_remanente_calc=$0 | umbral_grabar_faltantes=$20.000 | Escritura_Gestion_MF: texto cajero cuadrado</t>
  </si>
  <si>
    <t>15:55:00</t>
  </si>
  <si>
    <t>El faltante $300.000 es cruzado con sobrante contabilizado el día 01/04/2026 ($300.000) el cual es reversado por la seccion el día 07/04/2026</t>
  </si>
  <si>
    <t>Inicio_cajero=6242 | fecha_arqueo=01/04/2026 | d0(Saldo-(Efectivo+Dispensado-Recibido))=$177.065.000 | Tras_770500 movs=1 | remanente_770500(aplicado_con_signo_inv_BD)=$-315.000 | diferencia_d0_menos_remanente=$177.380.000 | 810291 aplica_por_signo=negativo | clvmov=003048039 | valor_bd=$-177.080.000 | aporte_inv_signo=$177.080.000 | cobertura=99.83% (rango 80%-120%) | diferencia_actual=$300.000 | 810291 sin_mas_candidatos_signo=negativo | diferencia_actual=$300.000 | Faltante restante=$300.000 &lt;= umbral_sobrantes($25.000.000) | buscar cruce en cuenta 279510020 (NUMDOC suma neta negativa = sobrante activo) | RESULTADO justificado_sobrantes | etapa1 NUMDOC posteriores al penúltimo arqueo | cant_chunks=1 | ARQUEOS_MF_post | faltante_residual_d0_menos_remanente_calc=$0 | umbral_grabar_faltantes=$20.000 | Escritura_Gestion_MF: cruce faltante con sobrante(s) 279510020 (texto reverso sección)</t>
  </si>
  <si>
    <t>08:46:53</t>
  </si>
  <si>
    <t>Inicio_cajero=6246 | fecha_arqueo=06/04/2026 | d0(Saldo-(Efectivo+Dispensado-Recibido))=$-13.240.000 | Tras_770500 movs=0 | remanente_770500(aplicado_con_signo_inv_BD)=$0 | diferencia_d0_menos_remanente=$-13.240.000 | 810291 no_aplica_por_cobertura | signo_objetivo=positivo | clvmov=003025943 | valor_bd=$3.000.000 | cobertura=22.66% fuera de 80%-120% | diferencia_se_mantiene=$-13.240.000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</si>
  <si>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Inicio_cajero=6406 | fecha_arqueo=01/04/2026 | d0(Saldo-(Efectivo+Dispensado-Recibido))=$-217.000.000 | Tras_770500 movs=0 | remanente_770500(aplicado_con_signo_inv_BD)=$0 | diferencia_d0_menos_remanente=$-217.000.000 | 810291 aplica_por_signo=positivo | clvmov=003010163 | valor_bd=$217.000.000 | aporte_inv_signo=$-217.000.000 | cobertura=100.00% (rango 80%-120%) | diferencia_actual=$0 | RESULTADO cuadrado | |diferencia|&lt;=tolerancia($1) | remanente=$-217.000.000 | ARQUEOS_MF_post | faltante_residual_d0_menos_remanente_calc=$0 | umbral_grabar_faltantes=$20.000 | Escritura_Gestion_MF: texto cajero cuadrado</t>
  </si>
  <si>
    <t>Inicio_cajero=6466 | fecha_arqueo=06/04/2026 | d0(Saldo-(Efectivo+Dispensado-Recibido))=$-9.850 | Tras_770500 movs=0 | remanente_770500(aplicado_con_signo_inv_BD)=$0 | diferencia_d0_menos_remanente=$-9.850 | 810291 no_aplica_por_cobertura | signo_objetivo=positivo | clvmov=003130800 | valor_bd=$1.435.000 | cobertura=14568.53% fuera de 80%-120% | diferencia_se_mantiene=$-9.850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</si>
  <si>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14:00:00</t>
  </si>
  <si>
    <t>Inicio_cajero=6713 | fecha_arqueo=01/04/2026 | d0(Saldo-(Efectivo+Dispensado-Recibido))=$-1.352.000 | Tras_770500 movs=0 | remanente_770500(aplicado_con_signo_inv_BD)=$0 | diferencia_d0_menos_remanente=$-1.352.000 | 810291 no_aplica_por_signo | diferencia=$-1.352.000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</si>
  <si>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09:04:00</t>
  </si>
  <si>
    <t>Inicio_cajero=6911 | fecha_arqueo=01/04/2026 | d0(Saldo-(Efectivo+Dispensado-Recibido))=$-1.000.000 | Tras_770500 movs=0 | remanente_770500(aplicado_con_signo_inv_BD)=$0 | diferencia_d0_menos_remanente=$-1.000.000 | 810291 no_aplica_por_signo | diferencia=$-1.000.000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</si>
  <si>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11:26:00</t>
  </si>
  <si>
    <t>Inicio_cajero=7074 | fecha_arqueo=06/04/2026 | d0(Saldo-(Efectivo+Dispensado-Recibido))=$12.351.650 | Tras_770500 movs=0 | remanente_770500(aplicado_con_signo_inv_BD)=$0 | diferencia_d0_menos_remanente=$12.351.650 | 810291 no_aplica_por_cobertura | signo_objetivo=negativo | clvmov=003101951 | valor_bd=$-107.322.000 | cobertura=868.89% fuera de 80%-120% | diferencia_se_mantiene=$12.351.650 | Faltante restante=$12.351.650 &lt;= umbral_sobrantes($25.000.000) | buscar cruce en cuenta 279510020 (NUMDOC suma neta negativa = sobrante activo) | Cruce sobrantes | no alcanzó faltante exacto | queda aclarar_diferencia o gestión manual | RESULTADO pendiente aclarar/repetir o faltante pequeño 168710093 (según paso ARQUEOS MF) | ARQUEOS_MF_post | faltante_residual_d0_menos_remanente_calc=$12.351.650 | umbral_grabar_faltantes=$20.000 | Escritura_Gestion_MF: ACLARAR DIFERENCIA Y REPETIR EL ARQUEO</t>
  </si>
  <si>
    <t>09:38:00</t>
  </si>
  <si>
    <t>Inicio_cajero=7429 | fecha_arqueo=01/04/2026 | d0(Saldo-(Efectivo+Dispensado-Recibido))=$-11.850 | Tras_770500 movs=0 | remanente_770500(aplicado_con_signo_inv_BD)=$0 | diferencia_d0_menos_remanente=$-11.850 | 810291 no_aplica_por_signo | diferencia=$-11.850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</si>
  <si>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09:19:00</t>
  </si>
  <si>
    <t>Inicio_cajero=7759 | fecha_arqueo=06/04/2026 | d0(Saldo-(Efectivo+Dispensado-Recibido))=$-53.750 | Tras_770500 movs=0 | remanente_770500(aplicado_con_signo_inv_BD)=$0 | diferencia_d0_menos_remanente=$-53.750 | 810291 no_aplica_por_signo | diferencia=$-53.750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</si>
  <si>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10:11:00</t>
  </si>
  <si>
    <t>Inicio_cajero=7863 | fecha_arqueo=01/04/2026 | d0(Saldo-(Efectivo+Dispensado-Recibido))=$3.979.600 | Tras_770500 movs=0 | remanente_770500(aplicado_con_signo_inv_BD)=$0 | diferencia_d0_menos_remanente=$3.979.600 | 810291 no_aplica_por_cobertura | signo_objetivo=negativo | clvmov=003120282 | valor_bd=$-60.000 | cobertura=1.51% fuera de 80%-120% | diferencia_se_mantiene=$3.979.600 | Faltante restante=$3.979.600 &lt;= umbral_sobrantes($25.000.000) | buscar cruce en cuenta 279510020 (NUMDOC suma neta negativa = sobrante activo) | Cruce sobrantes | no alcanzó faltante exacto | queda aclarar_diferencia o gestión manual | RESULTADO pendiente aclarar/repetir o faltante pequeño 168710093 (según paso ARQUEOS MF) | ARQUEOS_MF_post | faltante_residual_d0_menos_remanente_calc=$3.979.600 | umbral_grabar_faltantes=$20.000 | Escritura_Gestion_MF: ACLARAR DIFERENCIA Y REPETIR EL ARQUEO</t>
  </si>
  <si>
    <t>09:12:00</t>
  </si>
  <si>
    <t>Inicio_cajero=7875 | fecha_arqueo=06/04/2026 | d0(Saldo-(Efectivo+Dispensado-Recibido))=$200.000 | Tras_770500 movs=0 | remanente_770500(aplicado_con_signo_inv_BD)=$0 | diferencia_d0_menos_remanente=$200.000 | 810291 no_aplica_por_cobertura | signo_objetivo=negativo | clvmov=003097151 | valor_bd=$-3.191.000 | cobertura=1595.50% fuera de 80%-120% | diferencia_se_mantiene=$200.000 | Faltante restante=$200.000 &lt;= umbral_sobrantes($25.000.000) | buscar cruce en cuenta 279510020 (NUMDOC suma neta negativa = sobrante activo) | Cruce sobrantes | no alcanzó faltante exacto | queda aclarar_diferencia o gestión manual | RESULTADO pendiente aclarar/repetir o faltante pequeño 168710093 (según paso ARQUEOS MF) | ARQUEOS_MF_post | faltante_residual_d0_menos_remanente_calc=$200.000 | umbral_grabar_faltantes=$20.000 | Escritura_Gestion_MF: 168710093 (2da repetición arqueo previo con repetir)</t>
  </si>
  <si>
    <t>08:06:00</t>
  </si>
  <si>
    <t>Inicio_cajero=8019 | fecha_arqueo=06/04/2026 | d0(Saldo-(Efectivo+Dispensado-Recibido))=$4.311.500 | Tras_770500 movs=0 | remanente_770500(aplicado_con_signo_inv_BD)=$0 | diferencia_d0_menos_remanente=$4.311.500 | 810291 no_aplica_por_cobertura | signo_objetivo=negativo | clvmov=003079470 | valor_bd=$-209.966.000 | cobertura=4869.91% fuera de 80%-120% | diferencia_se_mantiene=$4.311.500 | Faltante restante=$4.311.500 &lt;= umbral_sobrantes($25.000.000) | buscar cruce en cuenta 279510020 (NUMDOC suma neta negativa = sobrante activo) | Cruce sobrantes | no alcanzó faltante exacto | queda aclarar_diferencia o gestión manual | RESULTADO pendiente aclarar/repetir o faltante pequeño 168710093 (según paso ARQUEOS MF) | ARQUEOS_MF_post | faltante_residual_d0_menos_remanente_calc=$4.311.500 | umbral_grabar_faltantes=$20.000 | Escritura_Gestion_MF: ACLARAR DIFERENCIA Y REPETIR EL ARQUEO</t>
  </si>
  <si>
    <t>14:17:00</t>
  </si>
  <si>
    <t>Inicio_cajero=8294 | fecha_arqueo=06/04/2026 | d0(Saldo-(Efectivo+Dispensado-Recibido))=$-82.159.750 | Tras_770500 movs=0 | remanente_770500(aplicado_con_signo_inv_BD)=$0 | diferencia_d0_menos_remanente=$-82.159.750 | 810291 no_aplica_por_signo | diferencia=$-82.159.750 | signo_requerido=positivo | RESULTADO sobrante_excede_tope | abs(diferencia)=$82.159.750 &gt; tope_contabilizar_sobrante($50.000.000) | marcar ACLARAR DIFERENCIA Y REPETIR EL ARQUEO | ARQUEOS_MF_post | faltante_residual_d0_menos_remanente_calc=$0 | umbral_grabar_faltantes=$20.000 | Escritura_Gestion_MF: sin texto nuevo | solo ajuste de Remanente/Diferencia</t>
  </si>
  <si>
    <t>10:28:00</t>
  </si>
  <si>
    <t>Inicio_cajero=8333 | fecha_arqueo=06/04/2026 | d0(Saldo-(Efectivo+Dispensado-Recibido))=$-120.485.850 | Tras_770500 movs=0 | remanente_770500(aplicado_con_signo_inv_BD)=$0 | diferencia_d0_menos_remanente=$-120.485.850 | 810291 aplica_por_signo=positivo | clvmov=003093461 | valor_bd=$120.000.000 | aporte_inv_signo=$-120.000.000 | cobertura=99.60% (rango 80%-120%) | diferencia_actual=$-485.850 | 810291 no_aplica_por_cobertura | signo_objetivo=positivo | clvmov=003093467 | valor_bd=$120.000.000 | cobertura=24698.98% fuera de 80%-120% | diferencia_se_mantiene=$-485.850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</si>
  <si>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15:25:00</t>
  </si>
  <si>
    <t>Inicio_cajero=8497 | fecha_arqueo=01/04/2026 | d0(Saldo-(Efectivo+Dispensado-Recibido))=$91.784.950 | Tras_770500 movs=0 | remanente_770500(aplicado_con_signo_inv_BD)=$0 | diferencia_d0_menos_remanente=$91.784.950 | 810291 aplica_por_signo=negativo | clvmov=003048038 | valor_bd=$-109.414.000 | aporte_inv_signo=$109.414.000 | cobertura=119.21% (rango 80%-120%) | diferencia_actual=$-17.629.050 | 810291 sin_mas_candidatos_signo=positivo | diferencia_actual=$-17.629.050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</si>
  <si>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08:52:00</t>
  </si>
  <si>
    <t>Inicio_cajero=8630 | fecha_arqueo=06/04/2026 | d0(Saldo-(Efectivo+Dispensado-Recibido))=$233.194.850 | Tras_770500 movs=0 | remanente_770500(aplicado_con_signo_inv_BD)=$0 | diferencia_d0_menos_remanente=$233.194.850 | 810291 aplica_por_signo=negativo | clvmov=003002577 | valor_bd=$-233.230.000 | aporte_inv_signo=$233.230.000 | cobertura=100.02% (rango 80%-120%) | diferencia_actual=$-35.150 | 810291 sin_mas_candidatos_signo=positivo | diferencia_actual=$-35.150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</si>
  <si>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09:21:00</t>
  </si>
  <si>
    <t>Inicio_cajero=8631 | fecha_arqueo=06/04/2026 | d0(Saldo-(Efectivo+Dispensado-Recibido))=$79.477.000 | Tras_770500 movs=0 | remanente_770500(aplicado_con_signo_inv_BD)=$0 | diferencia_d0_menos_remanente=$79.477.000 | 810291 aplica_por_signo=negativo | clvmov=003002575 | valor_bd=$-82.429.000 | aporte_inv_signo=$82.429.000 | cobertura=103.71% (rango 80%-120%) | diferencia_actual=$-2.952.000 | 810291 no_aplica_por_cobertura | signo_objetivo=positivo | clvmov=003002520 | valor_bd=$2.000.000 | cobertura=67.75% fuera de 80%-120% | diferencia_se_mantiene=$-2.952.000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</si>
  <si>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13:57:00</t>
  </si>
  <si>
    <t>El faltante $150.000 es cruzado con sobrante contabilizado el día 13/03/2026 ($150.000) el cual es reversado por la seccion el día 07/04/2026</t>
  </si>
  <si>
    <t>Inicio_cajero=8662 | fecha_arqueo=06/04/2026 | d0(Saldo-(Efectivo+Dispensado-Recibido))=$-194.715.000 | Tras_770500 movs=0 | remanente_770500(aplicado_con_signo_inv_BD)=$0 | diferencia_d0_menos_remanente=$-194.715.000 | 810291 aplica_por_signo=positivo | clvmov=003127386 | valor_bd=$230.000.000 | aporte_inv_signo=$-230.000.000 | cobertura=118.12% (rango 80%-120%) | diferencia_actual=$35.285.000 | 810291 aplica_por_signo=negativo | clvmov=003127477 | valor_bd=$-35.135.000 | aporte_inv_signo=$35.135.000 | cobertura=99.57% (rango 80%-120%) | diferencia_actual=$150.000 | 810291 no_aplica_por_cobertura | signo_objetivo=negativo | clvmov=003127478 | valor_bd=$-2.910.000 | cobertura=1940.00% fuera de 80%-120% | diferencia_se_mantiene=$150.000 | Faltante restante=$150.000 &lt;= umbral_sobrantes($25.000.000) | buscar cruce en cuenta 279510020 (NUMDOC suma neta negativa = sobrante activo) | RESULTADO justificado_sobrantes | etapa2 posteriores + penúltimo día (cruce parcial) | ARQUEOS_MF_post | faltante_residual_d0_menos_remanente_calc=$0 | umbral_grabar_faltantes=$20.000 | Escritura_Gestion_MF: cruce faltante con sobrante(s) 279510020 (texto reverso sección)</t>
  </si>
  <si>
    <t>15:07:00</t>
  </si>
  <si>
    <t>El faltante $117.350 es cruzado con sobrante contabilizado el día 16/03/2026 ($117.350) el cual es reversado por la seccion el día 07/04/2026</t>
  </si>
  <si>
    <t>Inicio_cajero=8679 | fecha_arqueo=06/04/2026 | d0(Saldo-(Efectivo+Dispensado-Recibido))=$117.350 | Tras_770500 movs=0 | remanente_770500(aplicado_con_signo_inv_BD)=$0 | diferencia_d0_menos_remanente=$117.350 | 810291 no_aplica_por_cobertura | signo_objetivo=negativo | clvmov=003115042 | valor_bd=$-238.482.000 | cobertura=203222.84% fuera de 80%-120% | diferencia_se_mantiene=$117.350 | Faltante restante=$117.350 &lt;= umbral_sobrantes($25.000.000) | buscar cruce en cuenta 279510020 (NUMDOC suma neta negativa = sobrante activo) | RESULTADO justificado_sobrantes | etapa2 posteriores + penúltimo día (cruce parcial) | ARQUEOS_MF_post | faltante_residual_d0_menos_remanente_calc=$0 | umbral_grabar_faltantes=$20.000 | Escritura_Gestion_MF: cruce faltante con sobrante(s) 279510020 (texto reverso sección)</t>
  </si>
  <si>
    <t>10:46:00</t>
  </si>
  <si>
    <t>Inicio_cajero=8728 | fecha_arqueo=06/04/2026 | d0(Saldo-(Efectivo+Dispensado-Recibido))=$-69.000 | Tras_770500 movs=0 | remanente_770500(aplicado_con_signo_inv_BD)=$0 | diferencia_d0_menos_remanente=$-69.000 | 810291 no_aplica_por_signo | diferencia=$-69.000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</si>
  <si>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14:55:00</t>
  </si>
  <si>
    <t>Inicio_cajero=8835 | fecha_arqueo=06/04/2026 | d0(Saldo-(Efectivo+Dispensado-Recibido))=$66.439.950 | Tras_770500 movs=0 | remanente_770500(aplicado_con_signo_inv_BD)=$0 | diferencia_d0_menos_remanente=$66.439.950 | 810291 no_aplica_por_cobertura | signo_objetivo=negativo | clvmov=003087074 | valor_bd=$-99.402.000 | cobertura=149.61% fuera de 80%-120% | diferencia_se_mantiene=$66.439.950 | Faltante $66.439.950 &gt; umbral_sobrantes($25.000.000) | no entra cruce por cuenta sobrantes en este bloque | RESULTADO gestión manual | faltante sin cerrar con 810291/sobrantes según reglas | ARQUEOS_MF_post | faltante_residual_d0_menos_remanente_calc=$66.439.950 | umbral_grabar_faltantes=$20.000 | Escritura_Gestion_MF: ACLARAR DIFERENCIA Y REPETIR EL ARQUEO</t>
  </si>
  <si>
    <t>14:54:00</t>
  </si>
  <si>
    <t>Inicio_cajero=8861 | fecha_arqueo=06/04/2026 | d0(Saldo-(Efectivo+Dispensado-Recibido))=$-25.235.000 | Tras_770500 movs=1 | remanente_770500(aplicado_con_signo_inv_BD)=$-24.925.000 | diferencia_d0_menos_remanente=$-310.000 | 810291 no_aplica_por_cobertura | signo_objetivo=positivo | clvmov=003013469 | valor_bd=$70.000.000 | cobertura=22580.65% fuera de 80%-120% | diferencia_se_mantiene=$-310.000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</si>
  <si>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11:45:00</t>
  </si>
  <si>
    <t>Inicio_cajero=9051 | fecha_arqueo=06/04/2026 | d0(Saldo-(Efectivo+Dispensado-Recibido))=$-106.173.900 | Tras_770500 movs=0 | remanente_770500(aplicado_con_signo_inv_BD)=$0 | diferencia_d0_menos_remanente=$-106.173.900 | 810291 no_aplica_por_signo | diferencia=$-106.173.900 | signo_requerido=positivo | RESULTADO sobrante_excede_tope | abs(diferencia)=$106.173.900 &gt; tope_contabilizar_sobrante($50.000.000) | marcar ACLARAR DIFERENCIA Y REPETIR EL ARQUEO | ARQUEOS_MF_post | faltante_residual_d0_menos_remanente_calc=$0 | umbral_grabar_faltantes=$20.000 | Escritura_Gestion_MF: sin texto nuevo | solo ajuste de Remanente/Diferencia</t>
  </si>
  <si>
    <t>14:05:00</t>
  </si>
  <si>
    <t>Inicio_cajero=9580 | fecha_arqueo=06/04/2026 | d0(Saldo-(Efectivo+Dispensado-Recibido))=$-107.217.000 | Tras_770500 movs=0 | remanente_770500(aplicado_con_signo_inv_BD)=$0 | diferencia_d0_menos_remanente=$-107.217.000 | 810291 aplica_por_signo=positivo | clvmov=003070451 | valor_bd=$104.000.000 | aporte_inv_signo=$-104.000.000 | cobertura=97.00% (rango 80%-120%) | diferencia_actual=$-3.217.000 | 810291 sin_mas_candidatos_signo=positivo | diferencia_actual=$-3.217.000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</si>
  <si>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09:52:00</t>
  </si>
  <si>
    <t>Inicio_cajero=9810 | fecha_arqueo=06/04/2026 | d0(Saldo-(Efectivo+Dispensado-Recibido))=$58.714.700 | Tras_770500 movs=0 | remanente_770500(aplicado_con_signo_inv_BD)=$0 | diferencia_d0_menos_remanente=$58.714.700 | 810291 no_aplica_por_cobertura | signo_objetivo=negativo | clvmov=003085898 | valor_bd=$-315.773.000 | cobertura=537.81% fuera de 80%-120% | diferencia_se_mantiene=$58.714.700 | Faltante $58.714.700 &gt; umbral_sobrantes($25.000.000) | no entra cruce por cuenta sobrantes en este bloque | RESULTADO gestión manual | faltante sin cerrar con 810291/sobrantes según reglas | ARQUEOS_MF_post | faltante_residual_d0_menos_remanente_calc=$58.714.700 | umbral_grabar_faltantes=$20.000 | Escritura_Gestion_MF: ACLARAR DIFERENCIA Y REPETIR EL ARQUEO</t>
  </si>
  <si>
    <t>09:35:00</t>
  </si>
  <si>
    <t>Inicio_cajero=9811 | fecha_arqueo=06/04/2026 | d0(Saldo-(Efectivo+Dispensado-Recibido))=$-76.284.700 | Tras_770500 movs=0 | remanente_770500(aplicado_con_signo_inv_BD)=$0 | diferencia_d0_menos_remanente=$-76.284.700 | 810291 no_aplica_por_signo | diferencia=$-76.284.700 | signo_requerido=positivo | RESULTADO sobrante_excede_tope | abs(diferencia)=$76.284.700 &gt; tope_contabilizar_sobrante($50.000.000) | marcar ACLARAR DIFERENCIA Y REPETIR EL ARQUEO | ARQUEOS_MF_post | faltante_residual_d0_menos_remanente_calc=$0 | umbral_grabar_faltantes=$20.000 | Escritura_Gestion_MF: sin texto nuevo | solo ajuste de Remanente/Diferencia</t>
  </si>
  <si>
    <t>09:10:00</t>
  </si>
  <si>
    <t>Inicio_cajero=5200 | fecha_arqueo=06/04/2026 | d0(Saldo-(Efectivo+Dispensado-Recibido))=$0 | Tras_770500 movs=0 | remanente_770500(aplicado_con_signo_inv_BD)=$0 | diferencia_d0_menos_remanente=$0 | RESULTADO cuadrado | |diferencia|&lt;=tolerancia($1) | remanente=$0 | ARQUEOS_MF_post | faltante_residual_d0_menos_remanente_calc=$0 | umbral_grabar_faltantes=$20.000 | Escritura_Gestion_MF: texto cajero cuadrado</t>
  </si>
  <si>
    <t>Inicio_cajero=6818 | fecha_arqueo=01/04/2026 | d0(Saldo-(Efectivo+Dispensado-Recibido))=$0 | Tras_770500 movs=0 | remanente_770500(aplicado_con_signo_inv_BD)=$0 | diferencia_d0_menos_remanente=$0 | RESULTADO cuadrado | |diferencia|&lt;=tolerancia($1) | remanente=$0 | ARQUEOS_MF_post | faltante_residual_d0_menos_remanente_calc=$0 | umbral_grabar_faltantes=$20.000 | Escritura_Gestion_MF: texto cajero cuadrado</t>
  </si>
  <si>
    <t>Inicio_cajero=5139 | fecha_arqueo=01/04/2026 | d0(Saldo-(Efectivo+Dispensado-Recibido))=$0 | Tras_770500 movs=0 | remanente_770500(aplicado_con_signo_inv_BD)=$0 | diferencia_d0_menos_remanente=$0 | RESULTADO cuadrado | |diferencia|&lt;=tolerancia($1) | remanente=$0 | ARQUEOS_MF_post | faltante_residual_d0_menos_remanente_calc=$0 | umbral_grabar_faltantes=$20.000 | Escritura_Gestion_MF: texto cajero cuadrado</t>
  </si>
  <si>
    <t>Inicio_cajero=5221 | fecha_arqueo=06/04/2026 | d0(Saldo-(Efectivo+Dispensado-Recibido))=$0 | Tras_770500 movs=0 | remanente_770500(aplicado_con_signo_inv_BD)=$0 | diferencia_d0_menos_remanente=$0 | RESULTADO cuadrado | |diferencia|&lt;=tolerancia($1) | remanente=$0 | ARQUEOS_MF_post | faltante_residual_d0_menos_remanente_calc=$0 | umbral_grabar_faltantes=$20.000 | Escritura_Gestion_MF: texto cajero cuadrado</t>
  </si>
  <si>
    <t>Inicio_cajero=6906 | fecha_arqueo=06/04/2026 | d0(Saldo-(Efectivo+Dispensado-Recibido))=$0 | Tras_770500 movs=0 | remanente_770500(aplicado_con_signo_inv_BD)=$0 | diferencia_d0_menos_remanente=$0 | RESULTADO cuadrado | |diferencia|&lt;=tolerancia($1) | remanente=$0 | ARQUEOS_MF_post | faltante_residual_d0_menos_remanente_calc=$0 | umbral_grabar_faltantes=$20.000 | Escritura_Gestion_MF: texto cajero cuadrado</t>
  </si>
  <si>
    <t>16:28:00</t>
  </si>
  <si>
    <t>Inicio_cajero=2208 | fecha_arqueo=06/04/2026 | d0(Saldo-(Efectivo+Dispensado-Recibido))=$0 | Tras_770500 movs=0 | remanente_770500(aplicado_con_signo_inv_BD)=$0 | diferencia_d0_menos_remanente=$0 | RESULTADO cuadrado | |diferencia|&lt;=tolerancia($1) | remanente=$0 | ARQUEOS_MF_post | faltante_residual_d0_menos_remanente_calc=$0 | umbral_grabar_faltantes=$20.000 | Escritura_Gestion_MF: texto cajero cuadrado</t>
  </si>
  <si>
    <t>11:34:00</t>
  </si>
  <si>
    <t>La diferencia es contabilizada por la Gerencia De Autoservicios y Efectivo de manera centralizada a la cuenta de sobrantes 279510020 el 08/04/2026</t>
  </si>
  <si>
    <t>Inicio_cajero=788 | fecha_arqueo=07/04/2026 | d0(Saldo-(Efectivo+Dispensado-Recibido))=$-7.882.450 | Tras_770500 movs=0 | remanente_770500(aplicado_con_signo_inv_BD)=$0 | diferencia_d0_menos_remanente=$-7.882.450 | 810291 no_aplica_por_signo | diferencia=$-7.882.450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</si>
  <si>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Inicio_cajero=1515 | fecha_arqueo=07/04/2026 | d0(Saldo-(Efectivo+Dispensado-Recibido))=$-18.987.250 | Tras_770500 movs=0 | remanente_770500(aplicado_con_signo_inv_BD)=$0 | diferencia_d0_menos_remanente=$-18.987.250 | 810291 no_aplica_por_signo | diferencia=$-18.987.250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</si>
  <si>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09:54:00</t>
  </si>
  <si>
    <t>Inicio_cajero=2228 | fecha_arqueo=07/04/2026 | d0(Saldo-(Efectivo+Dispensado-Recibido))=$-6.489.700 | Tras_770500 movs=0 | remanente_770500(aplicado_con_signo_inv_BD)=$0 | diferencia_d0_menos_remanente=$-6.489.700 | 810291 no_aplica_por_signo | diferencia=$-6.489.700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</si>
  <si>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16:06:00</t>
  </si>
  <si>
    <t>Inicio_cajero=5002 | fecha_arqueo=07/04/2026 | d0(Saldo-(Efectivo+Dispensado-Recibido))=$-2.362.000 | Tras_770500 movs=0 | remanente_770500(aplicado_con_signo_inv_BD)=$0 | diferencia_d0_menos_remanente=$-2.362.000 | 810291 no_aplica_por_signo | diferencia=$-2.362.000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</si>
  <si>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10:06:00</t>
  </si>
  <si>
    <t>Inicio_cajero=5020 | fecha_arqueo=07/04/2026 | d0(Saldo-(Efectivo+Dispensado-Recibido))=$-2.700 | Tras_770500 movs=0 | remanente_770500(aplicado_con_signo_inv_BD)=$0 | diferencia_d0_menos_remanente=$-2.700 | 810291 no_aplica_por_cobertura | signo_objetivo=positivo | clvmov=003115785 | valor_bd=$20.000.000 | cobertura=740740.74% fuera de 80%-120% | diferencia_se_mantiene=$-2.700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</si>
  <si>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Inicio_cajero=5027 | fecha_arqueo=07/04/2026 | d0(Saldo-(Efectivo+Dispensado-Recibido))=$-290.000 | Tras_770500 movs=0 | remanente_770500(aplicado_con_signo_inv_BD)=$0 | diferencia_d0_menos_remanente=$-290.000 | 810291 aplica_por_signo=positivo | clvmov=003010874 | valor_bd=$290.000 | aporte_inv_signo=$-290.000 | cobertura=100.00% (rango 80%-120%) | diferencia_actual=$0 | RESULTADO cuadrado | |diferencia|&lt;=tolerancia($1) | remanente=$-290.000 | ARQUEOS_MF_post | faltante_residual_d0_menos_remanente_calc=$0 | umbral_grabar_faltantes=$20.000 | Escritura_Gestion_MF: texto cajero cuadrado</t>
  </si>
  <si>
    <t>12:02:00</t>
  </si>
  <si>
    <t>Inicio_cajero=5030 | fecha_arqueo=07/04/2026 | d0(Saldo-(Efectivo+Dispensado-Recibido))=$-50 | Tras_770500 movs=0 | remanente_770500(aplicado_con_signo_inv_BD)=$0 | diferencia_d0_menos_remanente=$-50 | 810291 no_aplica_por_cobertura | signo_objetivo=positivo | clvmov=003036226 | valor_bd=$159.400 | cobertura=318800.00% fuera de 80%-120% | diferencia_se_mantiene=$-50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</si>
  <si>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10:21:00</t>
  </si>
  <si>
    <t>Inicio_cajero=5043 | fecha_arqueo=07/04/2026 | d0(Saldo-(Efectivo+Dispensado-Recibido))=$-4.015.000 | Tras_770500 movs=0 | remanente_770500(aplicado_con_signo_inv_BD)=$0 | diferencia_d0_menos_remanente=$-4.015.000 | 810291 no_aplica_por_signo | diferencia=$-4.015.000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</si>
  <si>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08:46:00</t>
  </si>
  <si>
    <t>El faltante $95.550 es cruzado con sobrante contabilizado el día 11/03/2026 ($95.550) el cual es reversado por la seccion el día 08/04/2026</t>
  </si>
  <si>
    <t>Inicio_cajero=5047 | fecha_arqueo=07/04/2026 | d0(Saldo-(Efectivo+Dispensado-Recibido))=$95.550 | Tras_770500 movs=0 | remanente_770500(aplicado_con_signo_inv_BD)=$0 | diferencia_d0_menos_remanente=$95.550 | 810291 no_aplica_por_cobertura | signo_objetivo=negativo | clvmov=003087377 | valor_bd=$-126.215.000 | cobertura=132093.14% fuera de 80%-120% | diferencia_se_mantiene=$95.550 | Faltante restante=$95.550 &lt;= umbral_sobrantes($25.000.000) | buscar cruce en cuenta 279510020 (NUMDOC suma neta negativa = sobrante activo) | RESULTADO justificado_sobrantes | etapa1 NUMDOC posteriores al penúltimo arqueo | cant_chunks=1 | ARQUEOS_MF_post | faltante_residual_d0_menos_remanente_calc=$0 | umbral_grabar_faltantes=$20.000 | Escritura_Gestion_MF: cruce faltante con sobrante(s) 279510020 (texto reverso sección)</t>
  </si>
  <si>
    <t>09:47:00</t>
  </si>
  <si>
    <t>Inicio_cajero=5059 | fecha_arqueo=07/04/2026 | d0(Saldo-(Efectivo+Dispensado-Recibido))=$-1.444.200 | Tras_770500 movs=1 | remanente_770500(aplicado_con_signo_inv_BD)=$665.000 | diferencia_d0_menos_remanente=$-2.109.200 | 810291 no_aplica_por_signo | diferencia=$-2.109.200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</si>
  <si>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09:09:00</t>
  </si>
  <si>
    <t>Inicio_cajero=5087 | fecha_arqueo=07/04/2026 | d0(Saldo-(Efectivo+Dispensado-Recibido))=$1.828.800 | Tras_770500 movs=1 | remanente_770500(aplicado_con_signo_inv_BD)=$1.828.800 | diferencia_d0_menos_remanente=$0 | RESULTADO cuadrado | |diferencia|&lt;=tolerancia($1) | remanente=$1.828.800 | ARQUEOS_MF_post | faltante_residual_d0_menos_remanente_calc=$0 | umbral_grabar_faltantes=$20.000 | Escritura_Gestion_MF: texto cajero cuadrado</t>
  </si>
  <si>
    <t>Inicio_cajero=5103 | fecha_arqueo=07/04/2026 | d0(Saldo-(Efectivo+Dispensado-Recibido))=$-2.156.100 | Tras_770500 movs=1 | remanente_770500(aplicado_con_signo_inv_BD)=$-6.100 | diferencia_d0_menos_remanente=$-2.150.000 | 810291 no_aplica_por_signo | diferencia=$-2.150.000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</si>
  <si>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08:42:00</t>
  </si>
  <si>
    <t>El faltante $140.000 es cruzado con sobrante contabilizado el día 01/04/2026 ($140.000) el cual es reversado por la seccion el día 08/04/2026</t>
  </si>
  <si>
    <t>Inicio_cajero=5115 | fecha_arqueo=07/04/2026 | d0(Saldo-(Efectivo+Dispensado-Recibido))=$3.300.000 | Tras_770500 movs=2 | remanente_770500(aplicado_con_signo_inv_BD)=$3.160.000 | diferencia_d0_menos_remanente=$140.000 | 810291 no_aplica_por_cobertura | signo_objetivo=negativo | clvmov=003121267 | valor_bd=$-92.831.000 | cobertura=66307.86% fuera de 80%-120% | diferencia_se_mantiene=$140.000 | Faltante restante=$140.000 &lt;= umbral_sobrantes($25.000.000) | buscar cruce en cuenta 279510020 (NUMDOC suma neta negativa = sobrante activo) | RESULTADO justificado_sobrantes | etapa1 NUMDOC posteriores al penúltimo arqueo | cant_chunks=1 | ARQUEOS_MF_post | faltante_residual_d0_menos_remanente_calc=$0 | umbral_grabar_faltantes=$20.000 | Escritura_Gestion_MF: cruce faltante con sobrante(s) 279510020 (texto reverso sección)</t>
  </si>
  <si>
    <t>10:09:00</t>
  </si>
  <si>
    <t>Inicio_cajero=5142 | fecha_arqueo=07/04/2026 | d0(Saldo-(Efectivo+Dispensado-Recibido))=$90.000 | Tras_770500 movs=0 | remanente_770500(aplicado_con_signo_inv_BD)=$0 | diferencia_d0_menos_remanente=$90.000 | 810291 no_aplica_por_cobertura | signo_objetivo=negativo | clvmov=003011675 | valor_bd=$-130.520.000 | cobertura=145022.22% fuera de 80%-120% | diferencia_se_mantiene=$90.000 | Faltante restante=$90.000 &lt;= umbral_sobrantes($25.000.000) | buscar cruce en cuenta 279510020 (NUMDOC suma neta negativa = sobrante activo) | Cruce sobrantes | no alcanzó faltante exacto | queda aclarar_diferencia o gestión manual | RESULTADO pendiente aclarar/repetir o faltante pequeño 168710093 (según paso ARQUEOS MF) | ARQUEOS_MF_post | faltante_residual_d0_menos_remanente_calc=$90.000 | umbral_grabar_faltantes=$20.000 | Escritura_Gestion_MF: ACLARAR DIFERENCIA Y REPETIR EL ARQUEO</t>
  </si>
  <si>
    <t>11:40:00</t>
  </si>
  <si>
    <t>Inicio_cajero=5144 | fecha_arqueo=07/04/2026 | d0(Saldo-(Efectivo+Dispensado-Recibido))=$-5.101.950 | Tras_770500 movs=1 | remanente_770500(aplicado_con_signo_inv_BD)=$-5.089.000 | diferencia_d0_menos_remanente=$-12.950 | 810291 no_aplica_por_signo | diferencia=$-12.950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</si>
  <si>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11:39:00</t>
  </si>
  <si>
    <t>Inicio_cajero=5149 | fecha_arqueo=07/04/2026 | d0(Saldo-(Efectivo+Dispensado-Recibido))=$-400 | Tras_770500 movs=1 | remanente_770500(aplicado_con_signo_inv_BD)=$-400 | diferencia_d0_menos_remanente=$0 | RESULTADO cuadrado | |diferencia|&lt;=tolerancia($1) | remanente=$-400 | ARQUEOS_MF_post | faltante_residual_d0_menos_remanente_calc=$0 | umbral_grabar_faltantes=$20.000 | Escritura_Gestion_MF: texto cajero cuadrado</t>
  </si>
  <si>
    <t>08:23:48</t>
  </si>
  <si>
    <t>Inicio_cajero=5157 | fecha_arqueo=07/04/2026 | d0(Saldo-(Efectivo+Dispensado-Recibido))=$-1.250.000 | Tras_770500 movs=0 | remanente_770500(aplicado_con_signo_inv_BD)=$0 | diferencia_d0_menos_remanente=$-1.250.000 | 810291 no_aplica_por_signo | diferencia=$-1.250.000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</si>
  <si>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15:37:00</t>
  </si>
  <si>
    <t>Inicio_cajero=5167 | fecha_arqueo=07/04/2026 | d0(Saldo-(Efectivo+Dispensado-Recibido))=$-215.000 | Tras_770500 movs=0 | remanente_770500(aplicado_con_signo_inv_BD)=$0 | diferencia_d0_menos_remanente=$-215.000 | 810291 no_aplica_por_cobertura | signo_objetivo=positivo | clvmov=003090963 | valor_bd=$180.000.000 | cobertura=83720.93% fuera de 80%-120% | diferencia_se_mantiene=$-215.000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</si>
  <si>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10:32:00</t>
  </si>
  <si>
    <t>Inicio_cajero=5176 | fecha_arqueo=07/04/2026 | d0(Saldo-(Efectivo+Dispensado-Recibido))=$-1.725.000 | Tras_770500 movs=1 | remanente_770500(aplicado_con_signo_inv_BD)=$385.000 | diferencia_d0_menos_remanente=$-2.110.000 | 810291 no_aplica_por_signo | diferencia=$-2.110.000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</si>
  <si>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10:53:00</t>
  </si>
  <si>
    <t>La diferencia es contabilizada por la Gerencia De Autoservicios y Efectivo de manera centralizada a la cuenta de faltantes 168710093 el 08/04/2026, esta diferencia ingresa a proceso de investigación en el área para identificar a que corresponde.</t>
  </si>
  <si>
    <t>Inicio_cajero=5183 | fecha_arqueo=07/04/2026 | d0(Saldo-(Efectivo+Dispensado-Recibido))=$6.618.900 | Tras_770500 movs=4 | remanente_770500(aplicado_con_signo_inv_BD)=$6.222.950 | diferencia_d0_menos_remanente=$395.950 | 810291 no_aplica_por_cobertura | signo_objetivo=negativo | clvmov=003101092 | valor_bd=$-187.676.000 | cobertura=47398.91% fuera de 80%-120% | diferencia_se_mantiene=$395.950 | Faltante restante=$395.950 &lt;= umbral_sobrantes($25.000.000) | buscar cruce en cuenta 279510020 (NUMDOC suma neta negativa = sobrante activo) | Cruce sobrantes | no alcanzó faltante exacto | queda aclarar_diferencia o gestión manual | RESULTADO pendiente aclarar/repetir o faltante pequeño 168710093 (según paso ARQUEOS MF) | ARQUEOS_MF_post | faltante_residual_d0_menos_remanente_calc=$395.950 | umbral_grabar_faltantes=$20.000 | Escritura_Gestion_MF: 168710093 (2da repetición arqueo previo con repetir)</t>
  </si>
  <si>
    <t>Inicio_cajero=5192 | fecha_arqueo=07/04/2026 | d0(Saldo-(Efectivo+Dispensado-Recibido))=$-51.600 | Tras_770500 movs=0 | remanente_770500(aplicado_con_signo_inv_BD)=$0 | diferencia_d0_menos_remanente=$-51.600 | 810291 no_aplica_por_cobertura | signo_objetivo=positivo | clvmov=003097369 | valor_bd=$10.000 | cobertura=19.38% fuera de 80%-120% | diferencia_se_mantiene=$-51.600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</si>
  <si>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09:15:00</t>
  </si>
  <si>
    <t>Inicio_cajero=5194 | fecha_arqueo=07/04/2026 | d0(Saldo-(Efectivo+Dispensado-Recibido))=$-4.330.000 | Tras_770500 movs=0 | remanente_770500(aplicado_con_signo_inv_BD)=$0 | diferencia_d0_menos_remanente=$-4.330.000 | 810291 no_aplica_por_cobertura | signo_objetivo=positivo | clvmov=003062717 | valor_bd=$20.000.000 | cobertura=461.89% fuera de 80%-120% | diferencia_se_mantiene=$-4.330.000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</si>
  <si>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Inicio_cajero=5195 | fecha_arqueo=07/04/2026 | d0(Saldo-(Efectivo+Dispensado-Recibido))=$164.000 | Tras_770500 movs=1 | remanente_770500(aplicado_con_signo_inv_BD)=$1.164.000 | diferencia_d0_menos_remanente=$-1.000.000 | 810291 no_aplica_por_signo | diferencia=$-1.000.000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</si>
  <si>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14:18:00</t>
  </si>
  <si>
    <t>Inicio_cajero=5216 | fecha_arqueo=07/04/2026 | d0(Saldo-(Efectivo+Dispensado-Recibido))=$-1.750.100 | Tras_770500 movs=0 | remanente_770500(aplicado_con_signo_inv_BD)=$0 | diferencia_d0_menos_remanente=$-1.750.100 | 810291 no_aplica_por_signo | diferencia=$-1.750.100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</si>
  <si>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08:57:00</t>
  </si>
  <si>
    <t>Inicio_cajero=5220 | fecha_arqueo=07/04/2026 | d0(Saldo-(Efectivo+Dispensado-Recibido))=$-1.292.650 | Tras_770500 movs=0 | remanente_770500(aplicado_con_signo_inv_BD)=$0 | diferencia_d0_menos_remanente=$-1.292.650 | 810291 no_aplica_por_cobertura | signo_objetivo=positivo | clvmov=003121403 | valor_bd=$2.250.000 | cobertura=174.06% fuera de 80%-120% | diferencia_se_mantiene=$-1.292.650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</si>
  <si>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El faltante $1.000.000 es cruzado con sobrante contabilizado el día 10/03/2026 ($631.600), el día 13/03/2026 ($368.400) el cual es reversado por la seccion el día 08/04/2026</t>
  </si>
  <si>
    <t>Inicio_cajero=6169 | fecha_arqueo=07/04/2026 | d0(Saldo-(Efectivo+Dispensado-Recibido))=$-533.000 | Tras_770500 movs=1 | remanente_770500(aplicado_con_signo_inv_BD)=$-1.533.000 | diferencia_d0_menos_remanente=$1.000.000 | 810291 no_aplica_por_cobertura | signo_objetivo=negativo | clvmov=003111216 | valor_bd=$-280.087.000 | cobertura=28008.70% fuera de 80%-120% | diferencia_se_mantiene=$1.000.000 | Faltante restante=$1.000.000 &lt;= umbral_sobrantes($25.000.000) | buscar cruce en cuenta 279510020 (NUMDOC suma neta negativa = sobrante activo) | RESULTADO justificado_sobrantes | etapa1 NUMDOC posteriores al penúltimo arqueo | cant_chunks=2 | ARQUEOS_MF_post | faltante_residual_d0_menos_remanente_calc=$0 | umbral_grabar_faltantes=$20.000 | Escritura_Gestion_MF: cruce faltante con sobrante(s) 279510020 (texto reverso sección)</t>
  </si>
  <si>
    <t>14:58:00</t>
  </si>
  <si>
    <t>Inicio_cajero=6186 | fecha_arqueo=07/04/2026 | d0(Saldo-(Efectivo+Dispensado-Recibido))=$222.829.000 | Tras_770500 movs=0 | remanente_770500(aplicado_con_signo_inv_BD)=$0 | diferencia_d0_menos_remanente=$222.829.000 | 810291 aplica_por_signo=negativo | clvmov=003049603 | valor_bd=$-230.439.000 | aporte_inv_signo=$230.439.000 | cobertura=103.42% (rango 80%-120%) | diferencia_actual=$-7.610.000 | 810291 sin_mas_candidatos_signo=positivo | diferencia_actual=$-7.610.000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</si>
  <si>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09:50:00</t>
  </si>
  <si>
    <t>Inicio_cajero=6243 | fecha_arqueo=07/04/2026 | d0(Saldo-(Efectivo+Dispensado-Recibido))=$3.600.000 | Tras_770500 movs=0 | remanente_770500(aplicado_con_signo_inv_BD)=$0 | diferencia_d0_menos_remanente=$3.600.000 | 810291 no_aplica_por_cobertura | signo_objetivo=negativo | clvmov=003043312 | valor_bd=$-43.308.000 | cobertura=1203.00% fuera de 80%-120% | diferencia_se_mantiene=$3.600.000 | Faltante restante=$3.600.000 &lt;= umbral_sobrantes($25.000.000) | buscar cruce en cuenta 279510020 (NUMDOC suma neta negativa = sobrante activo) | Cruce sobrantes | no alcanzó faltante exacto | queda aclarar_diferencia o gestión manual | RESULTADO pendiente aclarar/repetir o faltante pequeño 168710093 (según paso ARQUEOS MF) | ARQUEOS_MF_post | faltante_residual_d0_menos_remanente_calc=$3.600.000 | umbral_grabar_faltantes=$20.000 | Escritura_Gestion_MF: ACLARAR DIFERENCIA Y REPETIR EL ARQUEO</t>
  </si>
  <si>
    <t>08:05:00</t>
  </si>
  <si>
    <t>Inicio_cajero=6245 | fecha_arqueo=07/04/2026 | d0(Saldo-(Efectivo+Dispensado-Recibido))=$285.088.500 | Tras_770500 movs=0 | remanente_770500(aplicado_con_signo_inv_BD)=$0 | diferencia_d0_menos_remanente=$285.088.500 | 810291 aplica_por_signo=negativo | clvmov=003021047 | valor_bd=$-286.557.000 | aporte_inv_signo=$286.557.000 | cobertura=100.52% (rango 80%-120%) | diferencia_actual=$-1.468.500 | 810291 sin_mas_candidatos_signo=positivo | diferencia_actual=$-1.468.500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</si>
  <si>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10:19:00</t>
  </si>
  <si>
    <t>Inicio_cajero=6843 | fecha_arqueo=07/04/2026 | d0(Saldo-(Efectivo+Dispensado-Recibido))=$-5.000.000 | Tras_770500 movs=0 | remanente_770500(aplicado_con_signo_inv_BD)=$0 | diferencia_d0_menos_remanente=$-5.000.000 | 810291 no_aplica_por_signo | diferencia=$-5.000.000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</si>
  <si>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09:22:00</t>
  </si>
  <si>
    <t>Inicio_cajero=7375 | fecha_arqueo=07/04/2026 | d0(Saldo-(Efectivo+Dispensado-Recibido))=$-1.240.000 | Tras_770500 movs=0 | remanente_770500(aplicado_con_signo_inv_BD)=$0 | diferencia_d0_menos_remanente=$-1.240.000 | 810291 no_aplica_por_signo | diferencia=$-1.240.000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</si>
  <si>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10:27:00</t>
  </si>
  <si>
    <t>El faltante $361.300 es cruzado con sobrante contabilizado el día 10/03/2026 ($361.300) el cual es reversado por la seccion el día 08/04/2026</t>
  </si>
  <si>
    <t>Inicio_cajero=7613 | fecha_arqueo=07/04/2026 | d0(Saldo-(Efectivo+Dispensado-Recibido))=$361.300 | Tras_770500 movs=0 | remanente_770500(aplicado_con_signo_inv_BD)=$0 | diferencia_d0_menos_remanente=$361.300 | 810291 no_aplica_por_cobertura | signo_objetivo=negativo | clvmov=003107210 | valor_bd=$-93.148.000 | cobertura=25781.35% fuera de 80%-120% | diferencia_se_mantiene=$361.300 | Faltante restante=$361.300 &lt;= umbral_sobrantes($25.000.000) | buscar cruce en cuenta 279510020 (NUMDOC suma neta negativa = sobrante activo) | RESULTADO justificado_sobrantes | etapa1 NUMDOC posteriores al penúltimo arqueo | cant_chunks=1 | ARQUEOS_MF_post | faltante_residual_d0_menos_remanente_calc=$0 | umbral_grabar_faltantes=$20.000 | Escritura_Gestion_MF: cruce faltante con sobrante(s) 279510020 (texto reverso sección)</t>
  </si>
  <si>
    <t>11:05:00</t>
  </si>
  <si>
    <t>Inicio_cajero=7614 | fecha_arqueo=07/04/2026 | d0(Saldo-(Efectivo+Dispensado-Recibido))=$905.000 | Tras_770500 movs=0 | remanente_770500(aplicado_con_signo_inv_BD)=$0 | diferencia_d0_menos_remanente=$905.000 | 810291 no_aplica_por_cobertura | signo_objetivo=negativo | clvmov=003107211 | valor_bd=$-188.703.000 | cobertura=20851.16% fuera de 80%-120% | diferencia_se_mantiene=$905.000 | Faltante restante=$905.000 &lt;= umbral_sobrantes($25.000.000) | buscar cruce en cuenta 279510020 (NUMDOC suma neta negativa = sobrante activo) | Cruce sobrantes | no alcanzó faltante exacto | queda aclarar_diferencia o gestión manual | RESULTADO pendiente aclarar/repetir o faltante pequeño 168710093 (según paso ARQUEOS MF) | ARQUEOS_MF_post | faltante_residual_d0_menos_remanente_calc=$905.000 | umbral_grabar_faltantes=$20.000 | Escritura_Gestion_MF: ACLARAR DIFERENCIA Y REPETIR EL ARQUEO</t>
  </si>
  <si>
    <t>10:25:00</t>
  </si>
  <si>
    <t>Inicio_cajero=7812 | fecha_arqueo=07/04/2026 | d0(Saldo-(Efectivo+Dispensado-Recibido))=$1.380.000 | Tras_770500 movs=0 | remanente_770500(aplicado_con_signo_inv_BD)=$0 | diferencia_d0_menos_remanente=$1.380.000 | 810291 no_aplica_por_cobertura | signo_objetivo=negativo | clvmov=003002420 | valor_bd=$-75.800.000 | cobertura=5492.75% fuera de 80%-120% | diferencia_se_mantiene=$1.380.000 | Faltante restante=$1.380.000 &lt;= umbral_sobrantes($25.000.000) | buscar cruce en cuenta 279510020 (NUMDOC suma neta negativa = sobrante activo) | Cruce sobrantes | no alcanzó faltante exacto | queda aclarar_diferencia o gestión manual | RESULTADO pendiente aclarar/repetir o faltante pequeño 168710093 (según paso ARQUEOS MF) | ARQUEOS_MF_post | faltante_residual_d0_menos_remanente_calc=$1.380.000 | umbral_grabar_faltantes=$20.000 | Escritura_Gestion_MF: ACLARAR DIFERENCIA Y REPETIR EL ARQUEO</t>
  </si>
  <si>
    <t>08:04:00</t>
  </si>
  <si>
    <t>El faltante $10.000 es cruzado con sobrante contabilizado el día 10/03/2026 ($10.000) el cual es reversado por la seccion el día 08/04/2026</t>
  </si>
  <si>
    <t>Inicio_cajero=8204 | fecha_arqueo=07/04/2026 | d0(Saldo-(Efectivo+Dispensado-Recibido))=$9.800 | Tras_770500 movs=1 | remanente_770500(aplicado_con_signo_inv_BD)=$-200 | diferencia_d0_menos_remanente=$10.000 | 810291 no_aplica_por_cobertura | signo_objetivo=negativo | clvmov=003107004 | valor_bd=$-66.335.000 | cobertura=663350.00% fuera de 80%-120% | diferencia_se_mantiene=$10.000 | Faltante restante=$10.000 &lt;= umbral_sobrantes($25.000.000) | buscar cruce en cuenta 279510020 (NUMDOC suma neta negativa = sobrante activo) | RESULTADO justificado_sobrantes | etapa1 NUMDOC posteriores al penúltimo arqueo | cant_chunks=1 | ARQUEOS_MF_post | faltante_residual_d0_menos_remanente_calc=$0 | umbral_grabar_faltantes=$20.000 | Escritura_Gestion_MF: cruce faltante con sobrante(s) 279510020 (texto reverso sección)</t>
  </si>
  <si>
    <t>10:35:00</t>
  </si>
  <si>
    <t>Inicio_cajero=8290 | fecha_arqueo=07/04/2026 | d0(Saldo-(Efectivo+Dispensado-Recibido))=$69.999.050 | Tras_770500 movs=0 | remanente_770500(aplicado_con_signo_inv_BD)=$0 | diferencia_d0_menos_remanente=$69.999.050 | 810291 no_aplica_por_cobertura | signo_objetivo=negativo | clvmov=003120602 | valor_bd=$-424.010.000 | cobertura=605.74% fuera de 80%-120% | diferencia_se_mantiene=$69.999.050 | Faltante $69.999.050 &gt; umbral_sobrantes($25.000.000) | no entra cruce por cuenta sobrantes en este bloque | RESULTADO gestión manual | faltante sin cerrar con 810291/sobrantes según reglas | ARQUEOS_MF_post | faltante_residual_d0_menos_remanente_calc=$69.999.050 | umbral_grabar_faltantes=$20.000 | Escritura_Gestion_MF: ACLARAR DIFERENCIA Y REPETIR EL ARQUEO</t>
  </si>
  <si>
    <t>Inicio_cajero=8313 | fecha_arqueo=07/04/2026 | d0(Saldo-(Efectivo+Dispensado-Recibido))=$-12.950 | Tras_770500 movs=0 | remanente_770500(aplicado_con_signo_inv_BD)=$0 | diferencia_d0_menos_remanente=$-12.950 | 810291 no_aplica_por_cobertura | signo_objetivo=positivo | clvmov=003120537 | valor_bd=$150.000 | cobertura=1158.30% fuera de 80%-120% | diferencia_se_mantiene=$-12.950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</si>
  <si>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Inicio_cajero=8314 | fecha_arqueo=07/04/2026 | d0(Saldo-(Efectivo+Dispensado-Recibido))=$-7.402.300 | Tras_770500 movs=0 | remanente_770500(aplicado_con_signo_inv_BD)=$0 | diferencia_d0_menos_remanente=$-7.402.300 | 810291 no_aplica_por_signo | diferencia=$-7.402.300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</si>
  <si>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10:38:00</t>
  </si>
  <si>
    <t>Inicio_cajero=8353 | fecha_arqueo=07/04/2026 | d0(Saldo-(Efectivo+Dispensado-Recibido))=$-28.050 | Tras_770500 movs=0 | remanente_770500(aplicado_con_signo_inv_BD)=$0 | diferencia_d0_menos_remanente=$-28.050 | 810291 no_aplica_por_signo | diferencia=$-28.050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</si>
  <si>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11:18:00</t>
  </si>
  <si>
    <t>El faltante $45.000 es cruzado con sobrante contabilizado el día 17/03/2026 ($45.000) el cual es reversado por la seccion el día 08/04/2026</t>
  </si>
  <si>
    <t>Inicio_cajero=8354 | fecha_arqueo=07/04/2026 | d0(Saldo-(Efectivo+Dispensado-Recibido))=$45.000 | Tras_770500 movs=0 | remanente_770500(aplicado_con_signo_inv_BD)=$0 | diferencia_d0_menos_remanente=$45.000 | 810291 no_aplica_por_cobertura | signo_objetivo=negativo | clvmov=003121948 | valor_bd=$-249.132.000 | cobertura=553626.67% fuera de 80%-120% | diferencia_se_mantiene=$45.000 | Faltante restante=$45.000 &lt;= umbral_sobrantes($25.000.000) | buscar cruce en cuenta 279510020 (NUMDOC suma neta negativa = sobrante activo) | RESULTADO justificado_sobrantes | etapa1 NUMDOC posteriores al penúltimo arqueo | cant_chunks=1 | ARQUEOS_MF_post | faltante_residual_d0_menos_remanente_calc=$0 | umbral_grabar_faltantes=$20.000 | Escritura_Gestion_MF: cruce faltante con sobrante(s) 279510020 (texto reverso sección)</t>
  </si>
  <si>
    <t>Inicio_cajero=8482 | fecha_arqueo=07/04/2026 | d0(Saldo-(Efectivo+Dispensado-Recibido))=$1.710.000 | Tras_770500 movs=0 | remanente_770500(aplicado_con_signo_inv_BD)=$0 | diferencia_d0_menos_remanente=$1.710.000 | 810291 no_aplica_por_cobertura | signo_objetivo=negativo | clvmov=003073949 | valor_bd=$-58.234.000 | cobertura=3405.50% fuera de 80%-120% | diferencia_se_mantiene=$1.710.000 | Faltante restante=$1.710.000 &lt;= umbral_sobrantes($25.000.000) | buscar cruce en cuenta 279510020 (NUMDOC suma neta negativa = sobrante activo) | Cruce sobrantes | no alcanzó faltante exacto | queda aclarar_diferencia o gestión manual | RESULTADO pendiente aclarar/repetir o faltante pequeño 168710093 (según paso ARQUEOS MF) | ARQUEOS_MF_post | faltante_residual_d0_menos_remanente_calc=$1.710.000 | umbral_grabar_faltantes=$20.000 | Escritura_Gestion_MF: ACLARAR DIFERENCIA Y REPETIR EL ARQUEO</t>
  </si>
  <si>
    <t>16:04:00</t>
  </si>
  <si>
    <t>Inicio_cajero=8587 | fecha_arqueo=07/04/2026 | d0(Saldo-(Efectivo+Dispensado-Recibido))=$-20.000 | Tras_770500 movs=0 | remanente_770500(aplicado_con_signo_inv_BD)=$0 | diferencia_d0_menos_remanente=$-20.000 | 810291 no_aplica_por_cobertura | signo_objetivo=positivo | clvmov=003098541 | valor_bd=$45.000.000 | cobertura=225000.00% fuera de 80%-120% | diferencia_se_mantiene=$-20.000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</si>
  <si>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08:33:00</t>
  </si>
  <si>
    <t>Inicio_cajero=8662 | fecha_arqueo=07/04/2026 | d0(Saldo-(Efectivo+Dispensado-Recibido))=$150.050 | Tras_770500 movs=1 | remanente_770500(aplicado_con_signo_inv_BD)=$150.000 | diferencia_d0_menos_remanente=$50 | 810291 no_aplica_por_cobertura | signo_objetivo=negativo | clvmov=003114032 | valor_bd=$-1.626.000 | cobertura=3252000.00% fuera de 80%-120% | diferencia_se_mantiene=$50 | Faltante restante=$50 &lt;= umbral_sobrantes($25.000.000) | buscar cruce en cuenta 279510020 (NUMDOC suma neta negativa = sobrante activo) | Cruce sobrantes | no alcanzó faltante exacto | queda aclarar_diferencia o gestión manual | RESULTADO pendiente aclarar/repetir o faltante pequeño 168710093 (según paso ARQUEOS MF) | ARQUEOS_MF_post | faltante_residual_d0_menos_remanente_calc=$50 | umbral_grabar_faltantes=$20.000 | Escritura_Gestion_MF: 168710093 por residual pequeño (sin cruce sobrantes)</t>
  </si>
  <si>
    <t>Inicio_cajero=8974 | fecha_arqueo=07/04/2026 | d0(Saldo-(Efectivo+Dispensado-Recibido))=$-4.995.300 | Tras_770500 movs=0 | remanente_770500(aplicado_con_signo_inv_BD)=$0 | diferencia_d0_menos_remanente=$-4.995.300 | 810291 no_aplica_por_cobertura | signo_objetivo=positivo | clvmov=003022444 | valor_bd=$500.000 | cobertura=10.01% fuera de 80%-120% | diferencia_se_mantiene=$-4.995.300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</si>
  <si>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Inicio_cajero=9643 | fecha_arqueo=07/04/2026 | d0(Saldo-(Efectivo+Dispensado-Recibido))=$-50.350 | Tras_770500 movs=0 | remanente_770500(aplicado_con_signo_inv_BD)=$0 | diferencia_d0_menos_remanente=$-50.350 | 810291 no_aplica_por_cobertura | signo_objetivo=positivo | clvmov=003080608 | valor_bd=$10.000.000 | cobertura=19860.97% fuera de 80%-120% | diferencia_se_mantiene=$-50.350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</si>
  <si>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15:05:00</t>
  </si>
  <si>
    <t>Inicio_cajero=9644 | fecha_arqueo=07/04/2026 | d0(Saldo-(Efectivo+Dispensado-Recibido))=$-21.350 | Tras_770500 movs=0 | remanente_770500(aplicado_con_signo_inv_BD)=$0 | diferencia_d0_menos_remanente=$-21.350 | 810291 no_aplica_por_cobertura | signo_objetivo=positivo | clvmov=003080609 | valor_bd=$8.000.000 | cobertura=37470.73% fuera de 80%-120% | diferencia_se_mantiene=$-21.350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</si>
  <si>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08:41:00</t>
  </si>
  <si>
    <t>Inicio_cajero=9724 | fecha_arqueo=07/04/2026 | d0(Saldo-(Efectivo+Dispensado-Recibido))=$-4.980.000 | Tras_770500 movs=0 | remanente_770500(aplicado_con_signo_inv_BD)=$0 | diferencia_d0_menos_remanente=$-4.980.000 | 810291 no_aplica_por_signo | diferencia=$-4.980.000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</si>
  <si>
    <t>15:04:00</t>
  </si>
  <si>
    <t>Inicio_cajero=5112 | fecha_arqueo=07/04/2026 | d0(Saldo-(Efectivo+Dispensado-Recibido))=$0 | Tras_770500 movs=0 | remanente_770500(aplicado_con_signo_inv_BD)=$0 | diferencia_d0_menos_remanente=$0 | RESULTADO cuadrado | |diferencia|&lt;=tolerancia($1) | remanente=$0 | ARQUEOS_MF_post | faltante_residual_d0_menos_remanente_calc=$0 | umbral_grabar_faltantes=$20.000 | Escritura_Gestion_MF: texto cajero cuadrado</t>
  </si>
  <si>
    <t>Inicio_cajero=5155 | fecha_arqueo=07/04/2026 | d0(Saldo-(Efectivo+Dispensado-Recibido))=$0 | Tras_770500 movs=0 | remanente_770500(aplicado_con_signo_inv_BD)=$0 | diferencia_d0_menos_remanente=$0 | RESULTADO cuadrado | |diferencia|&lt;=tolerancia($1) | remanente=$0 | ARQUEOS_MF_post | faltante_residual_d0_menos_remanente_calc=$0 | umbral_grabar_faltantes=$20.000 | Escritura_Gestion_MF: texto cajero cuadrado</t>
  </si>
  <si>
    <t>07:50:00</t>
  </si>
  <si>
    <t>El faltante $100.000 es cruzado con sobrante contabilizado el día 07/04/2026 ($100.000) el cual es reversado por la seccion el día 08/04/2026</t>
  </si>
  <si>
    <t>Inicio_cajero=5173 | fecha_arqueo=07/04/2026 | d0(Saldo-(Efectivo+Dispensado-Recibido))=$0 | Tras_770500 movs=1 | remanente_770500(aplicado_con_signo_inv_BD)=$-100.000 | diferencia_d0_menos_remanente=$100.000 | 810291 no_aplica_por_cobertura | signo_objetivo=negativo | clvmov=003065522 | valor_bd=$-76.241.000 | cobertura=76241.00% fuera de 80%-120% | diferencia_se_mantiene=$100.000 | Faltante restante=$100.000 &lt;= umbral_sobrantes($25.000.000) | buscar cruce en cuenta 279510020 (NUMDOC suma neta negativa = sobrante activo) | RESULTADO justificado_sobrantes | etapa1 NUMDOC posteriores al penúltimo arqueo | cant_chunks=1 | ARQUEOS_MF_post | faltante_residual_d0_menos_remanente_calc=$0 | umbral_grabar_faltantes=$20.000 | Escritura_Gestion_MF: cruce faltante con sobrante(s) 279510020 (texto reverso sección)</t>
  </si>
  <si>
    <t>Inicio_cajero=6406 | fecha_arqueo=07/04/2026 | d0(Saldo-(Efectivo+Dispensado-Recibido))=$0 | Tras_770500 movs=0 | remanente_770500(aplicado_con_signo_inv_BD)=$0 | diferencia_d0_menos_remanente=$0 | RESULTADO cuadrado | |diferencia|&lt;=tolerancia($1) | remanente=$0 | ARQUEOS_MF_post | faltante_residual_d0_menos_remanente_calc=$0 | umbral_grabar_faltantes=$20.000 | Escritura_Gestion_MF: texto cajero cuadrado</t>
  </si>
  <si>
    <t>09:42:00</t>
  </si>
  <si>
    <t>Inicio_cajero=6735 | fecha_arqueo=07/04/2026 | d0(Saldo-(Efectivo+Dispensado-Recibido))=$0 | Tras_770500 movs=0 | remanente_770500(aplicado_con_signo_inv_BD)=$0 | diferencia_d0_menos_remanente=$0 | RESULTADO cuadrado | |diferencia|&lt;=tolerancia($1) | remanente=$0 | ARQUEOS_MF_post | faltante_residual_d0_menos_remanente_calc=$0 | umbral_grabar_faltantes=$20.000 | Escritura_Gestion_MF: texto cajero cuadrado</t>
  </si>
  <si>
    <t>14:31:00</t>
  </si>
  <si>
    <t>Inicio_cajero=6818 | fecha_arqueo=07/04/2026 | d0(Saldo-(Efectivo+Dispensado-Recibido))=$0 | Tras_770500 movs=0 | remanente_770500(aplicado_con_signo_inv_BD)=$0 | diferencia_d0_menos_remanente=$0 | RESULTADO cuadrado | |diferencia|&lt;=tolerancia($1) | remanente=$0 | ARQUEOS_MF_post | faltante_residual_d0_menos_remanente_calc=$0 | umbral_grabar_faltantes=$20.000 | Escritura_Gestion_MF: texto cajero cuadrado</t>
  </si>
  <si>
    <t>15:33:00</t>
  </si>
  <si>
    <t>Inicio_cajero=8586 | fecha_arqueo=07/04/2026 | d0(Saldo-(Efectivo+Dispensado-Recibido))=$0 | Tras_770500 movs=0 | remanente_770500(aplicado_con_signo_inv_BD)=$0 | diferencia_d0_menos_remanente=$0 | RESULTADO cuadrado | |diferencia|&lt;=tolerancia($1) | remanente=$0 | ARQUEOS_MF_post | faltante_residual_d0_menos_remanente_calc=$0 | umbral_grabar_faltantes=$20.000 | Escritura_Gestion_MF: texto cajero cuadrado</t>
  </si>
  <si>
    <t>Inicio_cajero=9584 | fecha_arqueo=07/04/2026 | d0(Saldo-(Efectivo+Dispensado-Recibido))=$0 | Tras_770500 movs=0 | remanente_770500(aplicado_con_signo_inv_BD)=$0 | diferencia_d0_menos_remanente=$0 | RESULTADO cuadrado | |diferencia|&lt;=tolerancia($1) | remanente=$0 | ARQUEOS_MF_post | faltante_residual_d0_menos_remanente_calc=$0 | umbral_grabar_faltantes=$20.000 | Escritura_Gestion_MF: texto cajero cuadrado</t>
  </si>
  <si>
    <t>Cod Suc</t>
  </si>
  <si>
    <t>Cajero.1</t>
  </si>
  <si>
    <t xml:space="preserve">Sucursal </t>
  </si>
  <si>
    <t>Lider de servicio</t>
  </si>
  <si>
    <t>SUBGERENTE</t>
  </si>
  <si>
    <t>FECHA ARQUEO</t>
  </si>
  <si>
    <t>FECHA REPROGRAMACION</t>
  </si>
  <si>
    <t>FECHA PROGRAMADA</t>
  </si>
  <si>
    <t>OBSERVACIÓN</t>
  </si>
  <si>
    <t>Unnamed: 0</t>
  </si>
  <si>
    <t>Unnamed: 1</t>
  </si>
  <si>
    <t>Unnamed: 2</t>
  </si>
  <si>
    <t>Unnamed: 3</t>
  </si>
  <si>
    <t>Unnamed: 4</t>
  </si>
  <si>
    <t>Unnamed: 5</t>
  </si>
  <si>
    <t>Unnamed: 6</t>
  </si>
  <si>
    <t>CODIGO</t>
  </si>
  <si>
    <t>COD. SUC</t>
  </si>
  <si>
    <t>CODIGO.1</t>
  </si>
  <si>
    <t>Dispensador / Multifuncional</t>
  </si>
  <si>
    <t>ADMINISTRACIÓN</t>
  </si>
  <si>
    <t>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</si>
</sst>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63"/>
  <sheetViews>
    <sheetView tabSelected="1" topLeftCell="J1" workbookViewId="0">
      <selection sqref="A1:XFD1048576"/>
    </sheetView>
  </sheetViews>
  <sheetFormatPr baseColWidth="10" defaultColWidth="9.140625" defaultRowHeight="15" x14ac:dyDescent="0.25"/>
  <cols>
    <col min="1" max="1" width="8.28515625" bestFit="1" customWidth="1"/>
    <col min="2" max="2" width="6.7109375" bestFit="1" customWidth="1"/>
    <col min="3" max="3" width="6.42578125" bestFit="1" customWidth="1"/>
    <col min="4" max="4" width="18" bestFit="1" customWidth="1"/>
    <col min="5" max="5" width="21.28515625" bestFit="1" customWidth="1"/>
    <col min="6" max="6" width="18.140625" bestFit="1" customWidth="1"/>
    <col min="7" max="7" width="12.140625" bestFit="1" customWidth="1"/>
    <col min="8" max="8" width="46.5703125" bestFit="1" customWidth="1"/>
    <col min="9" max="9" width="14.7109375" bestFit="1" customWidth="1"/>
    <col min="10" max="10" width="24.28515625" bestFit="1" customWidth="1"/>
    <col min="11" max="11" width="21.42578125" bestFit="1" customWidth="1"/>
    <col min="12" max="12" width="29.140625" bestFit="1" customWidth="1"/>
    <col min="13" max="13" width="10.7109375" bestFit="1" customWidth="1"/>
    <col min="14" max="14" width="10.5703125" bestFit="1" customWidth="1"/>
    <col min="15" max="15" width="219.28515625" bestFit="1" customWidth="1"/>
    <col min="16" max="16" width="22.85546875" bestFit="1" customWidth="1"/>
    <col min="17" max="17" width="255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idden="1" x14ac:dyDescent="0.25">
      <c r="A2">
        <v>419</v>
      </c>
      <c r="B2">
        <v>5077</v>
      </c>
      <c r="D2" t="s">
        <v>17</v>
      </c>
      <c r="E2" s="2">
        <v>46118</v>
      </c>
      <c r="F2" s="2">
        <v>46113</v>
      </c>
      <c r="G2" t="s">
        <v>18</v>
      </c>
      <c r="H2">
        <v>256027000</v>
      </c>
      <c r="I2">
        <v>267144800</v>
      </c>
      <c r="J2">
        <v>6720000</v>
      </c>
      <c r="K2">
        <v>4300000</v>
      </c>
      <c r="M2">
        <f t="shared" ref="M2:M33" si="0">I2-(H2+J2-K2)- L2</f>
        <v>8697800</v>
      </c>
      <c r="N2" t="str">
        <f t="shared" ref="N2:N33" si="1">IF(M2=0,"Cuadrado",IF(M2&gt;0,"Faltante","Sobrante"))</f>
        <v>Faltante</v>
      </c>
      <c r="O2" t="s">
        <v>19</v>
      </c>
      <c r="P2">
        <v>79248430</v>
      </c>
    </row>
    <row r="3" spans="1:17" hidden="1" x14ac:dyDescent="0.25">
      <c r="A3">
        <v>523</v>
      </c>
      <c r="B3">
        <v>5082</v>
      </c>
      <c r="D3" t="s">
        <v>17</v>
      </c>
      <c r="E3" s="2">
        <v>46118</v>
      </c>
      <c r="F3" s="2">
        <v>46113</v>
      </c>
      <c r="G3" t="s">
        <v>20</v>
      </c>
      <c r="H3">
        <v>542353750</v>
      </c>
      <c r="I3">
        <v>541392650</v>
      </c>
      <c r="J3">
        <v>0</v>
      </c>
      <c r="K3">
        <v>0</v>
      </c>
      <c r="M3">
        <f t="shared" si="0"/>
        <v>-961100</v>
      </c>
      <c r="N3" t="str">
        <f t="shared" si="1"/>
        <v>Sobrante</v>
      </c>
      <c r="O3" t="s">
        <v>21</v>
      </c>
      <c r="P3">
        <v>1065609766</v>
      </c>
    </row>
    <row r="4" spans="1:17" hidden="1" x14ac:dyDescent="0.25">
      <c r="A4">
        <v>659</v>
      </c>
      <c r="B4">
        <v>5102</v>
      </c>
      <c r="D4" t="s">
        <v>17</v>
      </c>
      <c r="E4" s="2">
        <v>46118</v>
      </c>
      <c r="F4" s="2">
        <v>46113</v>
      </c>
      <c r="G4" t="s">
        <v>22</v>
      </c>
      <c r="H4">
        <v>226795350</v>
      </c>
      <c r="I4">
        <v>235981350</v>
      </c>
      <c r="J4">
        <v>37800000</v>
      </c>
      <c r="K4">
        <v>25214000</v>
      </c>
      <c r="M4">
        <f t="shared" si="0"/>
        <v>-3400000</v>
      </c>
      <c r="N4" t="str">
        <f t="shared" si="1"/>
        <v>Sobrante</v>
      </c>
      <c r="O4" t="s">
        <v>21</v>
      </c>
      <c r="P4">
        <v>39575034</v>
      </c>
    </row>
    <row r="5" spans="1:17" hidden="1" x14ac:dyDescent="0.25">
      <c r="A5">
        <v>829</v>
      </c>
      <c r="B5">
        <v>5137</v>
      </c>
      <c r="D5" t="s">
        <v>17</v>
      </c>
      <c r="E5" s="2">
        <v>46118</v>
      </c>
      <c r="F5" s="2">
        <v>46113</v>
      </c>
      <c r="G5" t="s">
        <v>23</v>
      </c>
      <c r="H5">
        <v>375137600</v>
      </c>
      <c r="I5">
        <v>359742600</v>
      </c>
      <c r="J5">
        <v>5990000</v>
      </c>
      <c r="K5">
        <v>0</v>
      </c>
      <c r="M5">
        <f t="shared" si="0"/>
        <v>-21385000</v>
      </c>
      <c r="N5" t="str">
        <f t="shared" si="1"/>
        <v>Sobrante</v>
      </c>
      <c r="O5" t="s">
        <v>21</v>
      </c>
      <c r="P5">
        <v>31306454</v>
      </c>
    </row>
    <row r="6" spans="1:17" hidden="1" x14ac:dyDescent="0.25">
      <c r="A6">
        <v>40</v>
      </c>
      <c r="B6">
        <v>5142</v>
      </c>
      <c r="D6" t="s">
        <v>17</v>
      </c>
      <c r="E6" s="2">
        <v>46118</v>
      </c>
      <c r="F6" s="2">
        <v>46113</v>
      </c>
      <c r="G6" t="s">
        <v>24</v>
      </c>
      <c r="H6">
        <v>329283950</v>
      </c>
      <c r="I6">
        <v>370446950</v>
      </c>
      <c r="J6">
        <v>21840000</v>
      </c>
      <c r="K6">
        <v>23252000</v>
      </c>
      <c r="M6">
        <f t="shared" si="0"/>
        <v>42575000</v>
      </c>
      <c r="N6" t="str">
        <f t="shared" si="1"/>
        <v>Faltante</v>
      </c>
      <c r="O6" t="s">
        <v>25</v>
      </c>
      <c r="P6">
        <v>1022424390</v>
      </c>
    </row>
    <row r="7" spans="1:17" hidden="1" x14ac:dyDescent="0.25">
      <c r="A7">
        <v>302</v>
      </c>
      <c r="B7">
        <v>5170</v>
      </c>
      <c r="D7" t="s">
        <v>17</v>
      </c>
      <c r="E7" s="2">
        <v>46118</v>
      </c>
      <c r="F7" s="2">
        <v>46113</v>
      </c>
      <c r="G7" t="s">
        <v>26</v>
      </c>
      <c r="H7">
        <v>145629950</v>
      </c>
      <c r="I7">
        <v>128303600</v>
      </c>
      <c r="J7">
        <v>8160000</v>
      </c>
      <c r="K7">
        <v>19516350</v>
      </c>
      <c r="M7">
        <f t="shared" si="0"/>
        <v>-5970000</v>
      </c>
      <c r="N7" t="str">
        <f t="shared" si="1"/>
        <v>Sobrante</v>
      </c>
      <c r="O7" t="s">
        <v>21</v>
      </c>
      <c r="P7">
        <v>1102374502</v>
      </c>
    </row>
    <row r="8" spans="1:17" hidden="1" x14ac:dyDescent="0.25">
      <c r="A8">
        <v>383</v>
      </c>
      <c r="B8">
        <v>5194</v>
      </c>
      <c r="D8" t="s">
        <v>17</v>
      </c>
      <c r="E8" s="2">
        <v>46118</v>
      </c>
      <c r="F8" s="2">
        <v>46113</v>
      </c>
      <c r="G8" t="s">
        <v>27</v>
      </c>
      <c r="H8">
        <v>88040600</v>
      </c>
      <c r="I8">
        <v>96449600</v>
      </c>
      <c r="J8">
        <v>9200000</v>
      </c>
      <c r="K8">
        <v>790000</v>
      </c>
      <c r="M8">
        <f t="shared" si="0"/>
        <v>-1000</v>
      </c>
      <c r="N8" t="str">
        <f t="shared" si="1"/>
        <v>Sobrante</v>
      </c>
      <c r="O8" t="s">
        <v>21</v>
      </c>
      <c r="P8">
        <v>1073160492</v>
      </c>
    </row>
    <row r="9" spans="1:17" hidden="1" x14ac:dyDescent="0.25">
      <c r="A9">
        <v>16</v>
      </c>
      <c r="B9">
        <v>5219</v>
      </c>
      <c r="D9" t="s">
        <v>17</v>
      </c>
      <c r="E9" s="2">
        <v>46118</v>
      </c>
      <c r="F9" s="2">
        <v>46113</v>
      </c>
      <c r="G9" t="s">
        <v>28</v>
      </c>
      <c r="H9">
        <v>161605300</v>
      </c>
      <c r="I9">
        <v>170517600</v>
      </c>
      <c r="J9">
        <v>15850000</v>
      </c>
      <c r="K9">
        <v>6937600</v>
      </c>
      <c r="M9">
        <f t="shared" si="0"/>
        <v>-100</v>
      </c>
      <c r="N9" t="str">
        <f t="shared" si="1"/>
        <v>Sobrante</v>
      </c>
      <c r="O9" t="s">
        <v>21</v>
      </c>
      <c r="P9">
        <v>1128405320</v>
      </c>
    </row>
    <row r="10" spans="1:17" hidden="1" x14ac:dyDescent="0.25">
      <c r="A10">
        <v>868</v>
      </c>
      <c r="B10">
        <v>6149</v>
      </c>
      <c r="D10" t="s">
        <v>29</v>
      </c>
      <c r="E10" s="2">
        <v>46118</v>
      </c>
      <c r="F10" s="2">
        <v>46113</v>
      </c>
      <c r="G10" t="s">
        <v>30</v>
      </c>
      <c r="H10">
        <v>133092850</v>
      </c>
      <c r="I10">
        <v>130288850</v>
      </c>
      <c r="J10">
        <v>0</v>
      </c>
      <c r="K10">
        <v>2600000</v>
      </c>
      <c r="M10">
        <f t="shared" si="0"/>
        <v>-204000</v>
      </c>
      <c r="N10" t="str">
        <f t="shared" si="1"/>
        <v>Sobrante</v>
      </c>
      <c r="O10" t="s">
        <v>21</v>
      </c>
      <c r="P10">
        <v>31602728</v>
      </c>
    </row>
    <row r="11" spans="1:17" hidden="1" x14ac:dyDescent="0.25">
      <c r="A11">
        <v>337</v>
      </c>
      <c r="B11">
        <v>6253</v>
      </c>
      <c r="D11" t="s">
        <v>17</v>
      </c>
      <c r="E11" s="2">
        <v>46118</v>
      </c>
      <c r="F11" s="2">
        <v>46113</v>
      </c>
      <c r="G11" t="s">
        <v>31</v>
      </c>
      <c r="H11">
        <v>256386050</v>
      </c>
      <c r="I11">
        <v>148051950</v>
      </c>
      <c r="J11">
        <v>33780000</v>
      </c>
      <c r="K11">
        <v>17358100</v>
      </c>
      <c r="M11">
        <f t="shared" si="0"/>
        <v>-124756000</v>
      </c>
      <c r="N11" t="str">
        <f t="shared" si="1"/>
        <v>Sobrante</v>
      </c>
      <c r="O11" t="s">
        <v>32</v>
      </c>
      <c r="P11">
        <v>80386330</v>
      </c>
    </row>
    <row r="12" spans="1:17" hidden="1" x14ac:dyDescent="0.25">
      <c r="A12">
        <v>37</v>
      </c>
      <c r="B12">
        <v>6406</v>
      </c>
      <c r="D12" t="s">
        <v>17</v>
      </c>
      <c r="E12" s="2">
        <v>46118</v>
      </c>
      <c r="F12" s="2">
        <v>46113</v>
      </c>
      <c r="G12" t="s">
        <v>33</v>
      </c>
      <c r="H12">
        <v>272852200</v>
      </c>
      <c r="I12">
        <v>126536200</v>
      </c>
      <c r="J12">
        <v>80780000</v>
      </c>
      <c r="K12">
        <v>10096000</v>
      </c>
      <c r="M12">
        <f t="shared" si="0"/>
        <v>-217000000</v>
      </c>
      <c r="N12" t="str">
        <f t="shared" si="1"/>
        <v>Sobrante</v>
      </c>
      <c r="O12" t="s">
        <v>34</v>
      </c>
      <c r="P12">
        <v>1018444239</v>
      </c>
    </row>
    <row r="13" spans="1:17" hidden="1" x14ac:dyDescent="0.25">
      <c r="A13">
        <v>96</v>
      </c>
      <c r="B13">
        <v>6735</v>
      </c>
      <c r="D13" t="s">
        <v>17</v>
      </c>
      <c r="E13" s="2">
        <v>46118</v>
      </c>
      <c r="F13" s="2">
        <v>46113</v>
      </c>
      <c r="G13" t="s">
        <v>35</v>
      </c>
      <c r="H13">
        <v>83421050</v>
      </c>
      <c r="I13">
        <v>82839050</v>
      </c>
      <c r="J13">
        <v>18430000</v>
      </c>
      <c r="K13">
        <v>9062000</v>
      </c>
      <c r="M13">
        <f t="shared" si="0"/>
        <v>-9950000</v>
      </c>
      <c r="N13" t="str">
        <f t="shared" si="1"/>
        <v>Sobrante</v>
      </c>
      <c r="O13" t="s">
        <v>21</v>
      </c>
      <c r="P13">
        <v>39491642</v>
      </c>
    </row>
    <row r="14" spans="1:17" hidden="1" x14ac:dyDescent="0.25">
      <c r="A14">
        <v>123</v>
      </c>
      <c r="B14">
        <v>7134</v>
      </c>
      <c r="D14" t="s">
        <v>29</v>
      </c>
      <c r="E14" s="2">
        <v>46118</v>
      </c>
      <c r="F14" s="2">
        <v>46113</v>
      </c>
      <c r="G14" t="s">
        <v>36</v>
      </c>
      <c r="H14">
        <v>44680900</v>
      </c>
      <c r="I14">
        <v>22944950</v>
      </c>
      <c r="J14">
        <v>8510000</v>
      </c>
      <c r="K14">
        <v>30240900</v>
      </c>
      <c r="M14">
        <f t="shared" si="0"/>
        <v>-5050</v>
      </c>
      <c r="N14" t="str">
        <f t="shared" si="1"/>
        <v>Sobrante</v>
      </c>
      <c r="O14" t="s">
        <v>21</v>
      </c>
      <c r="P14">
        <v>39445526</v>
      </c>
    </row>
    <row r="15" spans="1:17" hidden="1" x14ac:dyDescent="0.25">
      <c r="A15">
        <v>419</v>
      </c>
      <c r="B15">
        <v>7980</v>
      </c>
      <c r="D15" t="s">
        <v>17</v>
      </c>
      <c r="E15" s="2">
        <v>46118</v>
      </c>
      <c r="F15" s="2">
        <v>46113</v>
      </c>
      <c r="G15" t="s">
        <v>35</v>
      </c>
      <c r="H15">
        <v>119856350</v>
      </c>
      <c r="I15">
        <v>118001350</v>
      </c>
      <c r="J15">
        <v>14480000</v>
      </c>
      <c r="K15">
        <v>12539000</v>
      </c>
      <c r="M15">
        <f t="shared" si="0"/>
        <v>-3796000</v>
      </c>
      <c r="N15" t="str">
        <f t="shared" si="1"/>
        <v>Sobrante</v>
      </c>
      <c r="O15" t="s">
        <v>21</v>
      </c>
      <c r="P15">
        <v>79248430</v>
      </c>
    </row>
    <row r="16" spans="1:17" hidden="1" x14ac:dyDescent="0.25">
      <c r="A16">
        <v>33</v>
      </c>
      <c r="B16">
        <v>8861</v>
      </c>
      <c r="D16" t="s">
        <v>17</v>
      </c>
      <c r="E16" s="2">
        <v>46118</v>
      </c>
      <c r="F16" s="2">
        <v>46113</v>
      </c>
      <c r="G16" t="s">
        <v>37</v>
      </c>
      <c r="H16">
        <v>159790400</v>
      </c>
      <c r="I16">
        <v>175715400</v>
      </c>
      <c r="J16">
        <v>32500000</v>
      </c>
      <c r="K16">
        <v>16355000</v>
      </c>
      <c r="M16">
        <f t="shared" si="0"/>
        <v>-220000</v>
      </c>
      <c r="N16" t="str">
        <f t="shared" si="1"/>
        <v>Sobrante</v>
      </c>
      <c r="O16" t="s">
        <v>21</v>
      </c>
      <c r="P16">
        <v>79659379</v>
      </c>
    </row>
    <row r="17" spans="1:16" hidden="1" x14ac:dyDescent="0.25">
      <c r="A17">
        <v>1</v>
      </c>
      <c r="B17">
        <v>5000</v>
      </c>
      <c r="D17" t="s">
        <v>17</v>
      </c>
      <c r="E17" s="2">
        <v>46118</v>
      </c>
      <c r="F17" s="2">
        <v>46113</v>
      </c>
      <c r="G17" t="s">
        <v>38</v>
      </c>
      <c r="H17">
        <v>107370950</v>
      </c>
      <c r="I17">
        <v>97381950</v>
      </c>
      <c r="J17">
        <v>0</v>
      </c>
      <c r="K17">
        <v>0</v>
      </c>
      <c r="M17">
        <f t="shared" si="0"/>
        <v>-9989000</v>
      </c>
      <c r="N17" t="str">
        <f t="shared" si="1"/>
        <v>Sobrante</v>
      </c>
      <c r="O17" t="s">
        <v>21</v>
      </c>
      <c r="P17">
        <v>1017128064</v>
      </c>
    </row>
    <row r="18" spans="1:16" hidden="1" x14ac:dyDescent="0.25">
      <c r="A18">
        <v>32</v>
      </c>
      <c r="B18">
        <v>5027</v>
      </c>
      <c r="D18" t="s">
        <v>17</v>
      </c>
      <c r="E18" s="2">
        <v>46118</v>
      </c>
      <c r="F18" s="2">
        <v>46113</v>
      </c>
      <c r="G18" t="s">
        <v>39</v>
      </c>
      <c r="H18">
        <v>367235650</v>
      </c>
      <c r="I18">
        <v>369755650</v>
      </c>
      <c r="J18">
        <v>0</v>
      </c>
      <c r="K18">
        <v>0</v>
      </c>
      <c r="M18">
        <f t="shared" si="0"/>
        <v>2520000</v>
      </c>
      <c r="N18" t="str">
        <f t="shared" si="1"/>
        <v>Faltante</v>
      </c>
      <c r="O18" t="s">
        <v>40</v>
      </c>
      <c r="P18">
        <v>79750158</v>
      </c>
    </row>
    <row r="19" spans="1:16" hidden="1" x14ac:dyDescent="0.25">
      <c r="A19">
        <v>419</v>
      </c>
      <c r="B19">
        <v>5077</v>
      </c>
      <c r="D19" t="s">
        <v>17</v>
      </c>
      <c r="E19" s="2">
        <v>46118</v>
      </c>
      <c r="F19" s="2">
        <v>46113</v>
      </c>
      <c r="G19" t="s">
        <v>18</v>
      </c>
      <c r="H19">
        <v>256027000</v>
      </c>
      <c r="I19">
        <v>267144800</v>
      </c>
      <c r="J19">
        <v>0</v>
      </c>
      <c r="K19">
        <v>0</v>
      </c>
      <c r="M19">
        <f t="shared" si="0"/>
        <v>11117800</v>
      </c>
      <c r="N19" t="str">
        <f t="shared" si="1"/>
        <v>Faltante</v>
      </c>
      <c r="O19" t="s">
        <v>40</v>
      </c>
      <c r="P19">
        <v>79248430</v>
      </c>
    </row>
    <row r="20" spans="1:16" hidden="1" x14ac:dyDescent="0.25">
      <c r="A20">
        <v>523</v>
      </c>
      <c r="B20">
        <v>5082</v>
      </c>
      <c r="D20" t="s">
        <v>17</v>
      </c>
      <c r="E20" s="2">
        <v>46118</v>
      </c>
      <c r="F20" s="2">
        <v>46113</v>
      </c>
      <c r="G20" t="s">
        <v>20</v>
      </c>
      <c r="H20">
        <v>542353750</v>
      </c>
      <c r="I20">
        <v>541392650</v>
      </c>
      <c r="J20">
        <v>0</v>
      </c>
      <c r="K20">
        <v>0</v>
      </c>
      <c r="M20">
        <f t="shared" si="0"/>
        <v>-961100</v>
      </c>
      <c r="N20" t="str">
        <f t="shared" si="1"/>
        <v>Sobrante</v>
      </c>
      <c r="O20" t="s">
        <v>21</v>
      </c>
      <c r="P20">
        <v>1065609766</v>
      </c>
    </row>
    <row r="21" spans="1:16" hidden="1" x14ac:dyDescent="0.25">
      <c r="A21">
        <v>659</v>
      </c>
      <c r="B21">
        <v>5102</v>
      </c>
      <c r="D21" t="s">
        <v>17</v>
      </c>
      <c r="E21" s="2">
        <v>46118</v>
      </c>
      <c r="F21" s="2">
        <v>46113</v>
      </c>
      <c r="G21" t="s">
        <v>22</v>
      </c>
      <c r="H21">
        <v>226795350</v>
      </c>
      <c r="I21">
        <v>235981350</v>
      </c>
      <c r="J21">
        <v>0</v>
      </c>
      <c r="K21">
        <v>0</v>
      </c>
      <c r="M21">
        <f t="shared" si="0"/>
        <v>9186000</v>
      </c>
      <c r="N21" t="str">
        <f t="shared" si="1"/>
        <v>Faltante</v>
      </c>
      <c r="O21" t="s">
        <v>40</v>
      </c>
      <c r="P21">
        <v>39575034</v>
      </c>
    </row>
    <row r="22" spans="1:16" hidden="1" x14ac:dyDescent="0.25">
      <c r="A22">
        <v>511</v>
      </c>
      <c r="B22">
        <v>5122</v>
      </c>
      <c r="D22" t="s">
        <v>17</v>
      </c>
      <c r="E22" s="2">
        <v>46118</v>
      </c>
      <c r="F22" s="2">
        <v>46113</v>
      </c>
      <c r="G22" t="s">
        <v>41</v>
      </c>
      <c r="H22">
        <v>131793350</v>
      </c>
      <c r="I22">
        <v>136021350</v>
      </c>
      <c r="J22">
        <v>0</v>
      </c>
      <c r="K22">
        <v>0</v>
      </c>
      <c r="M22">
        <f t="shared" si="0"/>
        <v>4228000</v>
      </c>
      <c r="N22" t="str">
        <f t="shared" si="1"/>
        <v>Faltante</v>
      </c>
      <c r="O22" t="s">
        <v>40</v>
      </c>
      <c r="P22">
        <v>1193097865</v>
      </c>
    </row>
    <row r="23" spans="1:16" hidden="1" x14ac:dyDescent="0.25">
      <c r="A23">
        <v>829</v>
      </c>
      <c r="B23">
        <v>5137</v>
      </c>
      <c r="D23" t="s">
        <v>17</v>
      </c>
      <c r="E23" s="2">
        <v>46118</v>
      </c>
      <c r="F23" s="2">
        <v>46113</v>
      </c>
      <c r="G23" t="s">
        <v>23</v>
      </c>
      <c r="H23">
        <v>375137600</v>
      </c>
      <c r="I23">
        <v>359742600</v>
      </c>
      <c r="J23">
        <v>0</v>
      </c>
      <c r="K23">
        <v>0</v>
      </c>
      <c r="M23">
        <f t="shared" si="0"/>
        <v>-15395000</v>
      </c>
      <c r="N23" t="str">
        <f t="shared" si="1"/>
        <v>Sobrante</v>
      </c>
      <c r="O23" t="s">
        <v>21</v>
      </c>
      <c r="P23">
        <v>31306454</v>
      </c>
    </row>
    <row r="24" spans="1:16" hidden="1" x14ac:dyDescent="0.25">
      <c r="A24">
        <v>40</v>
      </c>
      <c r="B24">
        <v>5142</v>
      </c>
      <c r="D24" t="s">
        <v>17</v>
      </c>
      <c r="E24" s="2">
        <v>46118</v>
      </c>
      <c r="F24" s="2">
        <v>46113</v>
      </c>
      <c r="G24" t="s">
        <v>24</v>
      </c>
      <c r="H24">
        <v>329283950</v>
      </c>
      <c r="I24">
        <v>370446950</v>
      </c>
      <c r="J24">
        <v>0</v>
      </c>
      <c r="K24">
        <v>0</v>
      </c>
      <c r="M24">
        <f t="shared" si="0"/>
        <v>41163000</v>
      </c>
      <c r="N24" t="str">
        <f t="shared" si="1"/>
        <v>Faltante</v>
      </c>
      <c r="O24" t="s">
        <v>25</v>
      </c>
      <c r="P24">
        <v>1022424390</v>
      </c>
    </row>
    <row r="25" spans="1:16" hidden="1" x14ac:dyDescent="0.25">
      <c r="A25">
        <v>302</v>
      </c>
      <c r="B25">
        <v>5170</v>
      </c>
      <c r="D25" t="s">
        <v>17</v>
      </c>
      <c r="E25" s="2">
        <v>46118</v>
      </c>
      <c r="F25" s="2">
        <v>46113</v>
      </c>
      <c r="G25" t="s">
        <v>26</v>
      </c>
      <c r="H25">
        <v>145629950</v>
      </c>
      <c r="I25">
        <v>128303600</v>
      </c>
      <c r="J25">
        <v>0</v>
      </c>
      <c r="K25">
        <v>0</v>
      </c>
      <c r="M25">
        <f t="shared" si="0"/>
        <v>-17326350</v>
      </c>
      <c r="N25" t="str">
        <f t="shared" si="1"/>
        <v>Sobrante</v>
      </c>
      <c r="O25" t="s">
        <v>21</v>
      </c>
      <c r="P25">
        <v>1102374502</v>
      </c>
    </row>
    <row r="26" spans="1:16" hidden="1" x14ac:dyDescent="0.25">
      <c r="A26">
        <v>383</v>
      </c>
      <c r="B26">
        <v>5194</v>
      </c>
      <c r="D26" t="s">
        <v>17</v>
      </c>
      <c r="E26" s="2">
        <v>46118</v>
      </c>
      <c r="F26" s="2">
        <v>46113</v>
      </c>
      <c r="G26" t="s">
        <v>27</v>
      </c>
      <c r="H26">
        <v>88040600</v>
      </c>
      <c r="I26">
        <v>96449600</v>
      </c>
      <c r="J26">
        <v>0</v>
      </c>
      <c r="K26">
        <v>0</v>
      </c>
      <c r="M26">
        <f t="shared" si="0"/>
        <v>8409000</v>
      </c>
      <c r="N26" t="str">
        <f t="shared" si="1"/>
        <v>Faltante</v>
      </c>
      <c r="O26" t="s">
        <v>40</v>
      </c>
      <c r="P26">
        <v>1073160492</v>
      </c>
    </row>
    <row r="27" spans="1:16" hidden="1" x14ac:dyDescent="0.25">
      <c r="A27">
        <v>16</v>
      </c>
      <c r="B27">
        <v>5219</v>
      </c>
      <c r="D27" t="s">
        <v>17</v>
      </c>
      <c r="E27" s="2">
        <v>46118</v>
      </c>
      <c r="F27" s="2">
        <v>46113</v>
      </c>
      <c r="G27" t="s">
        <v>28</v>
      </c>
      <c r="H27">
        <v>161605300</v>
      </c>
      <c r="I27">
        <v>170517600</v>
      </c>
      <c r="J27">
        <v>0</v>
      </c>
      <c r="K27">
        <v>0</v>
      </c>
      <c r="M27">
        <f t="shared" si="0"/>
        <v>8912300</v>
      </c>
      <c r="N27" t="str">
        <f t="shared" si="1"/>
        <v>Faltante</v>
      </c>
      <c r="O27" t="s">
        <v>40</v>
      </c>
      <c r="P27">
        <v>1128405320</v>
      </c>
    </row>
    <row r="28" spans="1:16" hidden="1" x14ac:dyDescent="0.25">
      <c r="A28">
        <v>868</v>
      </c>
      <c r="B28">
        <v>6149</v>
      </c>
      <c r="D28" t="s">
        <v>29</v>
      </c>
      <c r="E28" s="2">
        <v>46118</v>
      </c>
      <c r="F28" s="2">
        <v>46113</v>
      </c>
      <c r="G28" t="s">
        <v>30</v>
      </c>
      <c r="H28">
        <v>133092850</v>
      </c>
      <c r="I28">
        <v>130288850</v>
      </c>
      <c r="J28">
        <v>0</v>
      </c>
      <c r="K28">
        <v>0</v>
      </c>
      <c r="M28">
        <f t="shared" si="0"/>
        <v>-2804000</v>
      </c>
      <c r="N28" t="str">
        <f t="shared" si="1"/>
        <v>Sobrante</v>
      </c>
      <c r="O28" t="s">
        <v>21</v>
      </c>
      <c r="P28">
        <v>31602728</v>
      </c>
    </row>
    <row r="29" spans="1:16" hidden="1" x14ac:dyDescent="0.25">
      <c r="A29">
        <v>231</v>
      </c>
      <c r="B29">
        <v>6243</v>
      </c>
      <c r="D29" t="s">
        <v>17</v>
      </c>
      <c r="E29" s="2">
        <v>46118</v>
      </c>
      <c r="F29" s="2">
        <v>46113</v>
      </c>
      <c r="G29" t="s">
        <v>42</v>
      </c>
      <c r="H29">
        <v>135154750</v>
      </c>
      <c r="I29">
        <v>135154750</v>
      </c>
      <c r="J29">
        <v>0</v>
      </c>
      <c r="K29">
        <v>0</v>
      </c>
      <c r="M29">
        <f t="shared" si="0"/>
        <v>0</v>
      </c>
      <c r="N29" t="str">
        <f t="shared" si="1"/>
        <v>Cuadrado</v>
      </c>
      <c r="O29" t="s">
        <v>34</v>
      </c>
      <c r="P29">
        <v>52979634</v>
      </c>
    </row>
    <row r="30" spans="1:16" hidden="1" x14ac:dyDescent="0.25">
      <c r="A30">
        <v>337</v>
      </c>
      <c r="B30">
        <v>6253</v>
      </c>
      <c r="D30" t="s">
        <v>17</v>
      </c>
      <c r="E30" s="2">
        <v>46118</v>
      </c>
      <c r="F30" s="2">
        <v>46113</v>
      </c>
      <c r="G30" t="s">
        <v>31</v>
      </c>
      <c r="H30">
        <v>256386050</v>
      </c>
      <c r="I30">
        <v>148051950</v>
      </c>
      <c r="J30">
        <v>0</v>
      </c>
      <c r="K30">
        <v>0</v>
      </c>
      <c r="M30">
        <f t="shared" si="0"/>
        <v>-108334100</v>
      </c>
      <c r="N30" t="str">
        <f t="shared" si="1"/>
        <v>Sobrante</v>
      </c>
      <c r="O30" t="s">
        <v>40</v>
      </c>
      <c r="P30">
        <v>80386330</v>
      </c>
    </row>
    <row r="31" spans="1:16" hidden="1" x14ac:dyDescent="0.25">
      <c r="A31">
        <v>37</v>
      </c>
      <c r="B31">
        <v>6406</v>
      </c>
      <c r="D31" t="s">
        <v>17</v>
      </c>
      <c r="E31" s="2">
        <v>46118</v>
      </c>
      <c r="F31" s="2">
        <v>46113</v>
      </c>
      <c r="G31" t="s">
        <v>33</v>
      </c>
      <c r="H31">
        <v>272852200</v>
      </c>
      <c r="I31">
        <v>126536200</v>
      </c>
      <c r="J31">
        <v>0</v>
      </c>
      <c r="K31">
        <v>0</v>
      </c>
      <c r="M31">
        <f t="shared" si="0"/>
        <v>-146316000</v>
      </c>
      <c r="N31" t="str">
        <f t="shared" si="1"/>
        <v>Sobrante</v>
      </c>
      <c r="O31" t="s">
        <v>25</v>
      </c>
      <c r="P31">
        <v>1018444239</v>
      </c>
    </row>
    <row r="32" spans="1:16" hidden="1" x14ac:dyDescent="0.25">
      <c r="A32">
        <v>96</v>
      </c>
      <c r="B32">
        <v>6735</v>
      </c>
      <c r="D32" t="s">
        <v>17</v>
      </c>
      <c r="E32" s="2">
        <v>46118</v>
      </c>
      <c r="F32" s="2">
        <v>46113</v>
      </c>
      <c r="G32" t="s">
        <v>35</v>
      </c>
      <c r="H32">
        <v>83421050</v>
      </c>
      <c r="I32">
        <v>82839050</v>
      </c>
      <c r="J32">
        <v>0</v>
      </c>
      <c r="K32">
        <v>0</v>
      </c>
      <c r="M32">
        <f t="shared" si="0"/>
        <v>-582000</v>
      </c>
      <c r="N32" t="str">
        <f t="shared" si="1"/>
        <v>Sobrante</v>
      </c>
      <c r="O32" t="s">
        <v>21</v>
      </c>
      <c r="P32">
        <v>39491642</v>
      </c>
    </row>
    <row r="33" spans="1:17" hidden="1" x14ac:dyDescent="0.25">
      <c r="A33">
        <v>123</v>
      </c>
      <c r="B33">
        <v>7134</v>
      </c>
      <c r="D33" t="s">
        <v>29</v>
      </c>
      <c r="E33" s="2">
        <v>46118</v>
      </c>
      <c r="F33" s="2">
        <v>46113</v>
      </c>
      <c r="G33" t="s">
        <v>36</v>
      </c>
      <c r="H33">
        <v>44680900</v>
      </c>
      <c r="I33">
        <v>22944950</v>
      </c>
      <c r="J33">
        <v>0</v>
      </c>
      <c r="K33">
        <v>0</v>
      </c>
      <c r="M33">
        <f t="shared" si="0"/>
        <v>-21735950</v>
      </c>
      <c r="N33" t="str">
        <f t="shared" si="1"/>
        <v>Sobrante</v>
      </c>
      <c r="O33" t="s">
        <v>21</v>
      </c>
      <c r="P33">
        <v>39445526</v>
      </c>
    </row>
    <row r="34" spans="1:17" hidden="1" x14ac:dyDescent="0.25">
      <c r="A34">
        <v>506</v>
      </c>
      <c r="B34">
        <v>7316</v>
      </c>
      <c r="D34" t="s">
        <v>17</v>
      </c>
      <c r="E34" s="2">
        <v>46118</v>
      </c>
      <c r="F34" s="2">
        <v>46113</v>
      </c>
      <c r="G34" t="s">
        <v>43</v>
      </c>
      <c r="H34">
        <v>113888450</v>
      </c>
      <c r="I34">
        <v>111222000</v>
      </c>
      <c r="J34">
        <v>0</v>
      </c>
      <c r="K34">
        <v>0</v>
      </c>
      <c r="M34">
        <f t="shared" ref="M34:M65" si="2">I34-(H34+J34-K34)- L34</f>
        <v>-2666450</v>
      </c>
      <c r="N34" t="str">
        <f t="shared" ref="N34:N65" si="3">IF(M34=0,"Cuadrado",IF(M34&gt;0,"Faltante","Sobrante"))</f>
        <v>Sobrante</v>
      </c>
      <c r="O34" t="s">
        <v>21</v>
      </c>
      <c r="P34">
        <v>1102824257</v>
      </c>
    </row>
    <row r="35" spans="1:17" hidden="1" x14ac:dyDescent="0.25">
      <c r="A35">
        <v>609</v>
      </c>
      <c r="B35">
        <v>7888</v>
      </c>
      <c r="D35" t="s">
        <v>17</v>
      </c>
      <c r="E35" s="2">
        <v>46118</v>
      </c>
      <c r="F35" s="2">
        <v>46113</v>
      </c>
      <c r="G35" t="s">
        <v>41</v>
      </c>
      <c r="H35">
        <v>310215950</v>
      </c>
      <c r="I35">
        <v>226673950</v>
      </c>
      <c r="J35">
        <v>0</v>
      </c>
      <c r="K35">
        <v>0</v>
      </c>
      <c r="M35">
        <f t="shared" si="2"/>
        <v>-83542000</v>
      </c>
      <c r="N35" t="str">
        <f t="shared" si="3"/>
        <v>Sobrante</v>
      </c>
      <c r="O35" t="s">
        <v>21</v>
      </c>
      <c r="P35">
        <v>98695047</v>
      </c>
    </row>
    <row r="36" spans="1:17" hidden="1" x14ac:dyDescent="0.25">
      <c r="A36">
        <v>419</v>
      </c>
      <c r="B36">
        <v>7980</v>
      </c>
      <c r="D36" t="s">
        <v>17</v>
      </c>
      <c r="E36" s="2">
        <v>46118</v>
      </c>
      <c r="F36" s="2">
        <v>46113</v>
      </c>
      <c r="G36" t="s">
        <v>35</v>
      </c>
      <c r="H36">
        <v>119856350</v>
      </c>
      <c r="I36">
        <v>118001350</v>
      </c>
      <c r="J36">
        <v>0</v>
      </c>
      <c r="K36">
        <v>0</v>
      </c>
      <c r="M36">
        <f t="shared" si="2"/>
        <v>-1855000</v>
      </c>
      <c r="N36" t="str">
        <f t="shared" si="3"/>
        <v>Sobrante</v>
      </c>
      <c r="O36" t="s">
        <v>21</v>
      </c>
      <c r="P36">
        <v>79248430</v>
      </c>
    </row>
    <row r="37" spans="1:17" hidden="1" x14ac:dyDescent="0.25">
      <c r="A37">
        <v>728</v>
      </c>
      <c r="B37">
        <v>8586</v>
      </c>
      <c r="D37" t="s">
        <v>17</v>
      </c>
      <c r="E37" s="2">
        <v>46118</v>
      </c>
      <c r="F37" s="2">
        <v>46113</v>
      </c>
      <c r="G37" t="s">
        <v>44</v>
      </c>
      <c r="H37">
        <v>46858850</v>
      </c>
      <c r="I37">
        <v>45318850</v>
      </c>
      <c r="J37">
        <v>0</v>
      </c>
      <c r="K37">
        <v>0</v>
      </c>
      <c r="M37">
        <f t="shared" si="2"/>
        <v>-1540000</v>
      </c>
      <c r="N37" t="str">
        <f t="shared" si="3"/>
        <v>Sobrante</v>
      </c>
      <c r="O37" t="s">
        <v>21</v>
      </c>
      <c r="P37">
        <v>1112783690</v>
      </c>
    </row>
    <row r="38" spans="1:17" hidden="1" x14ac:dyDescent="0.25">
      <c r="A38">
        <v>728</v>
      </c>
      <c r="B38">
        <v>8587</v>
      </c>
      <c r="D38" t="s">
        <v>17</v>
      </c>
      <c r="E38" s="2">
        <v>46118</v>
      </c>
      <c r="F38" s="2">
        <v>46113</v>
      </c>
      <c r="G38" t="s">
        <v>45</v>
      </c>
      <c r="H38">
        <v>93897550</v>
      </c>
      <c r="I38">
        <v>87047550</v>
      </c>
      <c r="J38">
        <v>0</v>
      </c>
      <c r="K38">
        <v>0</v>
      </c>
      <c r="M38">
        <f t="shared" si="2"/>
        <v>-6850000</v>
      </c>
      <c r="N38" t="str">
        <f t="shared" si="3"/>
        <v>Sobrante</v>
      </c>
      <c r="O38" t="s">
        <v>21</v>
      </c>
      <c r="P38">
        <v>1112783690</v>
      </c>
    </row>
    <row r="39" spans="1:17" hidden="1" x14ac:dyDescent="0.25">
      <c r="A39">
        <v>33</v>
      </c>
      <c r="B39">
        <v>8861</v>
      </c>
      <c r="D39" t="s">
        <v>17</v>
      </c>
      <c r="E39" s="2">
        <v>46118</v>
      </c>
      <c r="F39" s="2">
        <v>46113</v>
      </c>
      <c r="G39" t="s">
        <v>37</v>
      </c>
      <c r="H39">
        <v>159790400</v>
      </c>
      <c r="I39">
        <v>175715400</v>
      </c>
      <c r="J39">
        <v>0</v>
      </c>
      <c r="K39">
        <v>0</v>
      </c>
      <c r="M39">
        <f t="shared" si="2"/>
        <v>15925000</v>
      </c>
      <c r="N39" t="str">
        <f t="shared" si="3"/>
        <v>Faltante</v>
      </c>
      <c r="O39" t="s">
        <v>40</v>
      </c>
      <c r="P39">
        <v>79659379</v>
      </c>
    </row>
    <row r="40" spans="1:17" hidden="1" x14ac:dyDescent="0.25">
      <c r="A40">
        <v>1</v>
      </c>
      <c r="B40">
        <v>5000</v>
      </c>
      <c r="D40" t="s">
        <v>17</v>
      </c>
      <c r="E40" s="2">
        <v>46118</v>
      </c>
      <c r="F40" s="2">
        <v>46113</v>
      </c>
      <c r="G40" t="s">
        <v>38</v>
      </c>
      <c r="H40">
        <v>107370950</v>
      </c>
      <c r="I40">
        <v>97381950</v>
      </c>
      <c r="J40">
        <v>6810000</v>
      </c>
      <c r="K40">
        <v>16799000</v>
      </c>
      <c r="M40">
        <f t="shared" si="2"/>
        <v>0</v>
      </c>
      <c r="N40" t="str">
        <f t="shared" si="3"/>
        <v>Cuadrado</v>
      </c>
      <c r="O40" t="s">
        <v>34</v>
      </c>
      <c r="P40">
        <v>1017128064</v>
      </c>
    </row>
    <row r="41" spans="1:17" hidden="1" x14ac:dyDescent="0.25">
      <c r="A41">
        <v>32</v>
      </c>
      <c r="B41">
        <v>5027</v>
      </c>
      <c r="D41" t="s">
        <v>17</v>
      </c>
      <c r="E41" s="2">
        <v>46118</v>
      </c>
      <c r="F41" s="2">
        <v>46113</v>
      </c>
      <c r="G41" t="s">
        <v>39</v>
      </c>
      <c r="H41">
        <v>367235650</v>
      </c>
      <c r="I41">
        <v>369755650</v>
      </c>
      <c r="J41">
        <v>2720000</v>
      </c>
      <c r="K41">
        <v>200000</v>
      </c>
      <c r="M41">
        <f t="shared" si="2"/>
        <v>0</v>
      </c>
      <c r="N41" t="str">
        <f t="shared" si="3"/>
        <v>Cuadrado</v>
      </c>
      <c r="O41" t="s">
        <v>34</v>
      </c>
      <c r="P41">
        <v>79750158</v>
      </c>
    </row>
    <row r="42" spans="1:17" hidden="1" x14ac:dyDescent="0.25">
      <c r="A42">
        <v>511</v>
      </c>
      <c r="B42">
        <v>5122</v>
      </c>
      <c r="D42" t="s">
        <v>17</v>
      </c>
      <c r="E42" s="2">
        <v>46118</v>
      </c>
      <c r="F42" s="2">
        <v>46113</v>
      </c>
      <c r="G42" t="s">
        <v>41</v>
      </c>
      <c r="H42">
        <v>131793350</v>
      </c>
      <c r="I42">
        <v>136021350</v>
      </c>
      <c r="J42">
        <v>18220000</v>
      </c>
      <c r="K42">
        <v>13992000</v>
      </c>
      <c r="M42">
        <f t="shared" si="2"/>
        <v>0</v>
      </c>
      <c r="N42" t="str">
        <f t="shared" si="3"/>
        <v>Cuadrado</v>
      </c>
      <c r="O42" t="s">
        <v>46</v>
      </c>
      <c r="P42">
        <v>1193097865</v>
      </c>
    </row>
    <row r="43" spans="1:17" hidden="1" x14ac:dyDescent="0.25">
      <c r="A43">
        <v>231</v>
      </c>
      <c r="B43">
        <v>6243</v>
      </c>
      <c r="D43" t="s">
        <v>17</v>
      </c>
      <c r="E43" s="2">
        <v>46118</v>
      </c>
      <c r="F43" s="2">
        <v>46113</v>
      </c>
      <c r="G43" t="s">
        <v>42</v>
      </c>
      <c r="H43">
        <v>135154750</v>
      </c>
      <c r="I43">
        <v>135154750</v>
      </c>
      <c r="J43">
        <v>0</v>
      </c>
      <c r="K43">
        <v>0</v>
      </c>
      <c r="M43">
        <f t="shared" si="2"/>
        <v>0</v>
      </c>
      <c r="N43" t="str">
        <f t="shared" si="3"/>
        <v>Cuadrado</v>
      </c>
      <c r="O43" t="s">
        <v>34</v>
      </c>
      <c r="P43">
        <v>52979634</v>
      </c>
    </row>
    <row r="44" spans="1:17" hidden="1" x14ac:dyDescent="0.25">
      <c r="A44">
        <v>506</v>
      </c>
      <c r="B44">
        <v>7316</v>
      </c>
      <c r="D44" t="s">
        <v>17</v>
      </c>
      <c r="E44" s="2">
        <v>46118</v>
      </c>
      <c r="F44" s="2">
        <v>46113</v>
      </c>
      <c r="G44" t="s">
        <v>43</v>
      </c>
      <c r="H44">
        <v>113888450</v>
      </c>
      <c r="I44">
        <v>111222000</v>
      </c>
      <c r="J44">
        <v>17250000</v>
      </c>
      <c r="K44">
        <v>19916450</v>
      </c>
      <c r="M44">
        <f t="shared" si="2"/>
        <v>0</v>
      </c>
      <c r="N44" t="str">
        <f t="shared" si="3"/>
        <v>Cuadrado</v>
      </c>
      <c r="O44" t="s">
        <v>34</v>
      </c>
      <c r="P44">
        <v>1102824257</v>
      </c>
    </row>
    <row r="45" spans="1:17" hidden="1" x14ac:dyDescent="0.25">
      <c r="A45">
        <v>609</v>
      </c>
      <c r="B45">
        <v>7888</v>
      </c>
      <c r="D45" t="s">
        <v>17</v>
      </c>
      <c r="E45" s="2">
        <v>46118</v>
      </c>
      <c r="F45" s="2">
        <v>46113</v>
      </c>
      <c r="G45" t="s">
        <v>41</v>
      </c>
      <c r="H45">
        <v>310215950</v>
      </c>
      <c r="I45">
        <v>226673950</v>
      </c>
      <c r="J45">
        <v>65600000</v>
      </c>
      <c r="K45">
        <v>149142000</v>
      </c>
      <c r="M45">
        <f t="shared" si="2"/>
        <v>0</v>
      </c>
      <c r="N45" t="str">
        <f t="shared" si="3"/>
        <v>Cuadrado</v>
      </c>
      <c r="O45" t="s">
        <v>34</v>
      </c>
      <c r="P45">
        <v>98695047</v>
      </c>
    </row>
    <row r="46" spans="1:17" hidden="1" x14ac:dyDescent="0.25">
      <c r="A46">
        <v>728</v>
      </c>
      <c r="B46">
        <v>8586</v>
      </c>
      <c r="D46" t="s">
        <v>17</v>
      </c>
      <c r="E46" s="2">
        <v>46118</v>
      </c>
      <c r="F46" s="2">
        <v>46113</v>
      </c>
      <c r="G46" t="s">
        <v>44</v>
      </c>
      <c r="H46">
        <v>46858850</v>
      </c>
      <c r="I46">
        <v>45318850</v>
      </c>
      <c r="J46">
        <v>11760000</v>
      </c>
      <c r="K46">
        <v>13300000</v>
      </c>
      <c r="M46">
        <f t="shared" si="2"/>
        <v>0</v>
      </c>
      <c r="N46" t="str">
        <f t="shared" si="3"/>
        <v>Cuadrado</v>
      </c>
      <c r="O46" t="s">
        <v>34</v>
      </c>
      <c r="P46">
        <v>1112783690</v>
      </c>
    </row>
    <row r="47" spans="1:17" hidden="1" x14ac:dyDescent="0.25">
      <c r="A47">
        <v>728</v>
      </c>
      <c r="B47">
        <v>8587</v>
      </c>
      <c r="D47" t="s">
        <v>17</v>
      </c>
      <c r="E47" s="2">
        <v>46118</v>
      </c>
      <c r="F47" s="2">
        <v>46113</v>
      </c>
      <c r="G47" t="s">
        <v>45</v>
      </c>
      <c r="H47">
        <v>93897550</v>
      </c>
      <c r="I47">
        <v>87047550</v>
      </c>
      <c r="J47">
        <v>9260000</v>
      </c>
      <c r="K47">
        <v>16110000</v>
      </c>
      <c r="M47">
        <f t="shared" si="2"/>
        <v>0</v>
      </c>
      <c r="N47" t="str">
        <f t="shared" si="3"/>
        <v>Cuadrado</v>
      </c>
      <c r="O47" t="s">
        <v>34</v>
      </c>
      <c r="P47">
        <v>1112783690</v>
      </c>
    </row>
    <row r="48" spans="1:17" hidden="1" x14ac:dyDescent="0.25">
      <c r="A48">
        <v>499</v>
      </c>
      <c r="B48">
        <v>172</v>
      </c>
      <c r="D48" t="s">
        <v>17</v>
      </c>
      <c r="E48" s="2">
        <v>46119</v>
      </c>
      <c r="F48" s="2">
        <v>46118</v>
      </c>
      <c r="G48" t="s">
        <v>47</v>
      </c>
      <c r="H48">
        <v>109587600</v>
      </c>
      <c r="I48">
        <v>89514200</v>
      </c>
      <c r="J48">
        <v>7770000</v>
      </c>
      <c r="K48">
        <v>26032000</v>
      </c>
      <c r="M48">
        <f t="shared" si="2"/>
        <v>-1811400</v>
      </c>
      <c r="N48" t="str">
        <f t="shared" si="3"/>
        <v>Sobrante</v>
      </c>
      <c r="O48" t="s">
        <v>48</v>
      </c>
      <c r="P48">
        <v>71337474</v>
      </c>
      <c r="Q48" t="s">
        <v>49</v>
      </c>
    </row>
    <row r="49" spans="1:17" hidden="1" x14ac:dyDescent="0.25">
      <c r="A49">
        <v>4</v>
      </c>
      <c r="B49">
        <v>316</v>
      </c>
      <c r="D49" t="s">
        <v>17</v>
      </c>
      <c r="E49" s="2">
        <v>46119</v>
      </c>
      <c r="F49" s="2">
        <v>46118</v>
      </c>
      <c r="G49" t="s">
        <v>50</v>
      </c>
      <c r="H49">
        <v>45392050</v>
      </c>
      <c r="I49">
        <v>127673050</v>
      </c>
      <c r="J49">
        <v>12950000</v>
      </c>
      <c r="K49">
        <v>11180000</v>
      </c>
      <c r="M49">
        <f t="shared" si="2"/>
        <v>80511000</v>
      </c>
      <c r="N49" t="str">
        <f t="shared" si="3"/>
        <v>Faltante</v>
      </c>
      <c r="O49" t="s">
        <v>48</v>
      </c>
      <c r="P49">
        <v>1152186094</v>
      </c>
      <c r="Q49" t="s">
        <v>51</v>
      </c>
    </row>
    <row r="50" spans="1:17" hidden="1" x14ac:dyDescent="0.25">
      <c r="A50">
        <v>795</v>
      </c>
      <c r="B50">
        <v>1029</v>
      </c>
      <c r="D50" t="s">
        <v>17</v>
      </c>
      <c r="E50" s="2">
        <v>46119</v>
      </c>
      <c r="F50" s="2">
        <v>46118</v>
      </c>
      <c r="G50" t="s">
        <v>52</v>
      </c>
      <c r="H50">
        <v>257241100</v>
      </c>
      <c r="I50">
        <v>257249100</v>
      </c>
      <c r="J50">
        <v>10510000</v>
      </c>
      <c r="K50">
        <v>8452000</v>
      </c>
      <c r="M50">
        <f t="shared" si="2"/>
        <v>-2050000</v>
      </c>
      <c r="N50" t="str">
        <f t="shared" si="3"/>
        <v>Sobrante</v>
      </c>
      <c r="O50" t="s">
        <v>48</v>
      </c>
      <c r="P50">
        <v>91274094</v>
      </c>
      <c r="Q50" t="s">
        <v>53</v>
      </c>
    </row>
    <row r="51" spans="1:17" hidden="1" x14ac:dyDescent="0.25">
      <c r="A51">
        <v>779</v>
      </c>
      <c r="B51">
        <v>5013</v>
      </c>
      <c r="D51" t="s">
        <v>17</v>
      </c>
      <c r="E51" s="2">
        <v>46119</v>
      </c>
      <c r="F51" s="2">
        <v>46118</v>
      </c>
      <c r="G51" t="s">
        <v>54</v>
      </c>
      <c r="H51">
        <v>91728800</v>
      </c>
      <c r="I51">
        <v>124362350</v>
      </c>
      <c r="J51">
        <v>26900000</v>
      </c>
      <c r="K51">
        <v>117272900</v>
      </c>
      <c r="M51">
        <f t="shared" si="2"/>
        <v>123006450</v>
      </c>
      <c r="N51" t="str">
        <f t="shared" si="3"/>
        <v>Faltante</v>
      </c>
      <c r="O51" t="s">
        <v>48</v>
      </c>
      <c r="P51">
        <v>1082858126</v>
      </c>
      <c r="Q51" t="s">
        <v>55</v>
      </c>
    </row>
    <row r="52" spans="1:17" hidden="1" x14ac:dyDescent="0.25">
      <c r="A52">
        <v>81</v>
      </c>
      <c r="B52">
        <v>5036</v>
      </c>
      <c r="D52" t="s">
        <v>17</v>
      </c>
      <c r="E52" s="2">
        <v>46119</v>
      </c>
      <c r="F52" s="2">
        <v>46113</v>
      </c>
      <c r="G52" t="s">
        <v>56</v>
      </c>
      <c r="H52">
        <v>194074800</v>
      </c>
      <c r="I52">
        <v>213144800</v>
      </c>
      <c r="J52">
        <v>22720000</v>
      </c>
      <c r="K52">
        <v>5575000</v>
      </c>
      <c r="M52">
        <f t="shared" si="2"/>
        <v>1925000</v>
      </c>
      <c r="N52" t="str">
        <f t="shared" si="3"/>
        <v>Faltante</v>
      </c>
      <c r="O52" t="s">
        <v>57</v>
      </c>
      <c r="P52">
        <v>1140901424</v>
      </c>
      <c r="Q52" t="s">
        <v>58</v>
      </c>
    </row>
    <row r="53" spans="1:17" hidden="1" x14ac:dyDescent="0.25">
      <c r="A53">
        <v>723</v>
      </c>
      <c r="B53">
        <v>5046</v>
      </c>
      <c r="D53" t="s">
        <v>17</v>
      </c>
      <c r="E53" s="2">
        <v>46119</v>
      </c>
      <c r="F53" s="2">
        <v>46118</v>
      </c>
      <c r="G53" t="s">
        <v>59</v>
      </c>
      <c r="H53">
        <v>92947300</v>
      </c>
      <c r="I53">
        <v>93047300</v>
      </c>
      <c r="J53">
        <v>0</v>
      </c>
      <c r="K53">
        <v>0</v>
      </c>
      <c r="M53">
        <f t="shared" si="2"/>
        <v>100000</v>
      </c>
      <c r="N53" t="str">
        <f t="shared" si="3"/>
        <v>Faltante</v>
      </c>
      <c r="O53" t="s">
        <v>60</v>
      </c>
      <c r="P53">
        <v>1036959981</v>
      </c>
      <c r="Q53" t="s">
        <v>61</v>
      </c>
    </row>
    <row r="54" spans="1:17" hidden="1" x14ac:dyDescent="0.25">
      <c r="A54">
        <v>852</v>
      </c>
      <c r="B54">
        <v>5050</v>
      </c>
      <c r="D54" t="s">
        <v>17</v>
      </c>
      <c r="E54" s="2">
        <v>46119</v>
      </c>
      <c r="F54" s="2">
        <v>46118</v>
      </c>
      <c r="G54" t="s">
        <v>62</v>
      </c>
      <c r="H54">
        <v>241307250</v>
      </c>
      <c r="I54">
        <v>257787250</v>
      </c>
      <c r="J54">
        <v>68330000</v>
      </c>
      <c r="K54">
        <v>70749000</v>
      </c>
      <c r="M54">
        <f t="shared" si="2"/>
        <v>18899000</v>
      </c>
      <c r="N54" t="str">
        <f t="shared" si="3"/>
        <v>Faltante</v>
      </c>
      <c r="O54" t="s">
        <v>40</v>
      </c>
      <c r="P54">
        <v>1088251245</v>
      </c>
      <c r="Q54" t="s">
        <v>63</v>
      </c>
    </row>
    <row r="55" spans="1:17" hidden="1" x14ac:dyDescent="0.25">
      <c r="A55">
        <v>769</v>
      </c>
      <c r="B55">
        <v>5051</v>
      </c>
      <c r="D55" t="s">
        <v>17</v>
      </c>
      <c r="E55" s="2">
        <v>46119</v>
      </c>
      <c r="F55" s="2">
        <v>46118</v>
      </c>
      <c r="G55" t="s">
        <v>64</v>
      </c>
      <c r="H55">
        <v>215380950</v>
      </c>
      <c r="I55">
        <v>139807600</v>
      </c>
      <c r="J55">
        <v>3480000</v>
      </c>
      <c r="K55">
        <v>70933950</v>
      </c>
      <c r="M55">
        <f t="shared" si="2"/>
        <v>-8119400</v>
      </c>
      <c r="N55" t="str">
        <f t="shared" si="3"/>
        <v>Sobrante</v>
      </c>
      <c r="O55" t="s">
        <v>48</v>
      </c>
      <c r="P55">
        <v>1140902142</v>
      </c>
      <c r="Q55" t="s">
        <v>65</v>
      </c>
    </row>
    <row r="56" spans="1:17" hidden="1" x14ac:dyDescent="0.25">
      <c r="A56">
        <v>333</v>
      </c>
      <c r="B56">
        <v>5076</v>
      </c>
      <c r="D56" t="s">
        <v>17</v>
      </c>
      <c r="E56" s="2">
        <v>46119</v>
      </c>
      <c r="F56" s="2">
        <v>46113</v>
      </c>
      <c r="G56" t="s">
        <v>66</v>
      </c>
      <c r="H56">
        <v>46370900</v>
      </c>
      <c r="I56">
        <v>337517300</v>
      </c>
      <c r="J56">
        <v>2630000</v>
      </c>
      <c r="K56">
        <v>250000</v>
      </c>
      <c r="M56">
        <f t="shared" si="2"/>
        <v>288766400</v>
      </c>
      <c r="N56" t="str">
        <f t="shared" si="3"/>
        <v>Faltante</v>
      </c>
      <c r="O56" t="s">
        <v>40</v>
      </c>
      <c r="P56">
        <v>1036606819</v>
      </c>
      <c r="Q56" t="s">
        <v>67</v>
      </c>
    </row>
    <row r="57" spans="1:17" hidden="1" x14ac:dyDescent="0.25">
      <c r="A57">
        <v>19</v>
      </c>
      <c r="B57">
        <v>5078</v>
      </c>
      <c r="D57" t="s">
        <v>17</v>
      </c>
      <c r="E57" s="2">
        <v>46119</v>
      </c>
      <c r="F57" s="2">
        <v>46118</v>
      </c>
      <c r="G57" t="s">
        <v>68</v>
      </c>
      <c r="H57">
        <v>78496500</v>
      </c>
      <c r="I57">
        <v>245758050</v>
      </c>
      <c r="J57">
        <v>19710000</v>
      </c>
      <c r="K57">
        <v>68918500</v>
      </c>
      <c r="M57">
        <f t="shared" si="2"/>
        <v>216470050</v>
      </c>
      <c r="N57" t="str">
        <f t="shared" si="3"/>
        <v>Faltante</v>
      </c>
      <c r="O57" t="s">
        <v>48</v>
      </c>
      <c r="P57">
        <v>43588535</v>
      </c>
      <c r="Q57" t="s">
        <v>69</v>
      </c>
    </row>
    <row r="58" spans="1:17" hidden="1" x14ac:dyDescent="0.25">
      <c r="A58">
        <v>115</v>
      </c>
      <c r="B58">
        <v>5080</v>
      </c>
      <c r="D58" t="s">
        <v>17</v>
      </c>
      <c r="E58" s="2">
        <v>46119</v>
      </c>
      <c r="F58" s="2">
        <v>46118</v>
      </c>
      <c r="G58" t="s">
        <v>70</v>
      </c>
      <c r="H58">
        <v>495906950</v>
      </c>
      <c r="I58">
        <v>498012950</v>
      </c>
      <c r="J58">
        <v>2140000</v>
      </c>
      <c r="K58">
        <v>0</v>
      </c>
      <c r="M58">
        <f t="shared" si="2"/>
        <v>-34000</v>
      </c>
      <c r="N58" t="str">
        <f t="shared" si="3"/>
        <v>Sobrante</v>
      </c>
      <c r="O58" t="s">
        <v>48</v>
      </c>
      <c r="P58">
        <v>42158306</v>
      </c>
      <c r="Q58" t="s">
        <v>71</v>
      </c>
    </row>
    <row r="59" spans="1:17" hidden="1" x14ac:dyDescent="0.25">
      <c r="A59">
        <v>197</v>
      </c>
      <c r="B59">
        <v>5084</v>
      </c>
      <c r="D59" t="s">
        <v>17</v>
      </c>
      <c r="E59" s="2">
        <v>46119</v>
      </c>
      <c r="F59" s="2">
        <v>46118</v>
      </c>
      <c r="G59" t="s">
        <v>72</v>
      </c>
      <c r="H59">
        <v>244202300</v>
      </c>
      <c r="I59">
        <v>501456400</v>
      </c>
      <c r="J59">
        <v>12210000</v>
      </c>
      <c r="K59">
        <v>240281900</v>
      </c>
      <c r="M59">
        <f t="shared" si="2"/>
        <v>485326000</v>
      </c>
      <c r="N59" t="str">
        <f t="shared" si="3"/>
        <v>Faltante</v>
      </c>
      <c r="O59" t="s">
        <v>48</v>
      </c>
      <c r="P59">
        <v>1065652660</v>
      </c>
      <c r="Q59" t="s">
        <v>73</v>
      </c>
    </row>
    <row r="60" spans="1:17" hidden="1" x14ac:dyDescent="0.25">
      <c r="A60">
        <v>634</v>
      </c>
      <c r="B60">
        <v>5087</v>
      </c>
      <c r="D60" t="s">
        <v>17</v>
      </c>
      <c r="E60" s="2">
        <v>46119</v>
      </c>
      <c r="F60" s="2">
        <v>46118</v>
      </c>
      <c r="G60" t="s">
        <v>74</v>
      </c>
      <c r="H60">
        <v>229704900</v>
      </c>
      <c r="I60">
        <v>276027200</v>
      </c>
      <c r="J60">
        <v>43510000</v>
      </c>
      <c r="K60">
        <v>0</v>
      </c>
      <c r="M60">
        <f t="shared" si="2"/>
        <v>2812300</v>
      </c>
      <c r="N60" t="str">
        <f t="shared" si="3"/>
        <v>Faltante</v>
      </c>
      <c r="O60" t="s">
        <v>75</v>
      </c>
      <c r="P60">
        <v>1032424944</v>
      </c>
      <c r="Q60" t="s">
        <v>76</v>
      </c>
    </row>
    <row r="61" spans="1:17" hidden="1" x14ac:dyDescent="0.25">
      <c r="A61">
        <v>656</v>
      </c>
      <c r="B61">
        <v>5103</v>
      </c>
      <c r="D61" t="s">
        <v>17</v>
      </c>
      <c r="E61" s="2">
        <v>46119</v>
      </c>
      <c r="F61" s="2">
        <v>46118</v>
      </c>
      <c r="G61" t="s">
        <v>77</v>
      </c>
      <c r="H61">
        <v>213568550</v>
      </c>
      <c r="I61">
        <v>354660450</v>
      </c>
      <c r="J61">
        <v>0</v>
      </c>
      <c r="K61">
        <v>800000</v>
      </c>
      <c r="M61">
        <f t="shared" si="2"/>
        <v>141891900</v>
      </c>
      <c r="N61" t="str">
        <f t="shared" si="3"/>
        <v>Faltante</v>
      </c>
      <c r="O61" t="s">
        <v>48</v>
      </c>
      <c r="P61">
        <v>1065627875</v>
      </c>
      <c r="Q61" t="s">
        <v>78</v>
      </c>
    </row>
    <row r="62" spans="1:17" hidden="1" x14ac:dyDescent="0.25">
      <c r="A62">
        <v>291</v>
      </c>
      <c r="B62">
        <v>5114</v>
      </c>
      <c r="D62" t="s">
        <v>17</v>
      </c>
      <c r="E62" s="2">
        <v>46119</v>
      </c>
      <c r="F62" s="2">
        <v>46118</v>
      </c>
      <c r="G62" t="s">
        <v>79</v>
      </c>
      <c r="H62">
        <v>266509400</v>
      </c>
      <c r="I62">
        <v>266492000</v>
      </c>
      <c r="J62">
        <v>13240000</v>
      </c>
      <c r="K62">
        <v>13210000</v>
      </c>
      <c r="M62">
        <f t="shared" si="2"/>
        <v>-47400</v>
      </c>
      <c r="N62" t="str">
        <f t="shared" si="3"/>
        <v>Sobrante</v>
      </c>
      <c r="O62" t="s">
        <v>48</v>
      </c>
      <c r="P62">
        <v>1095930956</v>
      </c>
      <c r="Q62" t="s">
        <v>80</v>
      </c>
    </row>
    <row r="63" spans="1:17" hidden="1" x14ac:dyDescent="0.25">
      <c r="A63">
        <v>511</v>
      </c>
      <c r="B63">
        <v>5122</v>
      </c>
      <c r="D63" t="s">
        <v>17</v>
      </c>
      <c r="E63" s="2">
        <v>46119</v>
      </c>
      <c r="F63" s="2">
        <v>46118</v>
      </c>
      <c r="G63" t="s">
        <v>81</v>
      </c>
      <c r="H63">
        <v>223219900</v>
      </c>
      <c r="I63">
        <v>230538900</v>
      </c>
      <c r="J63">
        <v>14140000</v>
      </c>
      <c r="K63">
        <v>9891000</v>
      </c>
      <c r="M63">
        <f t="shared" si="2"/>
        <v>3070000</v>
      </c>
      <c r="N63" t="str">
        <f t="shared" si="3"/>
        <v>Faltante</v>
      </c>
      <c r="O63" t="s">
        <v>34</v>
      </c>
      <c r="P63">
        <v>1037597003</v>
      </c>
      <c r="Q63" t="s">
        <v>82</v>
      </c>
    </row>
    <row r="64" spans="1:17" hidden="1" x14ac:dyDescent="0.25">
      <c r="A64">
        <v>76</v>
      </c>
      <c r="B64">
        <v>5126</v>
      </c>
      <c r="D64" t="s">
        <v>17</v>
      </c>
      <c r="E64" s="2">
        <v>46119</v>
      </c>
      <c r="F64" s="2">
        <v>46118</v>
      </c>
      <c r="G64" t="s">
        <v>83</v>
      </c>
      <c r="H64">
        <v>121289350</v>
      </c>
      <c r="I64">
        <v>148838400</v>
      </c>
      <c r="J64">
        <v>44090000</v>
      </c>
      <c r="K64">
        <v>55778950</v>
      </c>
      <c r="M64">
        <f t="shared" si="2"/>
        <v>39238000</v>
      </c>
      <c r="N64" t="str">
        <f t="shared" si="3"/>
        <v>Faltante</v>
      </c>
      <c r="O64" t="s">
        <v>40</v>
      </c>
      <c r="P64">
        <v>7688705</v>
      </c>
      <c r="Q64" t="s">
        <v>84</v>
      </c>
    </row>
    <row r="65" spans="1:17" hidden="1" x14ac:dyDescent="0.25">
      <c r="A65">
        <v>101</v>
      </c>
      <c r="B65">
        <v>5128</v>
      </c>
      <c r="D65" t="s">
        <v>17</v>
      </c>
      <c r="E65" s="2">
        <v>46119</v>
      </c>
      <c r="F65" s="2">
        <v>46118</v>
      </c>
      <c r="G65" t="s">
        <v>85</v>
      </c>
      <c r="H65">
        <v>167331800</v>
      </c>
      <c r="I65">
        <v>165371800</v>
      </c>
      <c r="J65">
        <v>0</v>
      </c>
      <c r="K65">
        <v>0</v>
      </c>
      <c r="M65">
        <f t="shared" si="2"/>
        <v>-1960000</v>
      </c>
      <c r="N65" t="str">
        <f t="shared" si="3"/>
        <v>Sobrante</v>
      </c>
      <c r="O65" t="s">
        <v>48</v>
      </c>
      <c r="P65">
        <v>1033724729</v>
      </c>
      <c r="Q65" t="s">
        <v>86</v>
      </c>
    </row>
    <row r="66" spans="1:17" hidden="1" x14ac:dyDescent="0.25">
      <c r="A66">
        <v>244</v>
      </c>
      <c r="B66">
        <v>5129</v>
      </c>
      <c r="D66" t="s">
        <v>17</v>
      </c>
      <c r="E66" s="2">
        <v>46119</v>
      </c>
      <c r="F66" s="2">
        <v>46113</v>
      </c>
      <c r="G66" t="s">
        <v>87</v>
      </c>
      <c r="H66">
        <v>345948700</v>
      </c>
      <c r="I66">
        <v>345362100</v>
      </c>
      <c r="J66">
        <v>63550000</v>
      </c>
      <c r="K66">
        <v>63127050</v>
      </c>
      <c r="M66">
        <f t="shared" ref="M66:M97" si="4">I66-(H66+J66-K66)- L66</f>
        <v>-1009550</v>
      </c>
      <c r="N66" t="str">
        <f t="shared" ref="N66:N97" si="5">IF(M66=0,"Cuadrado",IF(M66&gt;0,"Faltante","Sobrante"))</f>
        <v>Sobrante</v>
      </c>
      <c r="O66" t="s">
        <v>48</v>
      </c>
      <c r="P66">
        <v>52525769</v>
      </c>
      <c r="Q66" t="s">
        <v>88</v>
      </c>
    </row>
    <row r="67" spans="1:17" hidden="1" x14ac:dyDescent="0.25">
      <c r="A67">
        <v>812</v>
      </c>
      <c r="B67">
        <v>5144</v>
      </c>
      <c r="D67" t="s">
        <v>17</v>
      </c>
      <c r="E67" s="2">
        <v>46119</v>
      </c>
      <c r="F67" s="2">
        <v>46113</v>
      </c>
      <c r="G67" t="s">
        <v>89</v>
      </c>
      <c r="H67">
        <v>323590300</v>
      </c>
      <c r="I67">
        <v>313854400</v>
      </c>
      <c r="J67">
        <v>106150000</v>
      </c>
      <c r="K67">
        <v>110796900</v>
      </c>
      <c r="M67">
        <f t="shared" si="4"/>
        <v>-5089000</v>
      </c>
      <c r="N67" t="str">
        <f t="shared" si="5"/>
        <v>Sobrante</v>
      </c>
      <c r="O67" t="s">
        <v>48</v>
      </c>
      <c r="P67">
        <v>31711383</v>
      </c>
      <c r="Q67" t="s">
        <v>90</v>
      </c>
    </row>
    <row r="68" spans="1:17" hidden="1" x14ac:dyDescent="0.25">
      <c r="A68">
        <v>358</v>
      </c>
      <c r="B68">
        <v>5149</v>
      </c>
      <c r="D68" t="s">
        <v>17</v>
      </c>
      <c r="E68" s="2">
        <v>46119</v>
      </c>
      <c r="F68" s="2">
        <v>46118</v>
      </c>
      <c r="G68" t="s">
        <v>91</v>
      </c>
      <c r="H68">
        <v>82801300</v>
      </c>
      <c r="I68">
        <v>66935750</v>
      </c>
      <c r="J68">
        <v>16900000</v>
      </c>
      <c r="K68">
        <v>12765150</v>
      </c>
      <c r="M68">
        <f t="shared" si="4"/>
        <v>-20000400</v>
      </c>
      <c r="N68" t="str">
        <f t="shared" si="5"/>
        <v>Sobrante</v>
      </c>
      <c r="O68" t="s">
        <v>48</v>
      </c>
      <c r="P68">
        <v>46456877</v>
      </c>
      <c r="Q68" t="s">
        <v>92</v>
      </c>
    </row>
    <row r="69" spans="1:17" hidden="1" x14ac:dyDescent="0.25">
      <c r="A69">
        <v>806</v>
      </c>
      <c r="B69">
        <v>5156</v>
      </c>
      <c r="D69" t="s">
        <v>17</v>
      </c>
      <c r="E69" s="2">
        <v>46119</v>
      </c>
      <c r="F69" s="2">
        <v>46113</v>
      </c>
      <c r="G69" t="s">
        <v>93</v>
      </c>
      <c r="H69">
        <v>226834850</v>
      </c>
      <c r="I69">
        <v>215468500</v>
      </c>
      <c r="J69">
        <v>21630000</v>
      </c>
      <c r="K69">
        <v>28249700</v>
      </c>
      <c r="M69">
        <f t="shared" si="4"/>
        <v>-4746650</v>
      </c>
      <c r="N69" t="str">
        <f t="shared" si="5"/>
        <v>Sobrante</v>
      </c>
      <c r="O69" t="s">
        <v>48</v>
      </c>
      <c r="P69">
        <v>7335993</v>
      </c>
      <c r="Q69" t="s">
        <v>94</v>
      </c>
    </row>
    <row r="70" spans="1:17" hidden="1" x14ac:dyDescent="0.25">
      <c r="A70">
        <v>70</v>
      </c>
      <c r="B70">
        <v>5164</v>
      </c>
      <c r="D70" t="s">
        <v>17</v>
      </c>
      <c r="E70" s="2">
        <v>46119</v>
      </c>
      <c r="F70" s="2">
        <v>46118</v>
      </c>
      <c r="G70" t="s">
        <v>95</v>
      </c>
      <c r="H70">
        <v>81139200</v>
      </c>
      <c r="I70">
        <v>79529200</v>
      </c>
      <c r="J70">
        <v>0</v>
      </c>
      <c r="K70">
        <v>0</v>
      </c>
      <c r="M70">
        <f t="shared" si="4"/>
        <v>-1610000</v>
      </c>
      <c r="N70" t="str">
        <f t="shared" si="5"/>
        <v>Sobrante</v>
      </c>
      <c r="O70" t="s">
        <v>48</v>
      </c>
      <c r="P70">
        <v>30231139</v>
      </c>
      <c r="Q70" t="s">
        <v>96</v>
      </c>
    </row>
    <row r="71" spans="1:17" hidden="1" x14ac:dyDescent="0.25">
      <c r="A71">
        <v>388</v>
      </c>
      <c r="B71">
        <v>5169</v>
      </c>
      <c r="D71" t="s">
        <v>17</v>
      </c>
      <c r="E71" s="2">
        <v>46119</v>
      </c>
      <c r="F71" s="2">
        <v>46118</v>
      </c>
      <c r="G71" t="s">
        <v>97</v>
      </c>
      <c r="H71">
        <v>333475700</v>
      </c>
      <c r="I71">
        <v>338355700</v>
      </c>
      <c r="J71">
        <v>0</v>
      </c>
      <c r="K71">
        <v>0</v>
      </c>
      <c r="M71">
        <f t="shared" si="4"/>
        <v>4880000</v>
      </c>
      <c r="N71" t="str">
        <f t="shared" si="5"/>
        <v>Faltante</v>
      </c>
      <c r="O71" t="s">
        <v>98</v>
      </c>
      <c r="P71">
        <v>1023890720</v>
      </c>
      <c r="Q71" t="s">
        <v>99</v>
      </c>
    </row>
    <row r="72" spans="1:17" hidden="1" x14ac:dyDescent="0.25">
      <c r="A72">
        <v>756</v>
      </c>
      <c r="B72">
        <v>5183</v>
      </c>
      <c r="D72" t="s">
        <v>17</v>
      </c>
      <c r="E72" s="2">
        <v>46119</v>
      </c>
      <c r="F72" s="2">
        <v>46118</v>
      </c>
      <c r="G72" t="s">
        <v>100</v>
      </c>
      <c r="H72">
        <v>209881900</v>
      </c>
      <c r="I72">
        <v>224670800</v>
      </c>
      <c r="J72">
        <v>8170000</v>
      </c>
      <c r="K72">
        <v>0</v>
      </c>
      <c r="M72">
        <f t="shared" si="4"/>
        <v>6618900</v>
      </c>
      <c r="N72" t="str">
        <f t="shared" si="5"/>
        <v>Faltante</v>
      </c>
      <c r="O72" t="s">
        <v>40</v>
      </c>
      <c r="P72">
        <v>41963135</v>
      </c>
      <c r="Q72" t="s">
        <v>101</v>
      </c>
    </row>
    <row r="73" spans="1:17" hidden="1" x14ac:dyDescent="0.25">
      <c r="A73">
        <v>432</v>
      </c>
      <c r="B73">
        <v>5195</v>
      </c>
      <c r="D73" t="s">
        <v>17</v>
      </c>
      <c r="E73" s="2">
        <v>46119</v>
      </c>
      <c r="F73" s="2">
        <v>46113</v>
      </c>
      <c r="G73" t="s">
        <v>102</v>
      </c>
      <c r="H73">
        <v>187341850</v>
      </c>
      <c r="I73">
        <v>205180850</v>
      </c>
      <c r="J73">
        <v>47170000</v>
      </c>
      <c r="K73">
        <v>30495000</v>
      </c>
      <c r="M73">
        <f t="shared" si="4"/>
        <v>1164000</v>
      </c>
      <c r="N73" t="str">
        <f t="shared" si="5"/>
        <v>Faltante</v>
      </c>
      <c r="O73" t="s">
        <v>103</v>
      </c>
      <c r="P73">
        <v>71935844</v>
      </c>
      <c r="Q73" t="s">
        <v>104</v>
      </c>
    </row>
    <row r="74" spans="1:17" hidden="1" x14ac:dyDescent="0.25">
      <c r="A74">
        <v>455</v>
      </c>
      <c r="B74">
        <v>5206</v>
      </c>
      <c r="D74" t="s">
        <v>17</v>
      </c>
      <c r="E74" s="2">
        <v>46119</v>
      </c>
      <c r="F74" s="2">
        <v>46118</v>
      </c>
      <c r="G74" t="s">
        <v>105</v>
      </c>
      <c r="H74">
        <v>129136000</v>
      </c>
      <c r="I74">
        <v>116667650</v>
      </c>
      <c r="J74">
        <v>5240000</v>
      </c>
      <c r="K74">
        <v>17780000</v>
      </c>
      <c r="M74">
        <f t="shared" si="4"/>
        <v>71650</v>
      </c>
      <c r="N74" t="str">
        <f t="shared" si="5"/>
        <v>Faltante</v>
      </c>
      <c r="O74" t="s">
        <v>106</v>
      </c>
      <c r="P74">
        <v>1083896352</v>
      </c>
      <c r="Q74" t="s">
        <v>107</v>
      </c>
    </row>
    <row r="75" spans="1:17" hidden="1" x14ac:dyDescent="0.25">
      <c r="A75">
        <v>690</v>
      </c>
      <c r="B75">
        <v>6180</v>
      </c>
      <c r="D75" t="s">
        <v>17</v>
      </c>
      <c r="E75" s="2">
        <v>46119</v>
      </c>
      <c r="F75" s="2">
        <v>46118</v>
      </c>
      <c r="G75" t="s">
        <v>108</v>
      </c>
      <c r="H75">
        <v>159731600</v>
      </c>
      <c r="I75">
        <v>282306900</v>
      </c>
      <c r="J75">
        <v>41590000</v>
      </c>
      <c r="K75">
        <v>49622000</v>
      </c>
      <c r="M75">
        <f t="shared" si="4"/>
        <v>130607300</v>
      </c>
      <c r="N75" t="str">
        <f t="shared" si="5"/>
        <v>Faltante</v>
      </c>
      <c r="O75" t="s">
        <v>40</v>
      </c>
      <c r="P75">
        <v>1018459514</v>
      </c>
      <c r="Q75" t="s">
        <v>109</v>
      </c>
    </row>
    <row r="76" spans="1:17" hidden="1" x14ac:dyDescent="0.25">
      <c r="A76">
        <v>178</v>
      </c>
      <c r="B76">
        <v>6218</v>
      </c>
      <c r="D76" t="s">
        <v>17</v>
      </c>
      <c r="E76" s="2">
        <v>46119</v>
      </c>
      <c r="F76" s="2">
        <v>46118</v>
      </c>
      <c r="G76" t="s">
        <v>110</v>
      </c>
      <c r="H76">
        <v>167415400</v>
      </c>
      <c r="I76">
        <v>153389300</v>
      </c>
      <c r="J76">
        <v>6480000</v>
      </c>
      <c r="K76">
        <v>22306100</v>
      </c>
      <c r="M76">
        <f t="shared" si="4"/>
        <v>1800000</v>
      </c>
      <c r="N76" t="str">
        <f t="shared" si="5"/>
        <v>Faltante</v>
      </c>
      <c r="O76" t="s">
        <v>34</v>
      </c>
      <c r="P76">
        <v>79516051</v>
      </c>
      <c r="Q76" t="s">
        <v>111</v>
      </c>
    </row>
    <row r="77" spans="1:17" hidden="1" x14ac:dyDescent="0.25">
      <c r="A77">
        <v>236</v>
      </c>
      <c r="B77">
        <v>6242</v>
      </c>
      <c r="D77" t="s">
        <v>17</v>
      </c>
      <c r="E77" s="2">
        <v>46119</v>
      </c>
      <c r="F77" s="2">
        <v>46113</v>
      </c>
      <c r="G77" t="s">
        <v>112</v>
      </c>
      <c r="H77">
        <v>133900450</v>
      </c>
      <c r="I77">
        <v>259526300</v>
      </c>
      <c r="J77">
        <v>103130000</v>
      </c>
      <c r="K77">
        <v>154569150</v>
      </c>
      <c r="M77">
        <f t="shared" si="4"/>
        <v>177065000</v>
      </c>
      <c r="N77" t="str">
        <f t="shared" si="5"/>
        <v>Faltante</v>
      </c>
      <c r="O77" t="s">
        <v>113</v>
      </c>
      <c r="P77">
        <v>71369714</v>
      </c>
      <c r="Q77" t="s">
        <v>114</v>
      </c>
    </row>
    <row r="78" spans="1:17" hidden="1" x14ac:dyDescent="0.25">
      <c r="A78">
        <v>78</v>
      </c>
      <c r="B78">
        <v>6246</v>
      </c>
      <c r="D78" t="s">
        <v>17</v>
      </c>
      <c r="E78" s="2">
        <v>46119</v>
      </c>
      <c r="F78" s="2">
        <v>46118</v>
      </c>
      <c r="G78" t="s">
        <v>115</v>
      </c>
      <c r="H78">
        <v>180965600</v>
      </c>
      <c r="I78">
        <v>168085600</v>
      </c>
      <c r="J78">
        <v>4760000</v>
      </c>
      <c r="K78">
        <v>4400000</v>
      </c>
      <c r="M78">
        <f t="shared" si="4"/>
        <v>-13240000</v>
      </c>
      <c r="N78" t="str">
        <f t="shared" si="5"/>
        <v>Sobrante</v>
      </c>
      <c r="O78" t="s">
        <v>48</v>
      </c>
      <c r="P78">
        <v>91284848</v>
      </c>
      <c r="Q78" t="s">
        <v>116</v>
      </c>
    </row>
    <row r="79" spans="1:17" hidden="1" x14ac:dyDescent="0.25">
      <c r="A79">
        <v>37</v>
      </c>
      <c r="B79">
        <v>6406</v>
      </c>
      <c r="D79" t="s">
        <v>17</v>
      </c>
      <c r="E79" s="2">
        <v>46119</v>
      </c>
      <c r="F79" s="2">
        <v>46113</v>
      </c>
      <c r="G79" t="s">
        <v>33</v>
      </c>
      <c r="H79">
        <v>272852200</v>
      </c>
      <c r="I79">
        <v>126536200</v>
      </c>
      <c r="J79">
        <v>80780000</v>
      </c>
      <c r="K79">
        <v>10096000</v>
      </c>
      <c r="M79">
        <f t="shared" si="4"/>
        <v>-217000000</v>
      </c>
      <c r="N79" t="str">
        <f t="shared" si="5"/>
        <v>Sobrante</v>
      </c>
      <c r="O79" t="s">
        <v>34</v>
      </c>
      <c r="P79">
        <v>1018444239</v>
      </c>
      <c r="Q79" t="s">
        <v>117</v>
      </c>
    </row>
    <row r="80" spans="1:17" hidden="1" x14ac:dyDescent="0.25">
      <c r="A80">
        <v>894</v>
      </c>
      <c r="B80">
        <v>6466</v>
      </c>
      <c r="D80" t="s">
        <v>17</v>
      </c>
      <c r="E80" s="2">
        <v>46119</v>
      </c>
      <c r="F80" s="2">
        <v>46118</v>
      </c>
      <c r="G80" t="s">
        <v>52</v>
      </c>
      <c r="H80">
        <v>86946300</v>
      </c>
      <c r="I80">
        <v>86936450</v>
      </c>
      <c r="J80">
        <v>0</v>
      </c>
      <c r="K80">
        <v>0</v>
      </c>
      <c r="M80">
        <f t="shared" si="4"/>
        <v>-9850</v>
      </c>
      <c r="N80" t="str">
        <f t="shared" si="5"/>
        <v>Sobrante</v>
      </c>
      <c r="O80" t="s">
        <v>48</v>
      </c>
      <c r="P80">
        <v>1085292007</v>
      </c>
      <c r="Q80" t="s">
        <v>118</v>
      </c>
    </row>
    <row r="81" spans="1:17" hidden="1" x14ac:dyDescent="0.25">
      <c r="A81">
        <v>613</v>
      </c>
      <c r="B81">
        <v>6713</v>
      </c>
      <c r="D81" t="s">
        <v>29</v>
      </c>
      <c r="E81" s="2">
        <v>46119</v>
      </c>
      <c r="F81" s="2">
        <v>46113</v>
      </c>
      <c r="G81" t="s">
        <v>119</v>
      </c>
      <c r="H81">
        <v>197235700</v>
      </c>
      <c r="I81">
        <v>204493400</v>
      </c>
      <c r="J81">
        <v>27900000</v>
      </c>
      <c r="K81">
        <v>19290300</v>
      </c>
      <c r="M81">
        <f t="shared" si="4"/>
        <v>-1352000</v>
      </c>
      <c r="N81" t="str">
        <f t="shared" si="5"/>
        <v>Sobrante</v>
      </c>
      <c r="O81" t="s">
        <v>48</v>
      </c>
      <c r="P81">
        <v>1040325060</v>
      </c>
      <c r="Q81" t="s">
        <v>120</v>
      </c>
    </row>
    <row r="82" spans="1:17" hidden="1" x14ac:dyDescent="0.25">
      <c r="A82">
        <v>796</v>
      </c>
      <c r="B82">
        <v>6911</v>
      </c>
      <c r="D82" t="s">
        <v>17</v>
      </c>
      <c r="E82" s="2">
        <v>46119</v>
      </c>
      <c r="F82" s="2">
        <v>46113</v>
      </c>
      <c r="G82" t="s">
        <v>121</v>
      </c>
      <c r="H82">
        <v>127563250</v>
      </c>
      <c r="I82">
        <v>112606750</v>
      </c>
      <c r="J82">
        <v>9560000</v>
      </c>
      <c r="K82">
        <v>23516500</v>
      </c>
      <c r="M82">
        <f t="shared" si="4"/>
        <v>-1000000</v>
      </c>
      <c r="N82" t="str">
        <f t="shared" si="5"/>
        <v>Sobrante</v>
      </c>
      <c r="O82" t="s">
        <v>48</v>
      </c>
      <c r="P82">
        <v>1095802301</v>
      </c>
      <c r="Q82" t="s">
        <v>122</v>
      </c>
    </row>
    <row r="83" spans="1:17" hidden="1" x14ac:dyDescent="0.25">
      <c r="A83">
        <v>658</v>
      </c>
      <c r="B83">
        <v>7074</v>
      </c>
      <c r="D83" t="s">
        <v>17</v>
      </c>
      <c r="E83" s="2">
        <v>46119</v>
      </c>
      <c r="F83" s="2">
        <v>46118</v>
      </c>
      <c r="G83" t="s">
        <v>123</v>
      </c>
      <c r="H83">
        <v>181412050</v>
      </c>
      <c r="I83">
        <v>174080500</v>
      </c>
      <c r="J83">
        <v>14550000</v>
      </c>
      <c r="K83">
        <v>34233200</v>
      </c>
      <c r="M83">
        <f t="shared" si="4"/>
        <v>12351650</v>
      </c>
      <c r="N83" t="str">
        <f t="shared" si="5"/>
        <v>Faltante</v>
      </c>
      <c r="O83" t="s">
        <v>40</v>
      </c>
      <c r="P83">
        <v>79880795</v>
      </c>
      <c r="Q83" t="s">
        <v>124</v>
      </c>
    </row>
    <row r="84" spans="1:17" hidden="1" x14ac:dyDescent="0.25">
      <c r="A84">
        <v>172</v>
      </c>
      <c r="B84">
        <v>7429</v>
      </c>
      <c r="D84" t="s">
        <v>17</v>
      </c>
      <c r="E84" s="2">
        <v>46119</v>
      </c>
      <c r="F84" s="2">
        <v>46113</v>
      </c>
      <c r="G84" t="s">
        <v>125</v>
      </c>
      <c r="H84">
        <v>290944550</v>
      </c>
      <c r="I84">
        <v>285362700</v>
      </c>
      <c r="J84">
        <v>280000</v>
      </c>
      <c r="K84">
        <v>5850000</v>
      </c>
      <c r="M84">
        <f t="shared" si="4"/>
        <v>-11850</v>
      </c>
      <c r="N84" t="str">
        <f t="shared" si="5"/>
        <v>Sobrante</v>
      </c>
      <c r="O84" t="s">
        <v>48</v>
      </c>
      <c r="P84">
        <v>52156260</v>
      </c>
      <c r="Q84" t="s">
        <v>126</v>
      </c>
    </row>
    <row r="85" spans="1:17" hidden="1" x14ac:dyDescent="0.25">
      <c r="A85">
        <v>476</v>
      </c>
      <c r="B85">
        <v>7759</v>
      </c>
      <c r="D85" t="s">
        <v>29</v>
      </c>
      <c r="E85" s="2">
        <v>46119</v>
      </c>
      <c r="F85" s="2">
        <v>46118</v>
      </c>
      <c r="G85" t="s">
        <v>127</v>
      </c>
      <c r="H85">
        <v>189096000</v>
      </c>
      <c r="I85">
        <v>191802250</v>
      </c>
      <c r="J85">
        <v>2760000</v>
      </c>
      <c r="K85">
        <v>0</v>
      </c>
      <c r="M85">
        <f t="shared" si="4"/>
        <v>-53750</v>
      </c>
      <c r="N85" t="str">
        <f t="shared" si="5"/>
        <v>Sobrante</v>
      </c>
      <c r="O85" t="s">
        <v>48</v>
      </c>
      <c r="P85">
        <v>1094240170</v>
      </c>
      <c r="Q85" t="s">
        <v>128</v>
      </c>
    </row>
    <row r="86" spans="1:17" hidden="1" x14ac:dyDescent="0.25">
      <c r="A86">
        <v>868</v>
      </c>
      <c r="B86">
        <v>7863</v>
      </c>
      <c r="D86" t="s">
        <v>17</v>
      </c>
      <c r="E86" s="2">
        <v>46119</v>
      </c>
      <c r="F86" s="2">
        <v>46113</v>
      </c>
      <c r="G86" t="s">
        <v>129</v>
      </c>
      <c r="H86">
        <v>2901750</v>
      </c>
      <c r="I86">
        <v>7071350</v>
      </c>
      <c r="J86">
        <v>190000</v>
      </c>
      <c r="K86">
        <v>0</v>
      </c>
      <c r="M86">
        <f t="shared" si="4"/>
        <v>3979600</v>
      </c>
      <c r="N86" t="str">
        <f t="shared" si="5"/>
        <v>Faltante</v>
      </c>
      <c r="O86" t="s">
        <v>40</v>
      </c>
      <c r="P86">
        <v>31602728</v>
      </c>
      <c r="Q86" t="s">
        <v>130</v>
      </c>
    </row>
    <row r="87" spans="1:17" hidden="1" x14ac:dyDescent="0.25">
      <c r="A87">
        <v>609</v>
      </c>
      <c r="B87">
        <v>7875</v>
      </c>
      <c r="D87" t="s">
        <v>17</v>
      </c>
      <c r="E87" s="2">
        <v>46119</v>
      </c>
      <c r="F87" s="2">
        <v>46118</v>
      </c>
      <c r="G87" t="s">
        <v>131</v>
      </c>
      <c r="H87">
        <v>152238400</v>
      </c>
      <c r="I87">
        <v>166242400</v>
      </c>
      <c r="J87">
        <v>23210000</v>
      </c>
      <c r="K87">
        <v>9406000</v>
      </c>
      <c r="M87">
        <f t="shared" si="4"/>
        <v>200000</v>
      </c>
      <c r="N87" t="str">
        <f t="shared" si="5"/>
        <v>Faltante</v>
      </c>
      <c r="O87" t="s">
        <v>57</v>
      </c>
      <c r="P87">
        <v>16055613</v>
      </c>
      <c r="Q87" t="s">
        <v>132</v>
      </c>
    </row>
    <row r="88" spans="1:17" hidden="1" x14ac:dyDescent="0.25">
      <c r="A88">
        <v>453</v>
      </c>
      <c r="B88">
        <v>8019</v>
      </c>
      <c r="D88" t="s">
        <v>17</v>
      </c>
      <c r="E88" s="2">
        <v>46119</v>
      </c>
      <c r="F88" s="2">
        <v>46118</v>
      </c>
      <c r="G88" t="s">
        <v>133</v>
      </c>
      <c r="H88">
        <v>214013600</v>
      </c>
      <c r="I88">
        <v>204025100</v>
      </c>
      <c r="J88">
        <v>4250000</v>
      </c>
      <c r="K88">
        <v>18550000</v>
      </c>
      <c r="M88">
        <f t="shared" si="4"/>
        <v>4311500</v>
      </c>
      <c r="N88" t="str">
        <f t="shared" si="5"/>
        <v>Faltante</v>
      </c>
      <c r="O88" t="s">
        <v>40</v>
      </c>
      <c r="P88">
        <v>1083897578</v>
      </c>
      <c r="Q88" t="s">
        <v>134</v>
      </c>
    </row>
    <row r="89" spans="1:17" hidden="1" x14ac:dyDescent="0.25">
      <c r="A89">
        <v>554</v>
      </c>
      <c r="B89">
        <v>8294</v>
      </c>
      <c r="D89" t="s">
        <v>17</v>
      </c>
      <c r="E89" s="2">
        <v>46119</v>
      </c>
      <c r="F89" s="2">
        <v>46118</v>
      </c>
      <c r="G89" t="s">
        <v>135</v>
      </c>
      <c r="H89">
        <v>423318500</v>
      </c>
      <c r="I89">
        <v>234034800</v>
      </c>
      <c r="J89">
        <v>8580000</v>
      </c>
      <c r="K89">
        <v>115703950</v>
      </c>
      <c r="M89">
        <f t="shared" si="4"/>
        <v>-82159750</v>
      </c>
      <c r="N89" t="str">
        <f t="shared" si="5"/>
        <v>Sobrante</v>
      </c>
      <c r="O89" t="s">
        <v>40</v>
      </c>
      <c r="P89">
        <v>1143151164</v>
      </c>
      <c r="Q89" t="s">
        <v>136</v>
      </c>
    </row>
    <row r="90" spans="1:17" hidden="1" x14ac:dyDescent="0.25">
      <c r="A90">
        <v>556</v>
      </c>
      <c r="B90">
        <v>8333</v>
      </c>
      <c r="D90" t="s">
        <v>17</v>
      </c>
      <c r="E90" s="2">
        <v>46119</v>
      </c>
      <c r="F90" s="2">
        <v>46118</v>
      </c>
      <c r="G90" t="s">
        <v>137</v>
      </c>
      <c r="H90">
        <v>163913700</v>
      </c>
      <c r="I90">
        <v>52619450</v>
      </c>
      <c r="J90">
        <v>20640000</v>
      </c>
      <c r="K90">
        <v>11448400</v>
      </c>
      <c r="M90">
        <f t="shared" si="4"/>
        <v>-120485850</v>
      </c>
      <c r="N90" t="str">
        <f t="shared" si="5"/>
        <v>Sobrante</v>
      </c>
      <c r="O90" t="s">
        <v>48</v>
      </c>
      <c r="P90">
        <v>39450196</v>
      </c>
      <c r="Q90" t="s">
        <v>138</v>
      </c>
    </row>
    <row r="91" spans="1:17" hidden="1" x14ac:dyDescent="0.25">
      <c r="A91">
        <v>236</v>
      </c>
      <c r="B91">
        <v>8497</v>
      </c>
      <c r="D91" t="s">
        <v>17</v>
      </c>
      <c r="E91" s="2">
        <v>46119</v>
      </c>
      <c r="F91" s="2">
        <v>46113</v>
      </c>
      <c r="G91" t="s">
        <v>139</v>
      </c>
      <c r="H91">
        <v>32026900</v>
      </c>
      <c r="I91">
        <v>127061850</v>
      </c>
      <c r="J91">
        <v>35380000</v>
      </c>
      <c r="K91">
        <v>32130000</v>
      </c>
      <c r="M91">
        <f t="shared" si="4"/>
        <v>91784950</v>
      </c>
      <c r="N91" t="str">
        <f t="shared" si="5"/>
        <v>Faltante</v>
      </c>
      <c r="O91" t="s">
        <v>48</v>
      </c>
      <c r="P91">
        <v>71369714</v>
      </c>
      <c r="Q91" t="s">
        <v>140</v>
      </c>
    </row>
    <row r="92" spans="1:17" hidden="1" x14ac:dyDescent="0.25">
      <c r="A92">
        <v>4</v>
      </c>
      <c r="B92">
        <v>8630</v>
      </c>
      <c r="D92" t="s">
        <v>17</v>
      </c>
      <c r="E92" s="2">
        <v>46119</v>
      </c>
      <c r="F92" s="2">
        <v>46118</v>
      </c>
      <c r="G92" t="s">
        <v>141</v>
      </c>
      <c r="H92">
        <v>135926400</v>
      </c>
      <c r="I92">
        <v>370613250</v>
      </c>
      <c r="J92">
        <v>7260000</v>
      </c>
      <c r="K92">
        <v>5768000</v>
      </c>
      <c r="M92">
        <f t="shared" si="4"/>
        <v>233194850</v>
      </c>
      <c r="N92" t="str">
        <f t="shared" si="5"/>
        <v>Faltante</v>
      </c>
      <c r="O92" t="s">
        <v>48</v>
      </c>
      <c r="P92">
        <v>1152186094</v>
      </c>
      <c r="Q92" t="s">
        <v>142</v>
      </c>
    </row>
    <row r="93" spans="1:17" hidden="1" x14ac:dyDescent="0.25">
      <c r="A93">
        <v>4</v>
      </c>
      <c r="B93">
        <v>8631</v>
      </c>
      <c r="D93" t="s">
        <v>17</v>
      </c>
      <c r="E93" s="2">
        <v>46119</v>
      </c>
      <c r="F93" s="2">
        <v>46118</v>
      </c>
      <c r="G93" t="s">
        <v>143</v>
      </c>
      <c r="H93">
        <v>132820850</v>
      </c>
      <c r="I93">
        <v>207570850</v>
      </c>
      <c r="J93">
        <v>11460000</v>
      </c>
      <c r="K93">
        <v>16187000</v>
      </c>
      <c r="M93">
        <f t="shared" si="4"/>
        <v>79477000</v>
      </c>
      <c r="N93" t="str">
        <f t="shared" si="5"/>
        <v>Faltante</v>
      </c>
      <c r="O93" t="s">
        <v>48</v>
      </c>
      <c r="P93">
        <v>1152186094</v>
      </c>
      <c r="Q93" t="s">
        <v>144</v>
      </c>
    </row>
    <row r="94" spans="1:17" hidden="1" x14ac:dyDescent="0.25">
      <c r="A94">
        <v>866</v>
      </c>
      <c r="B94">
        <v>8662</v>
      </c>
      <c r="D94" t="s">
        <v>17</v>
      </c>
      <c r="E94" s="2">
        <v>46119</v>
      </c>
      <c r="F94" s="2">
        <v>46118</v>
      </c>
      <c r="G94" t="s">
        <v>145</v>
      </c>
      <c r="H94">
        <v>48921250</v>
      </c>
      <c r="I94">
        <v>-122653750</v>
      </c>
      <c r="J94">
        <v>28820000</v>
      </c>
      <c r="K94">
        <v>5680000</v>
      </c>
      <c r="M94">
        <f t="shared" si="4"/>
        <v>-194715000</v>
      </c>
      <c r="N94" t="str">
        <f t="shared" si="5"/>
        <v>Sobrante</v>
      </c>
      <c r="O94" t="s">
        <v>146</v>
      </c>
      <c r="P94">
        <v>1113674245</v>
      </c>
      <c r="Q94" t="s">
        <v>147</v>
      </c>
    </row>
    <row r="95" spans="1:17" hidden="1" x14ac:dyDescent="0.25">
      <c r="A95">
        <v>769</v>
      </c>
      <c r="B95">
        <v>8679</v>
      </c>
      <c r="D95" t="s">
        <v>17</v>
      </c>
      <c r="E95" s="2">
        <v>46119</v>
      </c>
      <c r="F95" s="2">
        <v>46118</v>
      </c>
      <c r="G95" t="s">
        <v>148</v>
      </c>
      <c r="H95">
        <v>253903350</v>
      </c>
      <c r="I95">
        <v>146588700</v>
      </c>
      <c r="J95">
        <v>9120000</v>
      </c>
      <c r="K95">
        <v>116552000</v>
      </c>
      <c r="M95">
        <f t="shared" si="4"/>
        <v>117350</v>
      </c>
      <c r="N95" t="str">
        <f t="shared" si="5"/>
        <v>Faltante</v>
      </c>
      <c r="O95" t="s">
        <v>149</v>
      </c>
      <c r="P95">
        <v>1140902142</v>
      </c>
      <c r="Q95" t="s">
        <v>150</v>
      </c>
    </row>
    <row r="96" spans="1:17" hidden="1" x14ac:dyDescent="0.25">
      <c r="A96">
        <v>60</v>
      </c>
      <c r="B96">
        <v>8728</v>
      </c>
      <c r="D96" t="s">
        <v>29</v>
      </c>
      <c r="E96" s="2">
        <v>46119</v>
      </c>
      <c r="F96" s="2">
        <v>46118</v>
      </c>
      <c r="G96" t="s">
        <v>151</v>
      </c>
      <c r="H96">
        <v>109456000</v>
      </c>
      <c r="I96">
        <v>105968750</v>
      </c>
      <c r="J96">
        <v>14340000</v>
      </c>
      <c r="K96">
        <v>17758250</v>
      </c>
      <c r="M96">
        <f t="shared" si="4"/>
        <v>-69000</v>
      </c>
      <c r="N96" t="str">
        <f t="shared" si="5"/>
        <v>Sobrante</v>
      </c>
      <c r="O96" t="s">
        <v>48</v>
      </c>
      <c r="P96">
        <v>14697128</v>
      </c>
      <c r="Q96" t="s">
        <v>152</v>
      </c>
    </row>
    <row r="97" spans="1:17" hidden="1" x14ac:dyDescent="0.25">
      <c r="A97">
        <v>509</v>
      </c>
      <c r="B97">
        <v>8835</v>
      </c>
      <c r="D97" t="s">
        <v>17</v>
      </c>
      <c r="E97" s="2">
        <v>46119</v>
      </c>
      <c r="F97" s="2">
        <v>46118</v>
      </c>
      <c r="G97" t="s">
        <v>153</v>
      </c>
      <c r="H97">
        <v>115000300</v>
      </c>
      <c r="I97">
        <v>90479000</v>
      </c>
      <c r="J97">
        <v>14700000</v>
      </c>
      <c r="K97">
        <v>105661250</v>
      </c>
      <c r="M97">
        <f t="shared" si="4"/>
        <v>66439950</v>
      </c>
      <c r="N97" t="str">
        <f t="shared" si="5"/>
        <v>Faltante</v>
      </c>
      <c r="O97" t="s">
        <v>40</v>
      </c>
      <c r="P97">
        <v>1143370364</v>
      </c>
      <c r="Q97" t="s">
        <v>154</v>
      </c>
    </row>
    <row r="98" spans="1:17" hidden="1" x14ac:dyDescent="0.25">
      <c r="A98">
        <v>33</v>
      </c>
      <c r="B98">
        <v>8861</v>
      </c>
      <c r="D98" t="s">
        <v>17</v>
      </c>
      <c r="E98" s="2">
        <v>46119</v>
      </c>
      <c r="F98" s="2">
        <v>46118</v>
      </c>
      <c r="G98" t="s">
        <v>155</v>
      </c>
      <c r="H98">
        <v>236480550</v>
      </c>
      <c r="I98">
        <v>223335400</v>
      </c>
      <c r="J98">
        <v>39910000</v>
      </c>
      <c r="K98">
        <v>27820150</v>
      </c>
      <c r="M98">
        <f t="shared" ref="M98:M129" si="6">I98-(H98+J98-K98)- L98</f>
        <v>-25235000</v>
      </c>
      <c r="N98" t="str">
        <f t="shared" ref="N98:N129" si="7">IF(M98=0,"Cuadrado",IF(M98&gt;0,"Faltante","Sobrante"))</f>
        <v>Sobrante</v>
      </c>
      <c r="O98" t="s">
        <v>48</v>
      </c>
      <c r="P98">
        <v>79659379</v>
      </c>
      <c r="Q98" t="s">
        <v>156</v>
      </c>
    </row>
    <row r="99" spans="1:17" hidden="1" x14ac:dyDescent="0.25">
      <c r="A99">
        <v>467</v>
      </c>
      <c r="B99">
        <v>9051</v>
      </c>
      <c r="D99" t="s">
        <v>17</v>
      </c>
      <c r="E99" s="2">
        <v>46119</v>
      </c>
      <c r="F99" s="2">
        <v>46118</v>
      </c>
      <c r="G99" t="s">
        <v>157</v>
      </c>
      <c r="H99">
        <v>376448800</v>
      </c>
      <c r="I99">
        <v>252780900</v>
      </c>
      <c r="J99">
        <v>3200000</v>
      </c>
      <c r="K99">
        <v>20694000</v>
      </c>
      <c r="M99">
        <f t="shared" si="6"/>
        <v>-106173900</v>
      </c>
      <c r="N99" t="str">
        <f t="shared" si="7"/>
        <v>Sobrante</v>
      </c>
      <c r="O99" t="s">
        <v>40</v>
      </c>
      <c r="P99">
        <v>52539189</v>
      </c>
      <c r="Q99" t="s">
        <v>158</v>
      </c>
    </row>
    <row r="100" spans="1:17" hidden="1" x14ac:dyDescent="0.25">
      <c r="A100">
        <v>367</v>
      </c>
      <c r="B100">
        <v>9580</v>
      </c>
      <c r="D100" t="s">
        <v>17</v>
      </c>
      <c r="E100" s="2">
        <v>46119</v>
      </c>
      <c r="F100" s="2">
        <v>46118</v>
      </c>
      <c r="G100" t="s">
        <v>159</v>
      </c>
      <c r="H100">
        <v>107726800</v>
      </c>
      <c r="I100">
        <v>7771800</v>
      </c>
      <c r="J100">
        <v>34950000</v>
      </c>
      <c r="K100">
        <v>27688000</v>
      </c>
      <c r="M100">
        <f t="shared" si="6"/>
        <v>-107217000</v>
      </c>
      <c r="N100" t="str">
        <f t="shared" si="7"/>
        <v>Sobrante</v>
      </c>
      <c r="O100" t="s">
        <v>48</v>
      </c>
      <c r="P100">
        <v>1120360426</v>
      </c>
      <c r="Q100" t="s">
        <v>160</v>
      </c>
    </row>
    <row r="101" spans="1:17" hidden="1" x14ac:dyDescent="0.25">
      <c r="A101">
        <v>499</v>
      </c>
      <c r="B101">
        <v>9810</v>
      </c>
      <c r="D101" t="s">
        <v>17</v>
      </c>
      <c r="E101" s="2">
        <v>46119</v>
      </c>
      <c r="F101" s="2">
        <v>46118</v>
      </c>
      <c r="G101" t="s">
        <v>161</v>
      </c>
      <c r="H101">
        <v>320287250</v>
      </c>
      <c r="I101">
        <v>359828950</v>
      </c>
      <c r="J101">
        <v>60000</v>
      </c>
      <c r="K101">
        <v>19233000</v>
      </c>
      <c r="M101">
        <f t="shared" si="6"/>
        <v>58714700</v>
      </c>
      <c r="N101" t="str">
        <f t="shared" si="7"/>
        <v>Faltante</v>
      </c>
      <c r="O101" t="s">
        <v>40</v>
      </c>
      <c r="P101">
        <v>71337474</v>
      </c>
      <c r="Q101" t="s">
        <v>162</v>
      </c>
    </row>
    <row r="102" spans="1:17" hidden="1" x14ac:dyDescent="0.25">
      <c r="A102">
        <v>499</v>
      </c>
      <c r="B102">
        <v>9811</v>
      </c>
      <c r="D102" t="s">
        <v>17</v>
      </c>
      <c r="E102" s="2">
        <v>46119</v>
      </c>
      <c r="F102" s="2">
        <v>46118</v>
      </c>
      <c r="G102" t="s">
        <v>163</v>
      </c>
      <c r="H102">
        <v>170130100</v>
      </c>
      <c r="I102">
        <v>93845400</v>
      </c>
      <c r="J102">
        <v>0</v>
      </c>
      <c r="K102">
        <v>0</v>
      </c>
      <c r="M102">
        <f t="shared" si="6"/>
        <v>-76284700</v>
      </c>
      <c r="N102" t="str">
        <f t="shared" si="7"/>
        <v>Sobrante</v>
      </c>
      <c r="O102" t="s">
        <v>40</v>
      </c>
      <c r="P102">
        <v>71337474</v>
      </c>
      <c r="Q102" t="s">
        <v>164</v>
      </c>
    </row>
    <row r="103" spans="1:17" hidden="1" x14ac:dyDescent="0.25">
      <c r="A103">
        <v>674</v>
      </c>
      <c r="B103">
        <v>5200</v>
      </c>
      <c r="D103" t="s">
        <v>17</v>
      </c>
      <c r="E103" s="2">
        <v>46119</v>
      </c>
      <c r="F103" s="2">
        <v>46118</v>
      </c>
      <c r="G103" t="s">
        <v>165</v>
      </c>
      <c r="H103">
        <v>8197250</v>
      </c>
      <c r="I103">
        <v>13611250</v>
      </c>
      <c r="J103">
        <v>9200000</v>
      </c>
      <c r="K103">
        <v>3786000</v>
      </c>
      <c r="M103">
        <f t="shared" si="6"/>
        <v>0</v>
      </c>
      <c r="N103" t="str">
        <f t="shared" si="7"/>
        <v>Cuadrado</v>
      </c>
      <c r="O103" t="s">
        <v>34</v>
      </c>
      <c r="P103">
        <v>79813088</v>
      </c>
      <c r="Q103" t="s">
        <v>166</v>
      </c>
    </row>
    <row r="104" spans="1:17" hidden="1" x14ac:dyDescent="0.25">
      <c r="A104">
        <v>888</v>
      </c>
      <c r="B104">
        <v>6818</v>
      </c>
      <c r="D104" t="s">
        <v>17</v>
      </c>
      <c r="E104" s="2">
        <v>46119</v>
      </c>
      <c r="F104" s="2">
        <v>46113</v>
      </c>
      <c r="G104" t="s">
        <v>155</v>
      </c>
      <c r="H104">
        <v>41196600</v>
      </c>
      <c r="I104">
        <v>8806600</v>
      </c>
      <c r="J104">
        <v>13010000</v>
      </c>
      <c r="K104">
        <v>45400000</v>
      </c>
      <c r="M104">
        <f t="shared" si="6"/>
        <v>0</v>
      </c>
      <c r="N104" t="str">
        <f t="shared" si="7"/>
        <v>Cuadrado</v>
      </c>
      <c r="O104" t="s">
        <v>34</v>
      </c>
      <c r="P104">
        <v>1085921765</v>
      </c>
      <c r="Q104" t="s">
        <v>167</v>
      </c>
    </row>
    <row r="105" spans="1:17" hidden="1" x14ac:dyDescent="0.25">
      <c r="A105">
        <v>300</v>
      </c>
      <c r="B105">
        <v>5139</v>
      </c>
      <c r="D105" t="s">
        <v>17</v>
      </c>
      <c r="E105" s="2">
        <v>46119</v>
      </c>
      <c r="F105" s="2">
        <v>46113</v>
      </c>
      <c r="G105" t="s">
        <v>100</v>
      </c>
      <c r="H105">
        <v>177486500</v>
      </c>
      <c r="I105">
        <v>152473800</v>
      </c>
      <c r="J105">
        <v>13150000</v>
      </c>
      <c r="K105">
        <v>38162700</v>
      </c>
      <c r="M105">
        <f t="shared" si="6"/>
        <v>0</v>
      </c>
      <c r="N105" t="str">
        <f t="shared" si="7"/>
        <v>Cuadrado</v>
      </c>
      <c r="O105" t="s">
        <v>34</v>
      </c>
      <c r="P105">
        <v>53097567</v>
      </c>
      <c r="Q105" t="s">
        <v>168</v>
      </c>
    </row>
    <row r="106" spans="1:17" hidden="1" x14ac:dyDescent="0.25">
      <c r="A106">
        <v>221</v>
      </c>
      <c r="B106">
        <v>5221</v>
      </c>
      <c r="D106" t="s">
        <v>17</v>
      </c>
      <c r="E106" s="2">
        <v>46119</v>
      </c>
      <c r="F106" s="2">
        <v>46118</v>
      </c>
      <c r="G106" t="s">
        <v>143</v>
      </c>
      <c r="H106">
        <v>145076600</v>
      </c>
      <c r="I106">
        <v>137087600</v>
      </c>
      <c r="J106">
        <v>2460000</v>
      </c>
      <c r="K106">
        <v>10449000</v>
      </c>
      <c r="M106">
        <f t="shared" si="6"/>
        <v>0</v>
      </c>
      <c r="N106" t="str">
        <f t="shared" si="7"/>
        <v>Cuadrado</v>
      </c>
      <c r="O106" t="s">
        <v>34</v>
      </c>
      <c r="P106">
        <v>1013643232</v>
      </c>
      <c r="Q106" t="s">
        <v>169</v>
      </c>
    </row>
    <row r="107" spans="1:17" hidden="1" x14ac:dyDescent="0.25">
      <c r="A107">
        <v>273</v>
      </c>
      <c r="B107">
        <v>6906</v>
      </c>
      <c r="D107" t="s">
        <v>17</v>
      </c>
      <c r="E107" s="2">
        <v>46119</v>
      </c>
      <c r="F107" s="2">
        <v>46118</v>
      </c>
      <c r="G107" t="s">
        <v>148</v>
      </c>
      <c r="H107">
        <v>153651600</v>
      </c>
      <c r="I107">
        <v>198228000</v>
      </c>
      <c r="J107">
        <v>51170000</v>
      </c>
      <c r="K107">
        <v>6593600</v>
      </c>
      <c r="M107">
        <f t="shared" si="6"/>
        <v>0</v>
      </c>
      <c r="N107" t="str">
        <f t="shared" si="7"/>
        <v>Cuadrado</v>
      </c>
      <c r="O107" t="s">
        <v>34</v>
      </c>
      <c r="P107">
        <v>79641131</v>
      </c>
      <c r="Q107" t="s">
        <v>170</v>
      </c>
    </row>
    <row r="108" spans="1:17" hidden="1" x14ac:dyDescent="0.25">
      <c r="A108">
        <v>185</v>
      </c>
      <c r="B108">
        <v>2208</v>
      </c>
      <c r="D108" t="s">
        <v>29</v>
      </c>
      <c r="E108" s="2">
        <v>46119</v>
      </c>
      <c r="F108" s="2">
        <v>46118</v>
      </c>
      <c r="G108" t="s">
        <v>171</v>
      </c>
      <c r="H108">
        <v>107548950</v>
      </c>
      <c r="I108">
        <v>71444950</v>
      </c>
      <c r="J108">
        <v>23930000</v>
      </c>
      <c r="K108">
        <v>60034000</v>
      </c>
      <c r="M108">
        <f t="shared" si="6"/>
        <v>0</v>
      </c>
      <c r="N108" t="str">
        <f t="shared" si="7"/>
        <v>Cuadrado</v>
      </c>
      <c r="O108" t="s">
        <v>34</v>
      </c>
      <c r="P108">
        <v>66784636</v>
      </c>
      <c r="Q108" t="s">
        <v>172</v>
      </c>
    </row>
    <row r="109" spans="1:17" x14ac:dyDescent="0.25">
      <c r="A109">
        <v>61</v>
      </c>
      <c r="B109">
        <v>788</v>
      </c>
      <c r="D109" t="s">
        <v>17</v>
      </c>
      <c r="E109" s="2">
        <v>46120</v>
      </c>
      <c r="F109" s="2">
        <v>46119</v>
      </c>
      <c r="G109" t="s">
        <v>173</v>
      </c>
      <c r="H109">
        <v>199927700</v>
      </c>
      <c r="I109">
        <v>193348100</v>
      </c>
      <c r="J109">
        <v>3580000</v>
      </c>
      <c r="K109">
        <v>2277150</v>
      </c>
      <c r="L109">
        <f>0</f>
        <v>0</v>
      </c>
      <c r="M109">
        <f>I109-(H109+J109-K109)- L109</f>
        <v>-7882450</v>
      </c>
      <c r="N109" t="str">
        <f>IF(M109=0,"Cuadrado",IF(M109&gt;0,"Faltante","Sobrante"))</f>
        <v>Sobrante</v>
      </c>
      <c r="O109" t="s">
        <v>174</v>
      </c>
      <c r="P109">
        <v>16497924</v>
      </c>
      <c r="Q109" t="s">
        <v>175</v>
      </c>
    </row>
    <row r="110" spans="1:17" x14ac:dyDescent="0.25">
      <c r="A110">
        <v>692</v>
      </c>
      <c r="B110">
        <v>1515</v>
      </c>
      <c r="D110" t="s">
        <v>17</v>
      </c>
      <c r="E110" s="2">
        <v>46120</v>
      </c>
      <c r="F110" s="2">
        <v>46119</v>
      </c>
      <c r="G110" t="s">
        <v>54</v>
      </c>
      <c r="H110">
        <v>85472750</v>
      </c>
      <c r="I110">
        <v>50234400</v>
      </c>
      <c r="J110">
        <v>22100000</v>
      </c>
      <c r="K110">
        <v>38351100</v>
      </c>
      <c r="L110">
        <f>0</f>
        <v>0</v>
      </c>
      <c r="M110">
        <f>I110-(H110+J110-K110)- L110</f>
        <v>-18987250</v>
      </c>
      <c r="N110" t="str">
        <f>IF(M110=0,"Cuadrado",IF(M110&gt;0,"Faltante","Sobrante"))</f>
        <v>Sobrante</v>
      </c>
      <c r="O110" t="s">
        <v>174</v>
      </c>
      <c r="P110">
        <v>30840635</v>
      </c>
      <c r="Q110" t="s">
        <v>176</v>
      </c>
    </row>
    <row r="111" spans="1:17" x14ac:dyDescent="0.25">
      <c r="A111">
        <v>944</v>
      </c>
      <c r="B111">
        <v>2228</v>
      </c>
      <c r="D111" t="s">
        <v>17</v>
      </c>
      <c r="E111" s="2">
        <v>46120</v>
      </c>
      <c r="F111" s="2">
        <v>46119</v>
      </c>
      <c r="G111" t="s">
        <v>177</v>
      </c>
      <c r="H111">
        <v>214413700</v>
      </c>
      <c r="I111">
        <v>202902200</v>
      </c>
      <c r="J111">
        <v>3780000</v>
      </c>
      <c r="K111">
        <v>8801800</v>
      </c>
      <c r="L111">
        <f>0</f>
        <v>0</v>
      </c>
      <c r="M111">
        <f>I111-(H111+J111-K111)- L111</f>
        <v>-6489700</v>
      </c>
      <c r="N111" t="str">
        <f>IF(M111=0,"Cuadrado",IF(M111&gt;0,"Faltante","Sobrante"))</f>
        <v>Sobrante</v>
      </c>
      <c r="O111" t="s">
        <v>174</v>
      </c>
      <c r="P111">
        <v>79644034</v>
      </c>
      <c r="Q111" t="s">
        <v>178</v>
      </c>
    </row>
    <row r="112" spans="1:17" x14ac:dyDescent="0.25">
      <c r="A112">
        <v>59</v>
      </c>
      <c r="B112">
        <v>5002</v>
      </c>
      <c r="D112" t="s">
        <v>17</v>
      </c>
      <c r="E112" s="2">
        <v>46120</v>
      </c>
      <c r="F112" s="2">
        <v>46119</v>
      </c>
      <c r="G112" t="s">
        <v>179</v>
      </c>
      <c r="H112">
        <v>521118650</v>
      </c>
      <c r="I112">
        <v>462224650</v>
      </c>
      <c r="J112">
        <v>17540000</v>
      </c>
      <c r="K112">
        <v>74072000</v>
      </c>
      <c r="L112">
        <f>0</f>
        <v>0</v>
      </c>
      <c r="M112">
        <f>I112-(H112+J112-K112)- L112</f>
        <v>-2362000</v>
      </c>
      <c r="N112" t="str">
        <f>IF(M112=0,"Cuadrado",IF(M112&gt;0,"Faltante","Sobrante"))</f>
        <v>Sobrante</v>
      </c>
      <c r="O112" t="s">
        <v>174</v>
      </c>
      <c r="P112">
        <v>1060652821</v>
      </c>
      <c r="Q112" t="s">
        <v>180</v>
      </c>
    </row>
    <row r="113" spans="1:17" x14ac:dyDescent="0.25">
      <c r="A113">
        <v>882</v>
      </c>
      <c r="B113">
        <v>5020</v>
      </c>
      <c r="D113" t="s">
        <v>17</v>
      </c>
      <c r="E113" s="2">
        <v>46120</v>
      </c>
      <c r="F113" s="2">
        <v>46119</v>
      </c>
      <c r="G113" t="s">
        <v>181</v>
      </c>
      <c r="H113">
        <v>106917600</v>
      </c>
      <c r="I113">
        <v>80572900</v>
      </c>
      <c r="J113">
        <v>23050000</v>
      </c>
      <c r="K113">
        <v>49392000</v>
      </c>
      <c r="L113">
        <f>0</f>
        <v>0</v>
      </c>
      <c r="M113">
        <f>I113-(H113+J113-K113)- L113</f>
        <v>-2700</v>
      </c>
      <c r="N113" t="str">
        <f>IF(M113=0,"Cuadrado",IF(M113&gt;0,"Faltante","Sobrante"))</f>
        <v>Sobrante</v>
      </c>
      <c r="O113" t="s">
        <v>174</v>
      </c>
      <c r="P113">
        <v>33369487</v>
      </c>
      <c r="Q113" t="s">
        <v>182</v>
      </c>
    </row>
    <row r="114" spans="1:17" x14ac:dyDescent="0.25">
      <c r="A114">
        <v>32</v>
      </c>
      <c r="B114">
        <v>5027</v>
      </c>
      <c r="D114" t="s">
        <v>17</v>
      </c>
      <c r="E114" s="2">
        <v>46120</v>
      </c>
      <c r="F114" s="2">
        <v>46119</v>
      </c>
      <c r="G114" t="s">
        <v>129</v>
      </c>
      <c r="H114">
        <v>285934550</v>
      </c>
      <c r="I114">
        <v>287681550</v>
      </c>
      <c r="J114">
        <v>4150000</v>
      </c>
      <c r="K114">
        <v>2113000</v>
      </c>
      <c r="L114">
        <f>-290000</f>
        <v>-290000</v>
      </c>
      <c r="M114">
        <f>I114-(H114+J114-K114)- L114</f>
        <v>0</v>
      </c>
      <c r="N114" t="str">
        <f>IF(M114=0,"Cuadrado",IF(M114&gt;0,"Faltante","Sobrante"))</f>
        <v>Cuadrado</v>
      </c>
      <c r="O114" t="s">
        <v>34</v>
      </c>
      <c r="P114">
        <v>79750158</v>
      </c>
      <c r="Q114" t="s">
        <v>183</v>
      </c>
    </row>
    <row r="115" spans="1:17" x14ac:dyDescent="0.25">
      <c r="A115">
        <v>167</v>
      </c>
      <c r="B115">
        <v>5030</v>
      </c>
      <c r="D115" t="s">
        <v>17</v>
      </c>
      <c r="E115" s="2">
        <v>46120</v>
      </c>
      <c r="F115" s="2">
        <v>46119</v>
      </c>
      <c r="G115" t="s">
        <v>184</v>
      </c>
      <c r="H115">
        <v>242384550</v>
      </c>
      <c r="I115">
        <v>231334500</v>
      </c>
      <c r="J115">
        <v>5710000</v>
      </c>
      <c r="K115">
        <v>16760000</v>
      </c>
      <c r="L115">
        <f>0</f>
        <v>0</v>
      </c>
      <c r="M115">
        <f>I115-(H115+J115-K115)- L115</f>
        <v>-50</v>
      </c>
      <c r="N115" t="str">
        <f>IF(M115=0,"Cuadrado",IF(M115&gt;0,"Faltante","Sobrante"))</f>
        <v>Sobrante</v>
      </c>
      <c r="O115" t="s">
        <v>174</v>
      </c>
      <c r="P115">
        <v>80156680</v>
      </c>
      <c r="Q115" t="s">
        <v>185</v>
      </c>
    </row>
    <row r="116" spans="1:17" x14ac:dyDescent="0.25">
      <c r="A116">
        <v>867</v>
      </c>
      <c r="B116">
        <v>5043</v>
      </c>
      <c r="D116" t="s">
        <v>17</v>
      </c>
      <c r="E116" s="2">
        <v>46120</v>
      </c>
      <c r="F116" s="2">
        <v>46119</v>
      </c>
      <c r="G116" t="s">
        <v>186</v>
      </c>
      <c r="H116">
        <v>335237850</v>
      </c>
      <c r="I116">
        <v>317932850</v>
      </c>
      <c r="J116">
        <v>8010000</v>
      </c>
      <c r="K116">
        <v>21300000</v>
      </c>
      <c r="L116">
        <f>0</f>
        <v>0</v>
      </c>
      <c r="M116">
        <f>I116-(H116+J116-K116)- L116</f>
        <v>-4015000</v>
      </c>
      <c r="N116" t="str">
        <f>IF(M116=0,"Cuadrado",IF(M116&gt;0,"Faltante","Sobrante"))</f>
        <v>Sobrante</v>
      </c>
      <c r="O116" t="s">
        <v>174</v>
      </c>
      <c r="P116">
        <v>9726594</v>
      </c>
      <c r="Q116" t="s">
        <v>187</v>
      </c>
    </row>
    <row r="117" spans="1:17" x14ac:dyDescent="0.25">
      <c r="A117">
        <v>623</v>
      </c>
      <c r="B117">
        <v>5047</v>
      </c>
      <c r="D117" t="s">
        <v>17</v>
      </c>
      <c r="E117" s="2">
        <v>46120</v>
      </c>
      <c r="F117" s="2">
        <v>46119</v>
      </c>
      <c r="G117" t="s">
        <v>188</v>
      </c>
      <c r="H117">
        <v>311911100</v>
      </c>
      <c r="I117">
        <v>311026650</v>
      </c>
      <c r="J117">
        <v>20000</v>
      </c>
      <c r="K117">
        <v>1000000</v>
      </c>
      <c r="L117">
        <f>95550</f>
        <v>95550</v>
      </c>
      <c r="M117">
        <f>I117-(H117+J117-K117)- L117</f>
        <v>0</v>
      </c>
      <c r="N117" t="str">
        <f>IF(M117=0,"Cuadrado",IF(M117&gt;0,"Faltante","Sobrante"))</f>
        <v>Cuadrado</v>
      </c>
      <c r="O117" t="s">
        <v>189</v>
      </c>
      <c r="P117">
        <v>1012348871</v>
      </c>
      <c r="Q117" t="s">
        <v>190</v>
      </c>
    </row>
    <row r="118" spans="1:17" x14ac:dyDescent="0.25">
      <c r="A118">
        <v>7</v>
      </c>
      <c r="B118">
        <v>5059</v>
      </c>
      <c r="D118" t="s">
        <v>17</v>
      </c>
      <c r="E118" s="2">
        <v>46120</v>
      </c>
      <c r="F118" s="2">
        <v>46119</v>
      </c>
      <c r="G118" t="s">
        <v>191</v>
      </c>
      <c r="H118">
        <v>243715150</v>
      </c>
      <c r="I118">
        <v>233208100</v>
      </c>
      <c r="J118">
        <v>1600000</v>
      </c>
      <c r="K118">
        <v>10662850</v>
      </c>
      <c r="L118">
        <f>665000</f>
        <v>665000</v>
      </c>
      <c r="M118">
        <f>I118-(H118+J118-K118)- L118</f>
        <v>-2109200</v>
      </c>
      <c r="N118" t="str">
        <f>IF(M118=0,"Cuadrado",IF(M118&gt;0,"Faltante","Sobrante"))</f>
        <v>Sobrante</v>
      </c>
      <c r="O118" t="s">
        <v>174</v>
      </c>
      <c r="P118">
        <v>1020460907</v>
      </c>
      <c r="Q118" t="s">
        <v>192</v>
      </c>
    </row>
    <row r="119" spans="1:17" x14ac:dyDescent="0.25">
      <c r="A119">
        <v>634</v>
      </c>
      <c r="B119">
        <v>5087</v>
      </c>
      <c r="D119" t="s">
        <v>17</v>
      </c>
      <c r="E119" s="2">
        <v>46120</v>
      </c>
      <c r="F119" s="2">
        <v>46119</v>
      </c>
      <c r="G119" t="s">
        <v>193</v>
      </c>
      <c r="H119">
        <v>275742850</v>
      </c>
      <c r="I119">
        <v>252874650</v>
      </c>
      <c r="J119">
        <v>12410000</v>
      </c>
      <c r="K119">
        <v>37107000</v>
      </c>
      <c r="L119">
        <f>1828800</f>
        <v>1828800</v>
      </c>
      <c r="M119">
        <f>I119-(H119+J119-K119)- L119</f>
        <v>0</v>
      </c>
      <c r="N119" t="str">
        <f>IF(M119=0,"Cuadrado",IF(M119&gt;0,"Faltante","Sobrante"))</f>
        <v>Cuadrado</v>
      </c>
      <c r="O119" t="s">
        <v>34</v>
      </c>
      <c r="P119">
        <v>1032424944</v>
      </c>
      <c r="Q119" t="s">
        <v>194</v>
      </c>
    </row>
    <row r="120" spans="1:17" x14ac:dyDescent="0.25">
      <c r="A120">
        <v>656</v>
      </c>
      <c r="B120">
        <v>5103</v>
      </c>
      <c r="D120" t="s">
        <v>17</v>
      </c>
      <c r="E120" s="2">
        <v>46120</v>
      </c>
      <c r="F120" s="2">
        <v>46119</v>
      </c>
      <c r="G120" t="s">
        <v>70</v>
      </c>
      <c r="H120">
        <v>218287450</v>
      </c>
      <c r="I120">
        <v>214431350</v>
      </c>
      <c r="J120">
        <v>200000</v>
      </c>
      <c r="K120">
        <v>1900000</v>
      </c>
      <c r="L120">
        <f>-6100</f>
        <v>-6100</v>
      </c>
      <c r="M120">
        <f>I120-(H120+J120-K120)- L120</f>
        <v>-2150000</v>
      </c>
      <c r="N120" t="str">
        <f>IF(M120=0,"Cuadrado",IF(M120&gt;0,"Faltante","Sobrante"))</f>
        <v>Sobrante</v>
      </c>
      <c r="O120" t="s">
        <v>174</v>
      </c>
      <c r="P120">
        <v>1065627875</v>
      </c>
      <c r="Q120" t="s">
        <v>195</v>
      </c>
    </row>
    <row r="121" spans="1:17" x14ac:dyDescent="0.25">
      <c r="A121">
        <v>191</v>
      </c>
      <c r="B121">
        <v>5112</v>
      </c>
      <c r="D121" t="s">
        <v>17</v>
      </c>
      <c r="E121" s="2">
        <v>46120</v>
      </c>
      <c r="F121" s="2">
        <v>46119</v>
      </c>
      <c r="G121" t="s">
        <v>264</v>
      </c>
      <c r="H121">
        <v>273469200</v>
      </c>
      <c r="I121">
        <v>204534600</v>
      </c>
      <c r="J121">
        <v>23920000</v>
      </c>
      <c r="K121">
        <v>92854600</v>
      </c>
      <c r="L121">
        <f>0</f>
        <v>0</v>
      </c>
      <c r="M121">
        <f>I121-(H121+J121-K121)- L121</f>
        <v>0</v>
      </c>
      <c r="N121" t="str">
        <f>IF(M121=0,"Cuadrado",IF(M121&gt;0,"Faltante","Sobrante"))</f>
        <v>Cuadrado</v>
      </c>
      <c r="O121" t="s">
        <v>34</v>
      </c>
      <c r="P121">
        <v>42126559</v>
      </c>
      <c r="Q121" t="s">
        <v>265</v>
      </c>
    </row>
    <row r="122" spans="1:17" x14ac:dyDescent="0.25">
      <c r="A122">
        <v>937</v>
      </c>
      <c r="B122">
        <v>5115</v>
      </c>
      <c r="D122" t="s">
        <v>17</v>
      </c>
      <c r="E122" s="2">
        <v>46120</v>
      </c>
      <c r="F122" s="2">
        <v>46119</v>
      </c>
      <c r="G122" t="s">
        <v>196</v>
      </c>
      <c r="H122">
        <v>144281950</v>
      </c>
      <c r="I122">
        <v>148481950</v>
      </c>
      <c r="J122">
        <v>1000000</v>
      </c>
      <c r="K122">
        <v>100000</v>
      </c>
      <c r="L122">
        <f>2910000+250000+140000</f>
        <v>3300000</v>
      </c>
      <c r="M122">
        <f>I122-(H122+J122-K122)- L122</f>
        <v>0</v>
      </c>
      <c r="N122" t="str">
        <f>IF(M122=0,"Cuadrado",IF(M122&gt;0,"Faltante","Sobrante"))</f>
        <v>Cuadrado</v>
      </c>
      <c r="O122" t="s">
        <v>197</v>
      </c>
      <c r="P122">
        <v>1061702364</v>
      </c>
      <c r="Q122" t="s">
        <v>198</v>
      </c>
    </row>
    <row r="123" spans="1:17" x14ac:dyDescent="0.25">
      <c r="A123">
        <v>40</v>
      </c>
      <c r="B123">
        <v>5142</v>
      </c>
      <c r="D123" t="s">
        <v>17</v>
      </c>
      <c r="E123" s="2">
        <v>46120</v>
      </c>
      <c r="F123" s="2">
        <v>46119</v>
      </c>
      <c r="G123" t="s">
        <v>199</v>
      </c>
      <c r="H123">
        <v>225578950</v>
      </c>
      <c r="I123">
        <v>229748950</v>
      </c>
      <c r="J123">
        <v>7670000</v>
      </c>
      <c r="K123">
        <v>3590000</v>
      </c>
      <c r="L123">
        <f>0</f>
        <v>0</v>
      </c>
      <c r="M123">
        <f>I123-(H123+J123-K123)- L123</f>
        <v>90000</v>
      </c>
      <c r="N123" t="str">
        <f>IF(M123=0,"Cuadrado",IF(M123&gt;0,"Faltante","Sobrante"))</f>
        <v>Faltante</v>
      </c>
      <c r="O123" t="s">
        <v>40</v>
      </c>
      <c r="P123">
        <v>1022424390</v>
      </c>
      <c r="Q123" t="s">
        <v>200</v>
      </c>
    </row>
    <row r="124" spans="1:17" x14ac:dyDescent="0.25">
      <c r="A124">
        <v>812</v>
      </c>
      <c r="B124">
        <v>5144</v>
      </c>
      <c r="D124" t="s">
        <v>17</v>
      </c>
      <c r="E124" s="2">
        <v>46120</v>
      </c>
      <c r="F124" s="2">
        <v>46119</v>
      </c>
      <c r="G124" t="s">
        <v>201</v>
      </c>
      <c r="H124">
        <v>451732700</v>
      </c>
      <c r="I124">
        <v>382142550</v>
      </c>
      <c r="J124">
        <v>19600000</v>
      </c>
      <c r="K124">
        <v>84088200</v>
      </c>
      <c r="L124">
        <f>-5089000</f>
        <v>-5089000</v>
      </c>
      <c r="M124">
        <f>I124-(H124+J124-K124)- L124</f>
        <v>-12950</v>
      </c>
      <c r="N124" t="str">
        <f>IF(M124=0,"Cuadrado",IF(M124&gt;0,"Faltante","Sobrante"))</f>
        <v>Sobrante</v>
      </c>
      <c r="O124" t="s">
        <v>174</v>
      </c>
      <c r="P124">
        <v>31711383</v>
      </c>
      <c r="Q124" t="s">
        <v>202</v>
      </c>
    </row>
    <row r="125" spans="1:17" x14ac:dyDescent="0.25">
      <c r="A125">
        <v>358</v>
      </c>
      <c r="B125">
        <v>5149</v>
      </c>
      <c r="D125" t="s">
        <v>17</v>
      </c>
      <c r="E125" s="2">
        <v>46120</v>
      </c>
      <c r="F125" s="2">
        <v>46119</v>
      </c>
      <c r="G125" t="s">
        <v>203</v>
      </c>
      <c r="H125">
        <v>188881250</v>
      </c>
      <c r="I125">
        <v>190260850</v>
      </c>
      <c r="J125">
        <v>41020000</v>
      </c>
      <c r="K125">
        <v>39640000</v>
      </c>
      <c r="L125">
        <f>-400</f>
        <v>-400</v>
      </c>
      <c r="M125">
        <f>I125-(H125+J125-K125)- L125</f>
        <v>0</v>
      </c>
      <c r="N125" t="str">
        <f>IF(M125=0,"Cuadrado",IF(M125&gt;0,"Faltante","Sobrante"))</f>
        <v>Cuadrado</v>
      </c>
      <c r="O125" t="s">
        <v>34</v>
      </c>
      <c r="P125">
        <v>46456877</v>
      </c>
      <c r="Q125" t="s">
        <v>204</v>
      </c>
    </row>
    <row r="126" spans="1:17" x14ac:dyDescent="0.25">
      <c r="A126">
        <v>258</v>
      </c>
      <c r="B126">
        <v>5155</v>
      </c>
      <c r="D126" t="s">
        <v>17</v>
      </c>
      <c r="E126" s="2">
        <v>46120</v>
      </c>
      <c r="F126" s="2">
        <v>46119</v>
      </c>
      <c r="G126" t="s">
        <v>135</v>
      </c>
      <c r="H126">
        <v>197775650</v>
      </c>
      <c r="I126">
        <v>215231650</v>
      </c>
      <c r="J126">
        <v>72500000</v>
      </c>
      <c r="K126">
        <v>55044000</v>
      </c>
      <c r="L126">
        <f>0</f>
        <v>0</v>
      </c>
      <c r="M126">
        <f>I126-(H126+J126-K126)- L126</f>
        <v>0</v>
      </c>
      <c r="N126" t="str">
        <f>IF(M126=0,"Cuadrado",IF(M126&gt;0,"Faltante","Sobrante"))</f>
        <v>Cuadrado</v>
      </c>
      <c r="O126" t="s">
        <v>34</v>
      </c>
      <c r="P126">
        <v>1049625867</v>
      </c>
      <c r="Q126" t="s">
        <v>266</v>
      </c>
    </row>
    <row r="127" spans="1:17" x14ac:dyDescent="0.25">
      <c r="A127">
        <v>750</v>
      </c>
      <c r="B127">
        <v>5157</v>
      </c>
      <c r="D127" t="s">
        <v>17</v>
      </c>
      <c r="E127" s="2">
        <v>46120</v>
      </c>
      <c r="F127" s="2">
        <v>46119</v>
      </c>
      <c r="G127" t="s">
        <v>205</v>
      </c>
      <c r="H127">
        <v>184033400</v>
      </c>
      <c r="I127">
        <v>177133400</v>
      </c>
      <c r="J127">
        <v>4180000</v>
      </c>
      <c r="K127">
        <v>9830000</v>
      </c>
      <c r="L127">
        <f>0</f>
        <v>0</v>
      </c>
      <c r="M127">
        <f>I127-(H127+J127-K127)- L127</f>
        <v>-1250000</v>
      </c>
      <c r="N127" t="str">
        <f>IF(M127=0,"Cuadrado",IF(M127&gt;0,"Faltante","Sobrante"))</f>
        <v>Sobrante</v>
      </c>
      <c r="O127" t="s">
        <v>174</v>
      </c>
      <c r="P127">
        <v>31529631</v>
      </c>
      <c r="Q127" t="s">
        <v>206</v>
      </c>
    </row>
    <row r="128" spans="1:17" x14ac:dyDescent="0.25">
      <c r="A128">
        <v>667</v>
      </c>
      <c r="B128">
        <v>5167</v>
      </c>
      <c r="D128" t="s">
        <v>17</v>
      </c>
      <c r="E128" s="2">
        <v>46120</v>
      </c>
      <c r="F128" s="2">
        <v>46119</v>
      </c>
      <c r="G128" t="s">
        <v>207</v>
      </c>
      <c r="H128">
        <v>172955450</v>
      </c>
      <c r="I128">
        <v>219650450</v>
      </c>
      <c r="J128">
        <v>46910000</v>
      </c>
      <c r="K128">
        <v>0</v>
      </c>
      <c r="L128">
        <f>0</f>
        <v>0</v>
      </c>
      <c r="M128">
        <f>I128-(H128+J128-K128)- L128</f>
        <v>-215000</v>
      </c>
      <c r="N128" t="str">
        <f>IF(M128=0,"Cuadrado",IF(M128&gt;0,"Faltante","Sobrante"))</f>
        <v>Sobrante</v>
      </c>
      <c r="O128" t="s">
        <v>174</v>
      </c>
      <c r="P128">
        <v>79953058</v>
      </c>
      <c r="Q128" t="s">
        <v>208</v>
      </c>
    </row>
    <row r="129" spans="1:17" x14ac:dyDescent="0.25">
      <c r="A129">
        <v>420</v>
      </c>
      <c r="B129">
        <v>5173</v>
      </c>
      <c r="D129" t="s">
        <v>17</v>
      </c>
      <c r="E129" s="2">
        <v>46120</v>
      </c>
      <c r="F129" s="2">
        <v>46119</v>
      </c>
      <c r="G129" t="s">
        <v>267</v>
      </c>
      <c r="H129">
        <v>134409650</v>
      </c>
      <c r="I129">
        <v>135499650</v>
      </c>
      <c r="J129">
        <v>1090000</v>
      </c>
      <c r="K129">
        <v>0</v>
      </c>
      <c r="L129">
        <f>-100000+100000</f>
        <v>0</v>
      </c>
      <c r="M129">
        <f>I129-(H129+J129-K129)- L129</f>
        <v>0</v>
      </c>
      <c r="N129" t="str">
        <f>IF(M129=0,"Cuadrado",IF(M129&gt;0,"Faltante","Sobrante"))</f>
        <v>Cuadrado</v>
      </c>
      <c r="O129" t="s">
        <v>268</v>
      </c>
      <c r="P129">
        <v>1020436470</v>
      </c>
      <c r="Q129" t="s">
        <v>269</v>
      </c>
    </row>
    <row r="130" spans="1:17" x14ac:dyDescent="0.25">
      <c r="A130">
        <v>253</v>
      </c>
      <c r="B130">
        <v>5176</v>
      </c>
      <c r="D130" t="s">
        <v>17</v>
      </c>
      <c r="E130" s="2">
        <v>46120</v>
      </c>
      <c r="F130" s="2">
        <v>46119</v>
      </c>
      <c r="G130" t="s">
        <v>209</v>
      </c>
      <c r="H130">
        <v>173614600</v>
      </c>
      <c r="I130">
        <v>171049600</v>
      </c>
      <c r="J130">
        <v>310000</v>
      </c>
      <c r="K130">
        <v>1150000</v>
      </c>
      <c r="L130">
        <f>385000</f>
        <v>385000</v>
      </c>
      <c r="M130">
        <f>I130-(H130+J130-K130)- L130</f>
        <v>-2110000</v>
      </c>
      <c r="N130" t="str">
        <f>IF(M130=0,"Cuadrado",IF(M130&gt;0,"Faltante","Sobrante"))</f>
        <v>Sobrante</v>
      </c>
      <c r="O130" t="s">
        <v>174</v>
      </c>
      <c r="P130">
        <v>1017241432</v>
      </c>
      <c r="Q130" t="s">
        <v>210</v>
      </c>
    </row>
    <row r="131" spans="1:17" x14ac:dyDescent="0.25">
      <c r="A131">
        <v>756</v>
      </c>
      <c r="B131">
        <v>5183</v>
      </c>
      <c r="D131" t="s">
        <v>17</v>
      </c>
      <c r="E131" s="2">
        <v>46120</v>
      </c>
      <c r="F131" s="2">
        <v>46119</v>
      </c>
      <c r="G131" t="s">
        <v>211</v>
      </c>
      <c r="H131">
        <v>212934900</v>
      </c>
      <c r="I131">
        <v>190933800</v>
      </c>
      <c r="J131">
        <v>22270000</v>
      </c>
      <c r="K131">
        <v>50890000</v>
      </c>
      <c r="L131">
        <f>1140000+2840000+902950+1340000</f>
        <v>6222950</v>
      </c>
      <c r="M131">
        <f>I131-(H131+J131-K131)- L131</f>
        <v>395950</v>
      </c>
      <c r="N131" t="str">
        <f>IF(M131=0,"Cuadrado",IF(M131&gt;0,"Faltante","Sobrante"))</f>
        <v>Faltante</v>
      </c>
      <c r="O131" t="s">
        <v>212</v>
      </c>
      <c r="P131">
        <v>41963135</v>
      </c>
      <c r="Q131" t="s">
        <v>213</v>
      </c>
    </row>
    <row r="132" spans="1:17" x14ac:dyDescent="0.25">
      <c r="A132">
        <v>716</v>
      </c>
      <c r="B132">
        <v>5192</v>
      </c>
      <c r="D132" t="s">
        <v>17</v>
      </c>
      <c r="E132" s="2">
        <v>46120</v>
      </c>
      <c r="F132" s="2">
        <v>46119</v>
      </c>
      <c r="G132" t="s">
        <v>45</v>
      </c>
      <c r="H132">
        <v>213695550</v>
      </c>
      <c r="I132">
        <v>198283950</v>
      </c>
      <c r="J132">
        <v>13380000</v>
      </c>
      <c r="K132">
        <v>28740000</v>
      </c>
      <c r="L132">
        <f>0</f>
        <v>0</v>
      </c>
      <c r="M132">
        <f>I132-(H132+J132-K132)- L132</f>
        <v>-51600</v>
      </c>
      <c r="N132" t="str">
        <f>IF(M132=0,"Cuadrado",IF(M132&gt;0,"Faltante","Sobrante"))</f>
        <v>Sobrante</v>
      </c>
      <c r="O132" t="s">
        <v>174</v>
      </c>
      <c r="P132">
        <v>16285775</v>
      </c>
      <c r="Q132" t="s">
        <v>214</v>
      </c>
    </row>
    <row r="133" spans="1:17" x14ac:dyDescent="0.25">
      <c r="A133">
        <v>383</v>
      </c>
      <c r="B133">
        <v>5194</v>
      </c>
      <c r="D133" t="s">
        <v>17</v>
      </c>
      <c r="E133" s="2">
        <v>46120</v>
      </c>
      <c r="F133" s="2">
        <v>46119</v>
      </c>
      <c r="G133" t="s">
        <v>215</v>
      </c>
      <c r="H133">
        <v>384286600</v>
      </c>
      <c r="I133">
        <v>371495600</v>
      </c>
      <c r="J133">
        <v>3000000</v>
      </c>
      <c r="K133">
        <v>11461000</v>
      </c>
      <c r="L133">
        <f>0</f>
        <v>0</v>
      </c>
      <c r="M133">
        <f>I133-(H133+J133-K133)- L133</f>
        <v>-4330000</v>
      </c>
      <c r="N133" t="str">
        <f>IF(M133=0,"Cuadrado",IF(M133&gt;0,"Faltante","Sobrante"))</f>
        <v>Sobrante</v>
      </c>
      <c r="O133" t="s">
        <v>174</v>
      </c>
      <c r="P133">
        <v>1073160492</v>
      </c>
      <c r="Q133" t="s">
        <v>216</v>
      </c>
    </row>
    <row r="134" spans="1:17" x14ac:dyDescent="0.25">
      <c r="A134">
        <v>432</v>
      </c>
      <c r="B134">
        <v>5195</v>
      </c>
      <c r="D134" t="s">
        <v>17</v>
      </c>
      <c r="E134" s="2">
        <v>46120</v>
      </c>
      <c r="F134" s="2">
        <v>46119</v>
      </c>
      <c r="G134" t="s">
        <v>59</v>
      </c>
      <c r="H134">
        <v>188705450</v>
      </c>
      <c r="I134">
        <v>184505450</v>
      </c>
      <c r="J134">
        <v>5070000</v>
      </c>
      <c r="K134">
        <v>9434000</v>
      </c>
      <c r="L134">
        <f>1164000</f>
        <v>1164000</v>
      </c>
      <c r="M134">
        <f>I134-(H134+J134-K134)- L134</f>
        <v>-1000000</v>
      </c>
      <c r="N134" t="str">
        <f>IF(M134=0,"Cuadrado",IF(M134&gt;0,"Faltante","Sobrante"))</f>
        <v>Sobrante</v>
      </c>
      <c r="O134" t="s">
        <v>174</v>
      </c>
      <c r="P134">
        <v>71935844</v>
      </c>
      <c r="Q134" t="s">
        <v>217</v>
      </c>
    </row>
    <row r="135" spans="1:17" x14ac:dyDescent="0.25">
      <c r="A135">
        <v>793</v>
      </c>
      <c r="B135">
        <v>5216</v>
      </c>
      <c r="D135" t="s">
        <v>17</v>
      </c>
      <c r="E135" s="2">
        <v>46120</v>
      </c>
      <c r="F135" s="2">
        <v>46119</v>
      </c>
      <c r="G135" t="s">
        <v>218</v>
      </c>
      <c r="H135">
        <v>229640400</v>
      </c>
      <c r="I135">
        <v>172229900</v>
      </c>
      <c r="J135">
        <v>34110000</v>
      </c>
      <c r="K135">
        <v>89770400</v>
      </c>
      <c r="L135">
        <f>0</f>
        <v>0</v>
      </c>
      <c r="M135">
        <f>I135-(H135+J135-K135)- L135</f>
        <v>-1750100</v>
      </c>
      <c r="N135" t="str">
        <f>IF(M135=0,"Cuadrado",IF(M135&gt;0,"Faltante","Sobrante"))</f>
        <v>Sobrante</v>
      </c>
      <c r="O135" t="s">
        <v>174</v>
      </c>
      <c r="P135">
        <v>80218400</v>
      </c>
      <c r="Q135" t="s">
        <v>219</v>
      </c>
    </row>
    <row r="136" spans="1:17" x14ac:dyDescent="0.25">
      <c r="A136">
        <v>941</v>
      </c>
      <c r="B136">
        <v>5220</v>
      </c>
      <c r="D136" t="s">
        <v>17</v>
      </c>
      <c r="E136" s="2">
        <v>46120</v>
      </c>
      <c r="F136" s="2">
        <v>46119</v>
      </c>
      <c r="G136" t="s">
        <v>220</v>
      </c>
      <c r="H136">
        <v>52201700</v>
      </c>
      <c r="I136">
        <v>39456050</v>
      </c>
      <c r="J136">
        <v>500000</v>
      </c>
      <c r="K136">
        <v>11953000</v>
      </c>
      <c r="L136">
        <f>0</f>
        <v>0</v>
      </c>
      <c r="M136">
        <f>I136-(H136+J136-K136)- L136</f>
        <v>-1292650</v>
      </c>
      <c r="N136" t="str">
        <f>IF(M136=0,"Cuadrado",IF(M136&gt;0,"Faltante","Sobrante"))</f>
        <v>Sobrante</v>
      </c>
      <c r="O136" t="s">
        <v>174</v>
      </c>
      <c r="P136">
        <v>1075228904</v>
      </c>
      <c r="Q136" t="s">
        <v>221</v>
      </c>
    </row>
    <row r="137" spans="1:17" x14ac:dyDescent="0.25">
      <c r="A137">
        <v>844</v>
      </c>
      <c r="B137">
        <v>6169</v>
      </c>
      <c r="D137" t="s">
        <v>17</v>
      </c>
      <c r="E137" s="2">
        <v>46120</v>
      </c>
      <c r="F137" s="2">
        <v>46119</v>
      </c>
      <c r="G137" t="s">
        <v>52</v>
      </c>
      <c r="H137">
        <v>290712750</v>
      </c>
      <c r="I137">
        <v>294939750</v>
      </c>
      <c r="J137">
        <v>4760000</v>
      </c>
      <c r="K137">
        <v>0</v>
      </c>
      <c r="L137">
        <f>-1533000+631600+368400</f>
        <v>-533000</v>
      </c>
      <c r="M137">
        <f>I137-(H137+J137-K137)- L137</f>
        <v>0</v>
      </c>
      <c r="N137" t="str">
        <f>IF(M137=0,"Cuadrado",IF(M137&gt;0,"Faltante","Sobrante"))</f>
        <v>Cuadrado</v>
      </c>
      <c r="O137" t="s">
        <v>222</v>
      </c>
      <c r="P137">
        <v>86058432</v>
      </c>
      <c r="Q137" t="s">
        <v>223</v>
      </c>
    </row>
    <row r="138" spans="1:17" x14ac:dyDescent="0.25">
      <c r="A138">
        <v>267</v>
      </c>
      <c r="B138">
        <v>6186</v>
      </c>
      <c r="D138" t="s">
        <v>17</v>
      </c>
      <c r="E138" s="2">
        <v>46120</v>
      </c>
      <c r="F138" s="2">
        <v>46119</v>
      </c>
      <c r="G138" t="s">
        <v>224</v>
      </c>
      <c r="H138">
        <v>89626350</v>
      </c>
      <c r="I138">
        <v>252990850</v>
      </c>
      <c r="J138">
        <v>8020000</v>
      </c>
      <c r="K138">
        <v>67484500</v>
      </c>
      <c r="L138">
        <f>230439000</f>
        <v>230439000</v>
      </c>
      <c r="M138">
        <f>I138-(H138+J138-K138)- L138</f>
        <v>-7610000</v>
      </c>
      <c r="N138" t="str">
        <f>IF(M138=0,"Cuadrado",IF(M138&gt;0,"Faltante","Sobrante"))</f>
        <v>Sobrante</v>
      </c>
      <c r="O138" t="s">
        <v>174</v>
      </c>
      <c r="P138">
        <v>1017263917</v>
      </c>
      <c r="Q138" t="s">
        <v>225</v>
      </c>
    </row>
    <row r="139" spans="1:17" x14ac:dyDescent="0.25">
      <c r="A139">
        <v>231</v>
      </c>
      <c r="B139">
        <v>6243</v>
      </c>
      <c r="D139" t="s">
        <v>17</v>
      </c>
      <c r="E139" s="2">
        <v>46120</v>
      </c>
      <c r="F139" s="2">
        <v>46119</v>
      </c>
      <c r="G139" t="s">
        <v>226</v>
      </c>
      <c r="H139">
        <v>188364250</v>
      </c>
      <c r="I139">
        <v>205464250</v>
      </c>
      <c r="J139">
        <v>17510000</v>
      </c>
      <c r="K139">
        <v>4010000</v>
      </c>
      <c r="L139">
        <f>0</f>
        <v>0</v>
      </c>
      <c r="M139">
        <f>I139-(H139+J139-K139)- L139</f>
        <v>3600000</v>
      </c>
      <c r="N139" t="str">
        <f>IF(M139=0,"Cuadrado",IF(M139&gt;0,"Faltante","Sobrante"))</f>
        <v>Faltante</v>
      </c>
      <c r="O139" t="s">
        <v>40</v>
      </c>
      <c r="P139">
        <v>52979634</v>
      </c>
      <c r="Q139" t="s">
        <v>227</v>
      </c>
    </row>
    <row r="140" spans="1:17" x14ac:dyDescent="0.25">
      <c r="A140">
        <v>79</v>
      </c>
      <c r="B140">
        <v>6245</v>
      </c>
      <c r="D140" t="s">
        <v>17</v>
      </c>
      <c r="E140" s="2">
        <v>46120</v>
      </c>
      <c r="F140" s="2">
        <v>46119</v>
      </c>
      <c r="G140" t="s">
        <v>228</v>
      </c>
      <c r="H140">
        <v>3106250</v>
      </c>
      <c r="I140">
        <v>275467750</v>
      </c>
      <c r="J140">
        <v>1200000</v>
      </c>
      <c r="K140">
        <v>13927000</v>
      </c>
      <c r="L140">
        <f>286557000</f>
        <v>286557000</v>
      </c>
      <c r="M140">
        <f>I140-(H140+J140-K140)- L140</f>
        <v>-1468500</v>
      </c>
      <c r="N140" t="str">
        <f>IF(M140=0,"Cuadrado",IF(M140&gt;0,"Faltante","Sobrante"))</f>
        <v>Sobrante</v>
      </c>
      <c r="O140" t="s">
        <v>174</v>
      </c>
      <c r="P140">
        <v>79772242</v>
      </c>
      <c r="Q140" t="s">
        <v>229</v>
      </c>
    </row>
    <row r="141" spans="1:17" x14ac:dyDescent="0.25">
      <c r="A141">
        <v>37</v>
      </c>
      <c r="B141">
        <v>6406</v>
      </c>
      <c r="D141" t="s">
        <v>17</v>
      </c>
      <c r="E141" s="2">
        <v>46120</v>
      </c>
      <c r="F141" s="2">
        <v>46119</v>
      </c>
      <c r="G141" t="s">
        <v>45</v>
      </c>
      <c r="H141">
        <v>82757400</v>
      </c>
      <c r="I141">
        <v>82757400</v>
      </c>
      <c r="J141">
        <v>0</v>
      </c>
      <c r="K141">
        <v>0</v>
      </c>
      <c r="L141">
        <f>0</f>
        <v>0</v>
      </c>
      <c r="M141">
        <f>I141-(H141+J141-K141)- L141</f>
        <v>0</v>
      </c>
      <c r="N141" t="str">
        <f>IF(M141=0,"Cuadrado",IF(M141&gt;0,"Faltante","Sobrante"))</f>
        <v>Cuadrado</v>
      </c>
      <c r="O141" t="s">
        <v>34</v>
      </c>
      <c r="P141">
        <v>1018444239</v>
      </c>
      <c r="Q141" t="s">
        <v>270</v>
      </c>
    </row>
    <row r="142" spans="1:17" x14ac:dyDescent="0.25">
      <c r="A142">
        <v>96</v>
      </c>
      <c r="B142">
        <v>6735</v>
      </c>
      <c r="D142" t="s">
        <v>17</v>
      </c>
      <c r="E142" s="2">
        <v>46120</v>
      </c>
      <c r="F142" s="2">
        <v>46119</v>
      </c>
      <c r="G142" t="s">
        <v>271</v>
      </c>
      <c r="H142">
        <v>141616150</v>
      </c>
      <c r="I142">
        <v>142455150</v>
      </c>
      <c r="J142">
        <v>23020000</v>
      </c>
      <c r="K142">
        <v>22181000</v>
      </c>
      <c r="L142">
        <f>0</f>
        <v>0</v>
      </c>
      <c r="M142">
        <f>I142-(H142+J142-K142)- L142</f>
        <v>0</v>
      </c>
      <c r="N142" t="str">
        <f>IF(M142=0,"Cuadrado",IF(M142&gt;0,"Faltante","Sobrante"))</f>
        <v>Cuadrado</v>
      </c>
      <c r="O142" t="s">
        <v>34</v>
      </c>
      <c r="P142">
        <v>39491642</v>
      </c>
      <c r="Q142" t="s">
        <v>272</v>
      </c>
    </row>
    <row r="143" spans="1:17" x14ac:dyDescent="0.25">
      <c r="A143">
        <v>888</v>
      </c>
      <c r="B143">
        <v>6818</v>
      </c>
      <c r="D143" t="s">
        <v>17</v>
      </c>
      <c r="E143" s="2">
        <v>46120</v>
      </c>
      <c r="F143" s="2">
        <v>46119</v>
      </c>
      <c r="G143" t="s">
        <v>273</v>
      </c>
      <c r="H143">
        <v>86796600</v>
      </c>
      <c r="I143">
        <v>6996600</v>
      </c>
      <c r="J143">
        <v>100000</v>
      </c>
      <c r="K143">
        <v>79900000</v>
      </c>
      <c r="L143">
        <f>0</f>
        <v>0</v>
      </c>
      <c r="M143">
        <f>I143-(H143+J143-K143)- L143</f>
        <v>0</v>
      </c>
      <c r="N143" t="str">
        <f>IF(M143=0,"Cuadrado",IF(M143&gt;0,"Faltante","Sobrante"))</f>
        <v>Cuadrado</v>
      </c>
      <c r="O143" t="s">
        <v>34</v>
      </c>
      <c r="P143">
        <v>1085921765</v>
      </c>
      <c r="Q143" t="s">
        <v>274</v>
      </c>
    </row>
    <row r="144" spans="1:17" x14ac:dyDescent="0.25">
      <c r="A144">
        <v>741</v>
      </c>
      <c r="B144">
        <v>6843</v>
      </c>
      <c r="D144" t="s">
        <v>29</v>
      </c>
      <c r="E144" s="2">
        <v>46120</v>
      </c>
      <c r="F144" s="2">
        <v>46119</v>
      </c>
      <c r="G144" t="s">
        <v>230</v>
      </c>
      <c r="H144">
        <v>95787850</v>
      </c>
      <c r="I144">
        <v>91742850</v>
      </c>
      <c r="J144">
        <v>11690000</v>
      </c>
      <c r="K144">
        <v>10735000</v>
      </c>
      <c r="L144">
        <f>0</f>
        <v>0</v>
      </c>
      <c r="M144">
        <f>I144-(H144+J144-K144)- L144</f>
        <v>-5000000</v>
      </c>
      <c r="N144" t="str">
        <f>IF(M144=0,"Cuadrado",IF(M144&gt;0,"Faltante","Sobrante"))</f>
        <v>Sobrante</v>
      </c>
      <c r="O144" t="s">
        <v>174</v>
      </c>
      <c r="P144">
        <v>1130637714</v>
      </c>
      <c r="Q144" t="s">
        <v>231</v>
      </c>
    </row>
    <row r="145" spans="1:17" x14ac:dyDescent="0.25">
      <c r="A145">
        <v>623</v>
      </c>
      <c r="B145">
        <v>7375</v>
      </c>
      <c r="D145" t="s">
        <v>17</v>
      </c>
      <c r="E145" s="2">
        <v>46120</v>
      </c>
      <c r="F145" s="2">
        <v>46119</v>
      </c>
      <c r="G145" t="s">
        <v>232</v>
      </c>
      <c r="H145">
        <v>252820300</v>
      </c>
      <c r="I145">
        <v>227661500</v>
      </c>
      <c r="J145">
        <v>4200000</v>
      </c>
      <c r="K145">
        <v>28118800</v>
      </c>
      <c r="L145">
        <f>0</f>
        <v>0</v>
      </c>
      <c r="M145">
        <f>I145-(H145+J145-K145)- L145</f>
        <v>-1240000</v>
      </c>
      <c r="N145" t="str">
        <f>IF(M145=0,"Cuadrado",IF(M145&gt;0,"Faltante","Sobrante"))</f>
        <v>Sobrante</v>
      </c>
      <c r="O145" t="s">
        <v>174</v>
      </c>
      <c r="P145">
        <v>1012348871</v>
      </c>
      <c r="Q145" t="s">
        <v>233</v>
      </c>
    </row>
    <row r="146" spans="1:17" x14ac:dyDescent="0.25">
      <c r="A146">
        <v>812</v>
      </c>
      <c r="B146">
        <v>7613</v>
      </c>
      <c r="D146" t="s">
        <v>29</v>
      </c>
      <c r="E146" s="2">
        <v>46120</v>
      </c>
      <c r="F146" s="2">
        <v>46119</v>
      </c>
      <c r="G146" t="s">
        <v>234</v>
      </c>
      <c r="H146">
        <v>134871100</v>
      </c>
      <c r="I146">
        <v>118819400</v>
      </c>
      <c r="J146">
        <v>15370000</v>
      </c>
      <c r="K146">
        <v>31783000</v>
      </c>
      <c r="L146">
        <f>361300</f>
        <v>361300</v>
      </c>
      <c r="M146">
        <f>I146-(H146+J146-K146)- L146</f>
        <v>0</v>
      </c>
      <c r="N146" t="str">
        <f>IF(M146=0,"Cuadrado",IF(M146&gt;0,"Faltante","Sobrante"))</f>
        <v>Cuadrado</v>
      </c>
      <c r="O146" t="s">
        <v>235</v>
      </c>
      <c r="P146">
        <v>31711383</v>
      </c>
      <c r="Q146" t="s">
        <v>236</v>
      </c>
    </row>
    <row r="147" spans="1:17" x14ac:dyDescent="0.25">
      <c r="A147">
        <v>812</v>
      </c>
      <c r="B147">
        <v>7614</v>
      </c>
      <c r="D147" t="s">
        <v>29</v>
      </c>
      <c r="E147" s="2">
        <v>46120</v>
      </c>
      <c r="F147" s="2">
        <v>46119</v>
      </c>
      <c r="G147" t="s">
        <v>237</v>
      </c>
      <c r="H147">
        <v>234932300</v>
      </c>
      <c r="I147">
        <v>207418800</v>
      </c>
      <c r="J147">
        <v>24030000</v>
      </c>
      <c r="K147">
        <v>52448500</v>
      </c>
      <c r="L147">
        <f>0</f>
        <v>0</v>
      </c>
      <c r="M147">
        <f>I147-(H147+J147-K147)- L147</f>
        <v>905000</v>
      </c>
      <c r="N147" t="str">
        <f>IF(M147=0,"Cuadrado",IF(M147&gt;0,"Faltante","Sobrante"))</f>
        <v>Faltante</v>
      </c>
      <c r="O147" t="s">
        <v>40</v>
      </c>
      <c r="P147">
        <v>31711383</v>
      </c>
      <c r="Q147" t="s">
        <v>238</v>
      </c>
    </row>
    <row r="148" spans="1:17" x14ac:dyDescent="0.25">
      <c r="A148">
        <v>7</v>
      </c>
      <c r="B148">
        <v>7812</v>
      </c>
      <c r="D148" t="s">
        <v>29</v>
      </c>
      <c r="E148" s="2">
        <v>46120</v>
      </c>
      <c r="F148" s="2">
        <v>46119</v>
      </c>
      <c r="G148" t="s">
        <v>239</v>
      </c>
      <c r="H148">
        <v>101490300</v>
      </c>
      <c r="I148">
        <v>106920300</v>
      </c>
      <c r="J148">
        <v>4050000</v>
      </c>
      <c r="K148">
        <v>0</v>
      </c>
      <c r="L148">
        <f>0</f>
        <v>0</v>
      </c>
      <c r="M148">
        <f>I148-(H148+J148-K148)- L148</f>
        <v>1380000</v>
      </c>
      <c r="N148" t="str">
        <f>IF(M148=0,"Cuadrado",IF(M148&gt;0,"Faltante","Sobrante"))</f>
        <v>Faltante</v>
      </c>
      <c r="O148" t="s">
        <v>40</v>
      </c>
      <c r="P148">
        <v>1020460907</v>
      </c>
      <c r="Q148" t="s">
        <v>240</v>
      </c>
    </row>
    <row r="149" spans="1:17" x14ac:dyDescent="0.25">
      <c r="A149">
        <v>810</v>
      </c>
      <c r="B149">
        <v>8204</v>
      </c>
      <c r="D149" t="s">
        <v>17</v>
      </c>
      <c r="E149" s="2">
        <v>46120</v>
      </c>
      <c r="F149" s="2">
        <v>46119</v>
      </c>
      <c r="G149" t="s">
        <v>241</v>
      </c>
      <c r="H149">
        <v>105195000</v>
      </c>
      <c r="I149">
        <v>105204800</v>
      </c>
      <c r="J149">
        <v>0</v>
      </c>
      <c r="K149">
        <v>0</v>
      </c>
      <c r="L149">
        <f>-200+10000</f>
        <v>9800</v>
      </c>
      <c r="M149">
        <f>I149-(H149+J149-K149)- L149</f>
        <v>0</v>
      </c>
      <c r="N149" t="str">
        <f>IF(M149=0,"Cuadrado",IF(M149&gt;0,"Faltante","Sobrante"))</f>
        <v>Cuadrado</v>
      </c>
      <c r="O149" t="s">
        <v>242</v>
      </c>
      <c r="P149">
        <v>29682644</v>
      </c>
      <c r="Q149" t="s">
        <v>243</v>
      </c>
    </row>
    <row r="150" spans="1:17" x14ac:dyDescent="0.25">
      <c r="A150">
        <v>916</v>
      </c>
      <c r="B150">
        <v>8290</v>
      </c>
      <c r="D150" t="s">
        <v>17</v>
      </c>
      <c r="E150" s="2">
        <v>46120</v>
      </c>
      <c r="F150" s="2">
        <v>46119</v>
      </c>
      <c r="G150" t="s">
        <v>244</v>
      </c>
      <c r="H150">
        <v>363152350</v>
      </c>
      <c r="I150">
        <v>436083500</v>
      </c>
      <c r="J150">
        <v>14650000</v>
      </c>
      <c r="K150">
        <v>11717900</v>
      </c>
      <c r="L150">
        <f>0</f>
        <v>0</v>
      </c>
      <c r="M150">
        <f>I150-(H150+J150-K150)- L150</f>
        <v>69999050</v>
      </c>
      <c r="N150" t="str">
        <f>IF(M150=0,"Cuadrado",IF(M150&gt;0,"Faltante","Sobrante"))</f>
        <v>Faltante</v>
      </c>
      <c r="O150" t="s">
        <v>40</v>
      </c>
      <c r="P150">
        <v>1082887437</v>
      </c>
      <c r="Q150" t="s">
        <v>245</v>
      </c>
    </row>
    <row r="151" spans="1:17" x14ac:dyDescent="0.25">
      <c r="A151">
        <v>915</v>
      </c>
      <c r="B151">
        <v>8313</v>
      </c>
      <c r="D151" t="s">
        <v>17</v>
      </c>
      <c r="E151" s="2">
        <v>46120</v>
      </c>
      <c r="F151" s="2">
        <v>46119</v>
      </c>
      <c r="G151" t="s">
        <v>143</v>
      </c>
      <c r="H151">
        <v>330962700</v>
      </c>
      <c r="I151">
        <v>320614100</v>
      </c>
      <c r="J151">
        <v>4720000</v>
      </c>
      <c r="K151">
        <v>15055650</v>
      </c>
      <c r="L151">
        <f>0</f>
        <v>0</v>
      </c>
      <c r="M151">
        <f>I151-(H151+J151-K151)- L151</f>
        <v>-12950</v>
      </c>
      <c r="N151" t="str">
        <f>IF(M151=0,"Cuadrado",IF(M151&gt;0,"Faltante","Sobrante"))</f>
        <v>Sobrante</v>
      </c>
      <c r="O151" t="s">
        <v>174</v>
      </c>
      <c r="P151">
        <v>52279779</v>
      </c>
      <c r="Q151" t="s">
        <v>246</v>
      </c>
    </row>
    <row r="152" spans="1:17" x14ac:dyDescent="0.25">
      <c r="A152">
        <v>915</v>
      </c>
      <c r="B152">
        <v>8314</v>
      </c>
      <c r="D152" t="s">
        <v>17</v>
      </c>
      <c r="E152" s="2">
        <v>46120</v>
      </c>
      <c r="F152" s="2">
        <v>46119</v>
      </c>
      <c r="G152" t="s">
        <v>31</v>
      </c>
      <c r="H152">
        <v>222891600</v>
      </c>
      <c r="I152">
        <v>224810200</v>
      </c>
      <c r="J152">
        <v>16710000</v>
      </c>
      <c r="K152">
        <v>7389100</v>
      </c>
      <c r="L152">
        <f>0</f>
        <v>0</v>
      </c>
      <c r="M152">
        <f>I152-(H152+J152-K152)- L152</f>
        <v>-7402300</v>
      </c>
      <c r="N152" t="str">
        <f>IF(M152=0,"Cuadrado",IF(M152&gt;0,"Faltante","Sobrante"))</f>
        <v>Sobrante</v>
      </c>
      <c r="O152" t="s">
        <v>174</v>
      </c>
      <c r="P152">
        <v>52279779</v>
      </c>
      <c r="Q152" t="s">
        <v>247</v>
      </c>
    </row>
    <row r="153" spans="1:17" x14ac:dyDescent="0.25">
      <c r="A153">
        <v>944</v>
      </c>
      <c r="B153">
        <v>8353</v>
      </c>
      <c r="D153" t="s">
        <v>17</v>
      </c>
      <c r="E153" s="2">
        <v>46120</v>
      </c>
      <c r="F153" s="2">
        <v>46119</v>
      </c>
      <c r="G153" t="s">
        <v>248</v>
      </c>
      <c r="H153">
        <v>254652450</v>
      </c>
      <c r="I153">
        <v>241713200</v>
      </c>
      <c r="J153">
        <v>5890000</v>
      </c>
      <c r="K153">
        <v>18801200</v>
      </c>
      <c r="L153">
        <f>0</f>
        <v>0</v>
      </c>
      <c r="M153">
        <f>I153-(H153+J153-K153)- L153</f>
        <v>-28050</v>
      </c>
      <c r="N153" t="str">
        <f>IF(M153=0,"Cuadrado",IF(M153&gt;0,"Faltante","Sobrante"))</f>
        <v>Sobrante</v>
      </c>
      <c r="O153" t="s">
        <v>174</v>
      </c>
      <c r="P153">
        <v>79644034</v>
      </c>
      <c r="Q153" t="s">
        <v>249</v>
      </c>
    </row>
    <row r="154" spans="1:17" x14ac:dyDescent="0.25">
      <c r="A154">
        <v>944</v>
      </c>
      <c r="B154">
        <v>8354</v>
      </c>
      <c r="D154" t="s">
        <v>17</v>
      </c>
      <c r="E154" s="2">
        <v>46120</v>
      </c>
      <c r="F154" s="2">
        <v>46119</v>
      </c>
      <c r="G154" t="s">
        <v>250</v>
      </c>
      <c r="H154">
        <v>272454450</v>
      </c>
      <c r="I154">
        <v>232342150</v>
      </c>
      <c r="J154">
        <v>15980000</v>
      </c>
      <c r="K154">
        <v>56137300</v>
      </c>
      <c r="L154">
        <f>45000</f>
        <v>45000</v>
      </c>
      <c r="M154">
        <f>I154-(H154+J154-K154)- L154</f>
        <v>0</v>
      </c>
      <c r="N154" t="str">
        <f>IF(M154=0,"Cuadrado",IF(M154&gt;0,"Faltante","Sobrante"))</f>
        <v>Cuadrado</v>
      </c>
      <c r="O154" t="s">
        <v>251</v>
      </c>
      <c r="P154">
        <v>79644034</v>
      </c>
      <c r="Q154" t="s">
        <v>252</v>
      </c>
    </row>
    <row r="155" spans="1:17" x14ac:dyDescent="0.25">
      <c r="A155">
        <v>495</v>
      </c>
      <c r="B155">
        <v>8482</v>
      </c>
      <c r="D155" t="s">
        <v>17</v>
      </c>
      <c r="E155" s="2">
        <v>46120</v>
      </c>
      <c r="F155" s="2">
        <v>46119</v>
      </c>
      <c r="G155" t="s">
        <v>28</v>
      </c>
      <c r="H155">
        <v>102247950</v>
      </c>
      <c r="I155">
        <v>94360150</v>
      </c>
      <c r="J155">
        <v>14790000</v>
      </c>
      <c r="K155">
        <v>24387800</v>
      </c>
      <c r="L155">
        <f>0</f>
        <v>0</v>
      </c>
      <c r="M155">
        <f>I155-(H155+J155-K155)- L155</f>
        <v>1710000</v>
      </c>
      <c r="N155" t="str">
        <f>IF(M155=0,"Cuadrado",IF(M155&gt;0,"Faltante","Sobrante"))</f>
        <v>Faltante</v>
      </c>
      <c r="O155" t="s">
        <v>40</v>
      </c>
      <c r="P155">
        <v>1052081923</v>
      </c>
      <c r="Q155" t="s">
        <v>253</v>
      </c>
    </row>
    <row r="156" spans="1:17" x14ac:dyDescent="0.25">
      <c r="A156">
        <v>728</v>
      </c>
      <c r="B156">
        <v>8586</v>
      </c>
      <c r="D156" t="s">
        <v>17</v>
      </c>
      <c r="E156" s="2">
        <v>46120</v>
      </c>
      <c r="F156" s="2">
        <v>46119</v>
      </c>
      <c r="G156" t="s">
        <v>275</v>
      </c>
      <c r="H156">
        <v>457316850</v>
      </c>
      <c r="I156">
        <v>295429850</v>
      </c>
      <c r="J156">
        <v>27230000</v>
      </c>
      <c r="K156">
        <v>189117000</v>
      </c>
      <c r="L156">
        <f>0</f>
        <v>0</v>
      </c>
      <c r="M156">
        <f>I156-(H156+J156-K156)- L156</f>
        <v>0</v>
      </c>
      <c r="N156" t="str">
        <f>IF(M156=0,"Cuadrado",IF(M156&gt;0,"Faltante","Sobrante"))</f>
        <v>Cuadrado</v>
      </c>
      <c r="O156" t="s">
        <v>34</v>
      </c>
      <c r="P156">
        <v>1112783690</v>
      </c>
      <c r="Q156" t="s">
        <v>276</v>
      </c>
    </row>
    <row r="157" spans="1:17" x14ac:dyDescent="0.25">
      <c r="A157">
        <v>728</v>
      </c>
      <c r="B157">
        <v>8587</v>
      </c>
      <c r="D157" t="s">
        <v>17</v>
      </c>
      <c r="E157" s="2">
        <v>46120</v>
      </c>
      <c r="F157" s="2">
        <v>46119</v>
      </c>
      <c r="G157" t="s">
        <v>254</v>
      </c>
      <c r="H157">
        <v>186040100</v>
      </c>
      <c r="I157">
        <v>234850100</v>
      </c>
      <c r="J157">
        <v>48830000</v>
      </c>
      <c r="K157">
        <v>0</v>
      </c>
      <c r="L157">
        <f>0</f>
        <v>0</v>
      </c>
      <c r="M157">
        <f>I157-(H157+J157-K157)- L157</f>
        <v>-20000</v>
      </c>
      <c r="N157" t="str">
        <f>IF(M157=0,"Cuadrado",IF(M157&gt;0,"Faltante","Sobrante"))</f>
        <v>Sobrante</v>
      </c>
      <c r="O157" t="s">
        <v>174</v>
      </c>
      <c r="P157">
        <v>1112783690</v>
      </c>
      <c r="Q157" t="s">
        <v>255</v>
      </c>
    </row>
    <row r="158" spans="1:17" x14ac:dyDescent="0.25">
      <c r="A158">
        <v>866</v>
      </c>
      <c r="B158">
        <v>8662</v>
      </c>
      <c r="D158" t="s">
        <v>17</v>
      </c>
      <c r="E158" s="2">
        <v>46120</v>
      </c>
      <c r="F158" s="2">
        <v>46119</v>
      </c>
      <c r="G158" t="s">
        <v>256</v>
      </c>
      <c r="H158">
        <v>190343200</v>
      </c>
      <c r="I158">
        <v>199373250</v>
      </c>
      <c r="J158">
        <v>11880000</v>
      </c>
      <c r="K158">
        <v>3000000</v>
      </c>
      <c r="L158">
        <f>150000</f>
        <v>150000</v>
      </c>
      <c r="M158">
        <f>I158-(H158+J158-K158)- L158</f>
        <v>50</v>
      </c>
      <c r="N158" t="str">
        <f>IF(M158=0,"Cuadrado",IF(M158&gt;0,"Faltante","Sobrante"))</f>
        <v>Faltante</v>
      </c>
      <c r="O158" t="s">
        <v>212</v>
      </c>
      <c r="P158">
        <v>1113674245</v>
      </c>
      <c r="Q158" t="s">
        <v>257</v>
      </c>
    </row>
    <row r="159" spans="1:17" x14ac:dyDescent="0.25">
      <c r="A159">
        <v>85</v>
      </c>
      <c r="B159">
        <v>8974</v>
      </c>
      <c r="D159" t="s">
        <v>17</v>
      </c>
      <c r="E159" s="2">
        <v>46120</v>
      </c>
      <c r="F159" s="2">
        <v>46119</v>
      </c>
      <c r="G159" t="s">
        <v>105</v>
      </c>
      <c r="H159">
        <v>176618950</v>
      </c>
      <c r="I159">
        <v>166248950</v>
      </c>
      <c r="J159">
        <v>2700000</v>
      </c>
      <c r="K159">
        <v>8074700</v>
      </c>
      <c r="L159">
        <f>0</f>
        <v>0</v>
      </c>
      <c r="M159">
        <f>I159-(H159+J159-K159)- L159</f>
        <v>-4995300</v>
      </c>
      <c r="N159" t="str">
        <f>IF(M159=0,"Cuadrado",IF(M159&gt;0,"Faltante","Sobrante"))</f>
        <v>Sobrante</v>
      </c>
      <c r="O159" t="s">
        <v>174</v>
      </c>
      <c r="P159">
        <v>1047413788</v>
      </c>
      <c r="Q159" t="s">
        <v>258</v>
      </c>
    </row>
    <row r="160" spans="1:17" x14ac:dyDescent="0.25">
      <c r="A160">
        <v>890</v>
      </c>
      <c r="B160">
        <v>9584</v>
      </c>
      <c r="D160" t="s">
        <v>17</v>
      </c>
      <c r="E160" s="2">
        <v>46120</v>
      </c>
      <c r="F160" s="2">
        <v>46119</v>
      </c>
      <c r="G160" t="s">
        <v>45</v>
      </c>
      <c r="H160">
        <v>330703050</v>
      </c>
      <c r="I160">
        <v>328443050</v>
      </c>
      <c r="J160">
        <v>8540000</v>
      </c>
      <c r="K160">
        <v>10800000</v>
      </c>
      <c r="L160">
        <f>0</f>
        <v>0</v>
      </c>
      <c r="M160">
        <f>I160-(H160+J160-K160)- L160</f>
        <v>0</v>
      </c>
      <c r="N160" t="str">
        <f>IF(M160=0,"Cuadrado",IF(M160&gt;0,"Faltante","Sobrante"))</f>
        <v>Cuadrado</v>
      </c>
      <c r="O160" t="s">
        <v>34</v>
      </c>
      <c r="P160">
        <v>1053835867</v>
      </c>
      <c r="Q160" t="s">
        <v>277</v>
      </c>
    </row>
    <row r="161" spans="1:17" x14ac:dyDescent="0.25">
      <c r="A161">
        <v>551</v>
      </c>
      <c r="B161">
        <v>9643</v>
      </c>
      <c r="D161" t="s">
        <v>17</v>
      </c>
      <c r="E161" s="2">
        <v>46120</v>
      </c>
      <c r="F161" s="2">
        <v>46119</v>
      </c>
      <c r="G161" t="s">
        <v>64</v>
      </c>
      <c r="H161">
        <v>277451400</v>
      </c>
      <c r="I161">
        <v>280006400</v>
      </c>
      <c r="J161">
        <v>41930000</v>
      </c>
      <c r="K161">
        <v>39324650</v>
      </c>
      <c r="L161">
        <f>0</f>
        <v>0</v>
      </c>
      <c r="M161">
        <f>I161-(H161+J161-K161)- L161</f>
        <v>-50350</v>
      </c>
      <c r="N161" t="str">
        <f>IF(M161=0,"Cuadrado",IF(M161&gt;0,"Faltante","Sobrante"))</f>
        <v>Sobrante</v>
      </c>
      <c r="O161" t="s">
        <v>174</v>
      </c>
      <c r="P161">
        <v>1152213498</v>
      </c>
      <c r="Q161" t="s">
        <v>259</v>
      </c>
    </row>
    <row r="162" spans="1:17" x14ac:dyDescent="0.25">
      <c r="A162">
        <v>551</v>
      </c>
      <c r="B162">
        <v>9644</v>
      </c>
      <c r="D162" t="s">
        <v>17</v>
      </c>
      <c r="E162" s="2">
        <v>46120</v>
      </c>
      <c r="F162" s="2">
        <v>46119</v>
      </c>
      <c r="G162" t="s">
        <v>260</v>
      </c>
      <c r="H162">
        <v>285127300</v>
      </c>
      <c r="I162">
        <v>263067700</v>
      </c>
      <c r="J162">
        <v>30060000</v>
      </c>
      <c r="K162">
        <v>52098250</v>
      </c>
      <c r="L162">
        <f>0</f>
        <v>0</v>
      </c>
      <c r="M162">
        <f>I162-(H162+J162-K162)- L162</f>
        <v>-21350</v>
      </c>
      <c r="N162" t="str">
        <f>IF(M162=0,"Cuadrado",IF(M162&gt;0,"Faltante","Sobrante"))</f>
        <v>Sobrante</v>
      </c>
      <c r="O162" t="s">
        <v>174</v>
      </c>
      <c r="P162">
        <v>1152213498</v>
      </c>
      <c r="Q162" t="s">
        <v>261</v>
      </c>
    </row>
    <row r="163" spans="1:17" x14ac:dyDescent="0.25">
      <c r="A163">
        <v>849</v>
      </c>
      <c r="B163">
        <v>9724</v>
      </c>
      <c r="D163" t="s">
        <v>17</v>
      </c>
      <c r="E163" s="2">
        <v>46120</v>
      </c>
      <c r="F163" s="2">
        <v>46119</v>
      </c>
      <c r="G163" t="s">
        <v>262</v>
      </c>
      <c r="H163">
        <v>135225100</v>
      </c>
      <c r="I163">
        <v>130245100</v>
      </c>
      <c r="J163">
        <v>0</v>
      </c>
      <c r="K163">
        <v>0</v>
      </c>
      <c r="L163">
        <f>0</f>
        <v>0</v>
      </c>
      <c r="M163">
        <f>I163-(H163+J163-K163)- L163</f>
        <v>-4980000</v>
      </c>
      <c r="N163" t="str">
        <f>IF(M163=0,"Cuadrado",IF(M163&gt;0,"Faltante","Sobrante"))</f>
        <v>Sobrante</v>
      </c>
      <c r="O163" t="s">
        <v>174</v>
      </c>
      <c r="P163">
        <v>86063461</v>
      </c>
      <c r="Q163" t="s">
        <v>263</v>
      </c>
    </row>
  </sheetData>
  <autoFilter ref="A1:Q163" xr:uid="{00000000-0001-0000-0000-000000000000}">
    <filterColumn colId="4">
      <filters>
        <dateGroupItem year="2026" month="4" day="8" dateTimeGrouping="day"/>
      </filters>
    </filterColumn>
    <sortState xmlns:xlrd2="http://schemas.microsoft.com/office/spreadsheetml/2017/richdata2" ref="A109:Q163">
      <sortCondition ref="B1:B163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/>
  </sheetViews>
  <sheetFormatPr baseColWidth="10" defaultColWidth="9.140625" defaultRowHeight="15" x14ac:dyDescent="0.25"/>
  <sheetData>
    <row r="1" spans="1:11" x14ac:dyDescent="0.25">
      <c r="A1" s="1" t="s">
        <v>278</v>
      </c>
      <c r="B1" s="1" t="s">
        <v>1</v>
      </c>
      <c r="C1" s="1" t="s">
        <v>2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/>
  </sheetViews>
  <sheetFormatPr baseColWidth="10" defaultColWidth="9.140625" defaultRowHeight="15" x14ac:dyDescent="0.25"/>
  <sheetData>
    <row r="1" spans="1:7" x14ac:dyDescent="0.25">
      <c r="A1" s="1" t="s">
        <v>287</v>
      </c>
      <c r="B1" s="1" t="s">
        <v>288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/>
  </sheetViews>
  <sheetFormatPr baseColWidth="10" defaultColWidth="9.140625" defaultRowHeight="15" x14ac:dyDescent="0.25"/>
  <sheetData>
    <row r="1" spans="1:6" x14ac:dyDescent="0.25">
      <c r="A1" s="1" t="s">
        <v>294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"/>
  <sheetViews>
    <sheetView workbookViewId="0"/>
  </sheetViews>
  <sheetFormatPr baseColWidth="10" defaultColWidth="9.140625" defaultRowHeight="15" x14ac:dyDescent="0.25"/>
  <sheetData>
    <row r="1" spans="1:11" x14ac:dyDescent="0.25">
      <c r="A1" s="1" t="s">
        <v>278</v>
      </c>
      <c r="B1" s="1" t="s">
        <v>1</v>
      </c>
      <c r="C1" s="1" t="s">
        <v>2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DETALLE MF</vt:lpstr>
      <vt:lpstr>Lista MF</vt:lpstr>
      <vt:lpstr>Notas</vt:lpstr>
      <vt:lpstr>CP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Buitrago Giraldo</cp:lastModifiedBy>
  <dcterms:created xsi:type="dcterms:W3CDTF">2026-04-08T14:52:11Z</dcterms:created>
  <dcterms:modified xsi:type="dcterms:W3CDTF">2026-04-08T14:58:48Z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2026-04-08T14:58:48Z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5ea476d6-ccf4-4b42-84ad-b7bc5369e177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