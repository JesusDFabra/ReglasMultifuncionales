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MF" sheetId="1" state="visible" r:id="rId1"/>
    <sheet name="Lista MF" sheetId="2" state="visible" r:id="rId2"/>
    <sheet name="Notas" sheetId="3" state="visible" r:id="rId3"/>
    <sheet name="CP" sheetId="4" state="visible" r:id="rId4"/>
    <sheet name="Hoja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Cajero</t>
        </is>
      </c>
      <c r="C1" s="1" t="inlineStr">
        <is>
          <t>Marca</t>
        </is>
      </c>
      <c r="D1" s="1" t="inlineStr">
        <is>
          <t>Marca herramienta</t>
        </is>
      </c>
      <c r="E1" s="1" t="inlineStr">
        <is>
          <t>Fecha descarga arqueo</t>
        </is>
      </c>
      <c r="F1" s="1" t="inlineStr">
        <is>
          <t xml:space="preserve">Fecha Arqueo </t>
        </is>
      </c>
      <c r="G1" s="1" t="inlineStr">
        <is>
          <t>Hora Arqueo</t>
        </is>
      </c>
      <c r="H1" s="1" t="inlineStr">
        <is>
          <t>Efectivo Arqueado /Arqueo fisico saldo contadores</t>
        </is>
      </c>
      <c r="I1" s="1" t="inlineStr">
        <is>
          <t xml:space="preserve">Saldo Contable 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Remanente /Provisión /Ajustes</t>
        </is>
      </c>
      <c r="M1" s="1" t="inlineStr">
        <is>
          <t>Diferencia</t>
        </is>
      </c>
      <c r="N1" s="1" t="inlineStr">
        <is>
          <t>Naturaleza</t>
        </is>
      </c>
      <c r="O1" s="1" t="inlineStr">
        <is>
          <t>Gestión a Realizar</t>
        </is>
      </c>
      <c r="P1" s="1" t="inlineStr">
        <is>
          <t>Documento responsable</t>
        </is>
      </c>
    </row>
    <row r="2">
      <c r="A2" t="n">
        <v>395</v>
      </c>
      <c r="B2" t="n">
        <v>1529</v>
      </c>
      <c r="C2" t="inlineStr">
        <is>
          <t>BELLTECH</t>
        </is>
      </c>
      <c r="D2" t="inlineStr">
        <is>
          <t>BELLTECH</t>
        </is>
      </c>
      <c r="E2" s="3" t="n">
        <v>46101</v>
      </c>
      <c r="F2" s="3" t="n">
        <v>46100</v>
      </c>
      <c r="G2" t="inlineStr">
        <is>
          <t>09:08:00</t>
        </is>
      </c>
      <c r="H2" t="n">
        <v>324746900</v>
      </c>
      <c r="I2" t="n">
        <v>302896900</v>
      </c>
      <c r="J2" t="n">
        <v>2150000</v>
      </c>
      <c r="K2" t="n">
        <v>0</v>
      </c>
      <c r="M2">
        <f>I2-(H2+J2-K2)- L2</f>
        <v/>
      </c>
      <c r="N2">
        <f>IF(M2=0,"Cuadrado",IF(M2&gt;0,"Faltante","Sobrante"))</f>
        <v/>
      </c>
      <c r="O2" t="inlineStr">
        <is>
          <t>La diferencia es contabilizada por la Gerencia De Autoservicios y Efectivo de manera centralizada a la cuenta de sobrantes 279510020 el 20/03/2026</t>
        </is>
      </c>
      <c r="P2" t="n">
        <v>1121857901</v>
      </c>
    </row>
    <row r="3">
      <c r="A3" t="n">
        <v>5</v>
      </c>
      <c r="B3" t="n">
        <v>4866</v>
      </c>
      <c r="C3" t="inlineStr">
        <is>
          <t>DIEBOLD</t>
        </is>
      </c>
      <c r="D3" t="inlineStr">
        <is>
          <t>DIEBOLD</t>
        </is>
      </c>
      <c r="E3" s="3" t="n">
        <v>46101</v>
      </c>
      <c r="F3" s="3" t="n">
        <v>46100</v>
      </c>
      <c r="G3" t="inlineStr">
        <is>
          <t>09:25:00</t>
        </is>
      </c>
      <c r="H3" t="n">
        <v>166427550</v>
      </c>
      <c r="I3" t="n">
        <v>160568600</v>
      </c>
      <c r="J3" t="n">
        <v>5850000</v>
      </c>
      <c r="K3" t="n">
        <v>11799000</v>
      </c>
      <c r="M3">
        <f>I3-(H3+J3-K3)- L3</f>
        <v/>
      </c>
      <c r="N3">
        <f>IF(M3=0,"Cuadrado",IF(M3&gt;0,"Faltante","Sobrante"))</f>
        <v/>
      </c>
      <c r="O3" t="inlineStr">
        <is>
          <t>El faltante $90.050 es cruzado con sobrante contabilizado el día 03/03/2026 ($90.050) el cual es reversado por la seccion el día 20/03/2026</t>
        </is>
      </c>
      <c r="P3" t="n">
        <v>80015416</v>
      </c>
    </row>
    <row r="4">
      <c r="A4" t="n">
        <v>59</v>
      </c>
      <c r="B4" t="n">
        <v>5002</v>
      </c>
      <c r="C4" t="inlineStr">
        <is>
          <t>BELLTECH</t>
        </is>
      </c>
      <c r="D4" t="inlineStr">
        <is>
          <t>BELLTECH</t>
        </is>
      </c>
      <c r="E4" s="3" t="n">
        <v>46101</v>
      </c>
      <c r="F4" s="3" t="n">
        <v>46100</v>
      </c>
      <c r="G4" t="inlineStr">
        <is>
          <t>10:24:00</t>
        </is>
      </c>
      <c r="H4" t="n">
        <v>221181850</v>
      </c>
      <c r="I4" t="n">
        <v>202561850</v>
      </c>
      <c r="J4" t="n">
        <v>9070000</v>
      </c>
      <c r="K4" t="n">
        <v>27650000</v>
      </c>
      <c r="M4">
        <f>I4-(H4+J4-K4)- L4</f>
        <v/>
      </c>
      <c r="N4">
        <f>IF(M4=0,"Cuadrado",IF(M4&gt;0,"Faltante","Sobrante"))</f>
        <v/>
      </c>
      <c r="O4" t="inlineStr">
        <is>
          <t>El faltante $90.000 es cruzado con sobrante contabilizado el día 19/03/2026 ($90.000) el cual es reversado por la seccion el día 20/03/2026</t>
        </is>
      </c>
      <c r="P4" t="n">
        <v>1060652821</v>
      </c>
    </row>
    <row r="5">
      <c r="A5" t="n">
        <v>779</v>
      </c>
      <c r="B5" t="n">
        <v>5013</v>
      </c>
      <c r="C5" t="inlineStr">
        <is>
          <t>BELLTECH</t>
        </is>
      </c>
      <c r="D5" t="inlineStr">
        <is>
          <t>BELLTECH</t>
        </is>
      </c>
      <c r="E5" s="3" t="n">
        <v>46101</v>
      </c>
      <c r="F5" s="3" t="n">
        <v>46100</v>
      </c>
      <c r="G5" t="inlineStr">
        <is>
          <t>11:10:00</t>
        </is>
      </c>
      <c r="H5" t="n">
        <v>21815800</v>
      </c>
      <c r="I5" t="n">
        <v>49242700</v>
      </c>
      <c r="J5" t="n">
        <v>880000</v>
      </c>
      <c r="K5" t="n">
        <v>21415000</v>
      </c>
      <c r="M5">
        <f>I5-(H5+J5-K5)- L5</f>
        <v/>
      </c>
      <c r="N5">
        <f>IF(M5=0,"Cuadrado",IF(M5&gt;0,"Faltante","Sobrante"))</f>
        <v/>
      </c>
      <c r="O5" t="inlineStr">
        <is>
          <t>Gestión manual - Revisar por el personal encargado</t>
        </is>
      </c>
      <c r="P5" t="n">
        <v>1082858126</v>
      </c>
    </row>
    <row r="6">
      <c r="A6" t="n">
        <v>882</v>
      </c>
      <c r="B6" t="n">
        <v>5020</v>
      </c>
      <c r="C6" t="inlineStr">
        <is>
          <t>BELLTECH</t>
        </is>
      </c>
      <c r="D6" t="inlineStr">
        <is>
          <t>BELLTECH</t>
        </is>
      </c>
      <c r="E6" s="3" t="n">
        <v>46101</v>
      </c>
      <c r="F6" s="3" t="n">
        <v>46100</v>
      </c>
      <c r="G6" t="inlineStr">
        <is>
          <t>09:03:00</t>
        </is>
      </c>
      <c r="H6" t="n">
        <v>359002650</v>
      </c>
      <c r="I6" t="n">
        <v>346913050</v>
      </c>
      <c r="J6" t="n">
        <v>5160000</v>
      </c>
      <c r="K6" t="n">
        <v>17260000</v>
      </c>
      <c r="M6">
        <f>I6-(H6+J6-K6)- L6</f>
        <v/>
      </c>
      <c r="N6">
        <f>IF(M6=0,"Cuadrado",IF(M6&gt;0,"Faltante","Sobrante"))</f>
        <v/>
      </c>
      <c r="O6" t="inlineStr">
        <is>
          <t>El faltante $10.400 es cruzado con sobrante contabilizado el día 13/03/2026 ($10.400) el cual es reversado por la seccion el día 20/03/2026</t>
        </is>
      </c>
      <c r="P6" t="n">
        <v>33369487</v>
      </c>
    </row>
    <row r="7">
      <c r="A7" t="n">
        <v>32</v>
      </c>
      <c r="B7" t="n">
        <v>5027</v>
      </c>
      <c r="C7" t="inlineStr">
        <is>
          <t>BELLTECH</t>
        </is>
      </c>
      <c r="D7" t="inlineStr">
        <is>
          <t>BELLTECH</t>
        </is>
      </c>
      <c r="E7" s="3" t="n">
        <v>46101</v>
      </c>
      <c r="F7" s="3" t="n">
        <v>46100</v>
      </c>
      <c r="G7" t="inlineStr">
        <is>
          <t>10:51:00</t>
        </is>
      </c>
      <c r="H7" t="n">
        <v>394162650</v>
      </c>
      <c r="I7" t="n">
        <v>387510650</v>
      </c>
      <c r="J7" t="n">
        <v>5160000</v>
      </c>
      <c r="K7" t="n">
        <v>11712000</v>
      </c>
      <c r="M7">
        <f>I7-(H7+J7-K7)- L7</f>
        <v/>
      </c>
      <c r="N7">
        <f>IF(M7=0,"Cuadrado",IF(M7&gt;0,"Faltante","Sobrante"))</f>
        <v/>
      </c>
      <c r="O7" t="inlineStr">
        <is>
          <t>La diferencia es contabilizada por la Gerencia De Autoservicios y Efectivo de manera centralizada a la cuenta de sobrantes 279510020 el 20/03/2026</t>
        </is>
      </c>
      <c r="P7" t="n">
        <v>79750158</v>
      </c>
    </row>
    <row r="8">
      <c r="A8" t="n">
        <v>167</v>
      </c>
      <c r="B8" t="n">
        <v>5030</v>
      </c>
      <c r="C8" t="inlineStr">
        <is>
          <t>BELLTECH</t>
        </is>
      </c>
      <c r="D8" t="inlineStr">
        <is>
          <t>BELLTECH</t>
        </is>
      </c>
      <c r="E8" s="3" t="n">
        <v>46101</v>
      </c>
      <c r="F8" s="3" t="n">
        <v>46100</v>
      </c>
      <c r="G8" t="inlineStr">
        <is>
          <t>09:20:00</t>
        </is>
      </c>
      <c r="H8" t="n">
        <v>41793800</v>
      </c>
      <c r="I8" t="n">
        <v>46159400</v>
      </c>
      <c r="J8" t="n">
        <v>800000</v>
      </c>
      <c r="K8" t="n">
        <v>0</v>
      </c>
      <c r="M8">
        <f>I8-(H8+J8-K8)- L8</f>
        <v/>
      </c>
      <c r="N8">
        <f>IF(M8=0,"Cuadrado",IF(M8&gt;0,"Faltante","Sobrante"))</f>
        <v/>
      </c>
      <c r="O8" t="inlineStr">
        <is>
          <t>La diferencia es contabilizada por la Gerencia De Autoservicios y Efectivo de manera centralizada a la cuenta de faltantes 168710093 el 20/03/2026, esta diferencia ingresa a proceso de investigación en el área para identificar a que corresponde.</t>
        </is>
      </c>
      <c r="P8" t="n">
        <v>1022373176</v>
      </c>
    </row>
    <row r="9">
      <c r="A9" t="n">
        <v>781</v>
      </c>
      <c r="B9" t="n">
        <v>5057</v>
      </c>
      <c r="C9" t="inlineStr">
        <is>
          <t>BELLTECH</t>
        </is>
      </c>
      <c r="D9" t="inlineStr">
        <is>
          <t>BELLTECH</t>
        </is>
      </c>
      <c r="E9" s="3" t="n">
        <v>46101</v>
      </c>
      <c r="F9" s="3" t="n">
        <v>46100</v>
      </c>
      <c r="G9" t="inlineStr">
        <is>
          <t>15:01:00</t>
        </is>
      </c>
      <c r="H9" t="n">
        <v>118478650</v>
      </c>
      <c r="I9" t="n">
        <v>77234450</v>
      </c>
      <c r="J9" t="n">
        <v>11040000</v>
      </c>
      <c r="K9" t="n">
        <v>49550000</v>
      </c>
      <c r="M9">
        <f>I9-(H9+J9-K9)- L9</f>
        <v/>
      </c>
      <c r="N9">
        <f>IF(M9=0,"Cuadrado",IF(M9&gt;0,"Faltante","Sobrante"))</f>
        <v/>
      </c>
      <c r="O9" t="inlineStr">
        <is>
          <t>La diferencia es contabilizada por la Gerencia De Autoservicios y Efectivo de manera centralizada a la cuenta de sobrantes 279510020 el 20/03/2026</t>
        </is>
      </c>
      <c r="P9" t="n">
        <v>1082848167</v>
      </c>
    </row>
    <row r="10">
      <c r="A10" t="n">
        <v>392</v>
      </c>
      <c r="B10" t="n">
        <v>5064</v>
      </c>
      <c r="C10" t="inlineStr">
        <is>
          <t>BELLTECH</t>
        </is>
      </c>
      <c r="D10" t="inlineStr">
        <is>
          <t>BELLTECH</t>
        </is>
      </c>
      <c r="E10" s="3" t="n">
        <v>46101</v>
      </c>
      <c r="F10" s="3" t="n">
        <v>46100</v>
      </c>
      <c r="G10" t="inlineStr">
        <is>
          <t>09:43:00</t>
        </is>
      </c>
      <c r="H10" t="n">
        <v>139950300</v>
      </c>
      <c r="I10" t="n">
        <v>145390300</v>
      </c>
      <c r="J10" t="n">
        <v>0</v>
      </c>
      <c r="K10" t="n">
        <v>0</v>
      </c>
      <c r="M10">
        <f>I10-(H10+J10-K10)- L10</f>
        <v/>
      </c>
      <c r="N10">
        <f>IF(M10=0,"Cuadrado",IF(M10&gt;0,"Faltante","Sobrante"))</f>
        <v/>
      </c>
      <c r="O10" t="inlineStr">
        <is>
          <t>El faltante $1.960.000 es cruzado con sobrante contabilizado el día 11/03/2026 ($1.960.000) el cual es reversado por la seccion el día 20/03/2026</t>
        </is>
      </c>
      <c r="P10" t="n">
        <v>1054547012</v>
      </c>
    </row>
    <row r="11">
      <c r="A11" t="n">
        <v>211</v>
      </c>
      <c r="B11" t="n">
        <v>5067</v>
      </c>
      <c r="C11" t="inlineStr">
        <is>
          <t>BELLTECH</t>
        </is>
      </c>
      <c r="D11" t="inlineStr">
        <is>
          <t>BELLTECH</t>
        </is>
      </c>
      <c r="E11" s="3" t="n">
        <v>46101</v>
      </c>
      <c r="F11" s="3" t="n">
        <v>46099</v>
      </c>
      <c r="G11" t="inlineStr">
        <is>
          <t>10:40:00</t>
        </is>
      </c>
      <c r="H11" t="n">
        <v>162248200</v>
      </c>
      <c r="I11" t="n">
        <v>149355350</v>
      </c>
      <c r="J11" t="n">
        <v>13060000</v>
      </c>
      <c r="K11" t="n">
        <v>25424500</v>
      </c>
      <c r="M11">
        <f>I11-(H11+J11-K11)- L11</f>
        <v/>
      </c>
      <c r="N11">
        <f>IF(M11=0,"Cuadrado",IF(M11&gt;0,"Faltante","Sobrante"))</f>
        <v/>
      </c>
      <c r="O11" t="inlineStr">
        <is>
          <t>La diferencia es contabilizada por la Gerencia De Autoservicios y Efectivo de manera centralizada a la cuenta de sobrantes 279510020 el 20/03/2026</t>
        </is>
      </c>
      <c r="P11" t="n">
        <v>1033691159</v>
      </c>
    </row>
    <row r="12">
      <c r="A12" t="n">
        <v>659</v>
      </c>
      <c r="B12" t="n">
        <v>5102</v>
      </c>
      <c r="C12" t="inlineStr">
        <is>
          <t>BELLTECH</t>
        </is>
      </c>
      <c r="D12" t="inlineStr">
        <is>
          <t>BELLTECH</t>
        </is>
      </c>
      <c r="E12" s="3" t="n">
        <v>46101</v>
      </c>
      <c r="F12" s="3" t="n">
        <v>46100</v>
      </c>
      <c r="G12" t="inlineStr">
        <is>
          <t>10:54:00</t>
        </is>
      </c>
      <c r="H12" t="n">
        <v>225627000</v>
      </c>
      <c r="I12" t="n">
        <v>228618250</v>
      </c>
      <c r="J12" t="n">
        <v>12260000</v>
      </c>
      <c r="K12" t="n">
        <v>9118750</v>
      </c>
      <c r="M12">
        <f>I12-(H12+J12-K12)- L12</f>
        <v/>
      </c>
      <c r="N12">
        <f>IF(M12=0,"Cuadrado",IF(M12&gt;0,"Faltante","Sobrante"))</f>
        <v/>
      </c>
      <c r="O12" t="inlineStr">
        <is>
          <t>La diferencia es contabilizada por la Gerencia De Autoservicios y Efectivo de manera centralizada a la cuenta de sobrantes 279510020 el 20/03/2026</t>
        </is>
      </c>
      <c r="P12" t="n">
        <v>39575034</v>
      </c>
    </row>
    <row r="13">
      <c r="A13" t="n">
        <v>430</v>
      </c>
      <c r="B13" t="n">
        <v>5104</v>
      </c>
      <c r="C13" t="inlineStr">
        <is>
          <t>BELLTECH</t>
        </is>
      </c>
      <c r="D13" t="inlineStr">
        <is>
          <t>BELLTECH</t>
        </is>
      </c>
      <c r="E13" s="3" t="n">
        <v>46101</v>
      </c>
      <c r="F13" s="3" t="n">
        <v>46100</v>
      </c>
      <c r="G13" t="inlineStr">
        <is>
          <t>11:02:00</t>
        </is>
      </c>
      <c r="H13" t="n">
        <v>99103200</v>
      </c>
      <c r="I13" t="n">
        <v>99978800</v>
      </c>
      <c r="J13" t="n">
        <v>20040000</v>
      </c>
      <c r="K13" t="n">
        <v>19058400</v>
      </c>
      <c r="M13">
        <f>I13-(H13+J13-K13)- L13</f>
        <v/>
      </c>
      <c r="N13">
        <f>IF(M13=0,"Cuadrado",IF(M13&gt;0,"Faltante","Sobrante"))</f>
        <v/>
      </c>
      <c r="O13" t="inlineStr">
        <is>
          <t>La diferencia es contabilizada por la Gerencia De Autoservicios y Efectivo de manera centralizada a la cuenta de sobrantes 279510020 el 20/03/2026</t>
        </is>
      </c>
      <c r="P13" t="n">
        <v>1035234232</v>
      </c>
    </row>
    <row r="14">
      <c r="A14" t="n">
        <v>68</v>
      </c>
      <c r="B14" t="n">
        <v>5135</v>
      </c>
      <c r="C14" t="inlineStr">
        <is>
          <t>BELLTECH</t>
        </is>
      </c>
      <c r="D14" t="inlineStr">
        <is>
          <t>BELLTECH</t>
        </is>
      </c>
      <c r="E14" s="3" t="n">
        <v>46101</v>
      </c>
      <c r="F14" s="3" t="n">
        <v>46100</v>
      </c>
      <c r="G14" t="inlineStr">
        <is>
          <t>14:45:00</t>
        </is>
      </c>
      <c r="H14" t="n">
        <v>459649750</v>
      </c>
      <c r="I14" t="n">
        <v>365793050</v>
      </c>
      <c r="J14" t="n">
        <v>15040000</v>
      </c>
      <c r="K14" t="n">
        <v>97857950</v>
      </c>
      <c r="M14">
        <f>I14-(H14+J14-K14)- L14</f>
        <v/>
      </c>
      <c r="N14">
        <f>IF(M14=0,"Cuadrado",IF(M14&gt;0,"Faltante","Sobrante"))</f>
        <v/>
      </c>
      <c r="O14" t="inlineStr">
        <is>
          <t>La diferencia es contabilizada por la Gerencia De Autoservicios y Efectivo de manera centralizada a la cuenta de sobrantes 279510020 el 20/03/2026</t>
        </is>
      </c>
      <c r="P14" t="n">
        <v>38363386</v>
      </c>
    </row>
    <row r="15">
      <c r="A15" t="n">
        <v>262</v>
      </c>
      <c r="B15" t="n">
        <v>5153</v>
      </c>
      <c r="C15" t="inlineStr">
        <is>
          <t>BELLTECH</t>
        </is>
      </c>
      <c r="D15" t="inlineStr">
        <is>
          <t>BELLTECH</t>
        </is>
      </c>
      <c r="E15" s="3" t="n">
        <v>46101</v>
      </c>
      <c r="F15" s="3" t="n">
        <v>46100</v>
      </c>
      <c r="G15" t="inlineStr">
        <is>
          <t>09:41:00</t>
        </is>
      </c>
      <c r="H15" t="n">
        <v>282090000</v>
      </c>
      <c r="I15" t="n">
        <v>280774200</v>
      </c>
      <c r="J15" t="n">
        <v>13280000</v>
      </c>
      <c r="K15" t="n">
        <v>0</v>
      </c>
      <c r="M15">
        <f>I15-(H15+J15-K15)- L15</f>
        <v/>
      </c>
      <c r="N15">
        <f>IF(M15=0,"Cuadrado",IF(M15&gt;0,"Faltante","Sobrante"))</f>
        <v/>
      </c>
      <c r="O15" t="inlineStr">
        <is>
          <t>La diferencia es contabilizada por la Gerencia De Autoservicios y Efectivo de manera centralizada a la cuenta de sobrantes 279510020 el 20/03/2026</t>
        </is>
      </c>
      <c r="P15" t="n">
        <v>46456340</v>
      </c>
    </row>
    <row r="16">
      <c r="A16" t="n">
        <v>667</v>
      </c>
      <c r="B16" t="n">
        <v>5167</v>
      </c>
      <c r="C16" t="inlineStr">
        <is>
          <t>BELLTECH</t>
        </is>
      </c>
      <c r="D16" t="inlineStr">
        <is>
          <t>BELLTECH</t>
        </is>
      </c>
      <c r="E16" s="3" t="n">
        <v>46101</v>
      </c>
      <c r="F16" s="3" t="n">
        <v>46100</v>
      </c>
      <c r="G16" t="inlineStr">
        <is>
          <t>09:24:00</t>
        </is>
      </c>
      <c r="H16" t="n">
        <v>277204500</v>
      </c>
      <c r="I16" t="n">
        <v>286314550</v>
      </c>
      <c r="J16" t="n">
        <v>5240000</v>
      </c>
      <c r="K16" t="n">
        <v>0</v>
      </c>
      <c r="M16">
        <f>I16-(H16+J16-K16)- L16</f>
        <v/>
      </c>
      <c r="N16">
        <f>IF(M16=0,"Cuadrado",IF(M16&gt;0,"Faltante","Sobrante"))</f>
        <v/>
      </c>
      <c r="O16" t="inlineStr">
        <is>
          <t>ACLARAR DIFERENCIA Y REPETIR EL ARQUEO</t>
        </is>
      </c>
      <c r="P16" t="n">
        <v>79953058</v>
      </c>
    </row>
    <row r="17">
      <c r="A17" t="n">
        <v>363</v>
      </c>
      <c r="B17" t="n">
        <v>5168</v>
      </c>
      <c r="C17" t="inlineStr">
        <is>
          <t>BELLTECH</t>
        </is>
      </c>
      <c r="D17" t="inlineStr">
        <is>
          <t>BELLTECH</t>
        </is>
      </c>
      <c r="E17" s="3" t="n">
        <v>46101</v>
      </c>
      <c r="F17" s="3" t="n">
        <v>46100</v>
      </c>
      <c r="G17" t="inlineStr">
        <is>
          <t>10:40:00</t>
        </is>
      </c>
      <c r="H17" t="n">
        <v>434672050</v>
      </c>
      <c r="I17" t="n">
        <v>403359050</v>
      </c>
      <c r="J17" t="n">
        <v>19620000</v>
      </c>
      <c r="K17" t="n">
        <v>50953000</v>
      </c>
      <c r="M17">
        <f>I17-(H17+J17-K17)- L17</f>
        <v/>
      </c>
      <c r="N17">
        <f>IF(M17=0,"Cuadrado",IF(M17&gt;0,"Faltante","Sobrante"))</f>
        <v/>
      </c>
      <c r="O17" t="inlineStr">
        <is>
          <t>ACLARAR DIFERENCIA Y REPETIR EL ARQUEO</t>
        </is>
      </c>
      <c r="P17" t="n">
        <v>33646675</v>
      </c>
    </row>
    <row r="18">
      <c r="A18" t="n">
        <v>250</v>
      </c>
      <c r="B18" t="n">
        <v>5197</v>
      </c>
      <c r="C18" t="inlineStr">
        <is>
          <t>BELLTECH</t>
        </is>
      </c>
      <c r="D18" t="inlineStr">
        <is>
          <t>BELLTECH</t>
        </is>
      </c>
      <c r="E18" s="3" t="n">
        <v>46101</v>
      </c>
      <c r="F18" s="3" t="n">
        <v>46100</v>
      </c>
      <c r="G18" t="inlineStr">
        <is>
          <t>09:56:00</t>
        </is>
      </c>
      <c r="H18" t="n">
        <v>315572300</v>
      </c>
      <c r="I18" t="n">
        <v>320009800</v>
      </c>
      <c r="J18" t="n">
        <v>3080000</v>
      </c>
      <c r="K18" t="n">
        <v>0</v>
      </c>
      <c r="M18">
        <f>I18-(H18+J18-K18)- L18</f>
        <v/>
      </c>
      <c r="N18">
        <f>IF(M18=0,"Cuadrado",IF(M18&gt;0,"Faltante","Sobrante"))</f>
        <v/>
      </c>
      <c r="O18" t="inlineStr">
        <is>
          <t>El faltante $1.357.500 es cruzado con sobrante contabilizado el día 05/02/2026 ($120.000), el día 05/02/2026 ($215.000), el día 05/02/2026 ($472.000), el día 05/02/2026 ($2.600), el día 05/02/2026 ($400.000), el día 04/03/2026 ($73.700), el día 06/03/2026 ($26.800), el día 11/03/2026 ($47.400) el cual es reversado por la seccion el día 20/03/2026</t>
        </is>
      </c>
      <c r="P18" t="n">
        <v>1013635279</v>
      </c>
    </row>
    <row r="19">
      <c r="A19" t="n">
        <v>674</v>
      </c>
      <c r="B19" t="n">
        <v>5200</v>
      </c>
      <c r="C19" t="inlineStr">
        <is>
          <t>BELLTECH</t>
        </is>
      </c>
      <c r="D19" t="inlineStr">
        <is>
          <t>BELLTECH</t>
        </is>
      </c>
      <c r="E19" s="3" t="n">
        <v>46101</v>
      </c>
      <c r="F19" s="3" t="n">
        <v>46100</v>
      </c>
      <c r="G19" t="inlineStr">
        <is>
          <t>10:54:00</t>
        </is>
      </c>
      <c r="H19" t="n">
        <v>139590250</v>
      </c>
      <c r="I19" t="n">
        <v>132419950</v>
      </c>
      <c r="J19" t="n">
        <v>6250000</v>
      </c>
      <c r="K19" t="n">
        <v>13489950</v>
      </c>
      <c r="M19">
        <f>I19-(H19+J19-K19)- L19</f>
        <v/>
      </c>
      <c r="N19">
        <f>IF(M19=0,"Cuadrado",IF(M19&gt;0,"Faltante","Sobrante"))</f>
        <v/>
      </c>
      <c r="O19" t="inlineStr">
        <is>
          <t>El faltante $29.950 es cruzado con sobrante contabilizado el día 18/03/2026 ($29.950) el cual es reversado por la seccion el día 20/03/2026</t>
        </is>
      </c>
      <c r="P19" t="n">
        <v>79813088</v>
      </c>
    </row>
    <row r="20">
      <c r="A20" t="n">
        <v>217</v>
      </c>
      <c r="B20" t="n">
        <v>5208</v>
      </c>
      <c r="C20" t="inlineStr">
        <is>
          <t>BELLTECH</t>
        </is>
      </c>
      <c r="D20" t="inlineStr">
        <is>
          <t>BELLTECH</t>
        </is>
      </c>
      <c r="E20" s="3" t="n">
        <v>46101</v>
      </c>
      <c r="F20" s="3" t="n">
        <v>46100</v>
      </c>
      <c r="G20" t="inlineStr">
        <is>
          <t>13:42:00</t>
        </is>
      </c>
      <c r="H20" t="n">
        <v>193960250</v>
      </c>
      <c r="I20" t="n">
        <v>219364250</v>
      </c>
      <c r="J20" t="n">
        <v>38470000</v>
      </c>
      <c r="K20" t="n">
        <v>13046000</v>
      </c>
      <c r="M20">
        <f>I20-(H20+J20-K20)- L20</f>
        <v/>
      </c>
      <c r="N20">
        <f>IF(M20=0,"Cuadrado",IF(M20&gt;0,"Faltante","Sobrante"))</f>
        <v/>
      </c>
      <c r="O20" t="inlineStr">
        <is>
          <t>La diferencia es contabilizada por la Gerencia De Autoservicios y Efectivo de manera centralizada a la cuenta de sobrantes 279510020 el 20/03/2026</t>
        </is>
      </c>
      <c r="P20" t="n">
        <v>4247261</v>
      </c>
    </row>
    <row r="21">
      <c r="A21" t="n">
        <v>285</v>
      </c>
      <c r="B21" t="n">
        <v>5228</v>
      </c>
      <c r="C21" t="inlineStr">
        <is>
          <t>BELLTECH</t>
        </is>
      </c>
      <c r="D21" t="inlineStr">
        <is>
          <t>BELLTECH</t>
        </is>
      </c>
      <c r="E21" s="3" t="n">
        <v>46101</v>
      </c>
      <c r="F21" s="3" t="n">
        <v>46100</v>
      </c>
      <c r="G21" t="inlineStr">
        <is>
          <t>09:10:00</t>
        </is>
      </c>
      <c r="H21" t="n">
        <v>321156550</v>
      </c>
      <c r="I21" t="n">
        <v>321655550</v>
      </c>
      <c r="J21" t="n">
        <v>500000</v>
      </c>
      <c r="K21" t="n">
        <v>0</v>
      </c>
      <c r="M21">
        <f>I21-(H21+J21-K21)- L21</f>
        <v/>
      </c>
      <c r="N21">
        <f>IF(M21=0,"Cuadrado",IF(M21&gt;0,"Faltante","Sobrante"))</f>
        <v/>
      </c>
      <c r="O21" t="inlineStr">
        <is>
          <t>La diferencia es contabilizada por la Gerencia De Autoservicios y Efectivo de manera centralizada a la cuenta de sobrantes 279510020 el 20/03/2026</t>
        </is>
      </c>
      <c r="P21" t="n">
        <v>12197216</v>
      </c>
    </row>
    <row r="22">
      <c r="A22" t="n">
        <v>267</v>
      </c>
      <c r="B22" t="n">
        <v>6186</v>
      </c>
      <c r="C22" t="inlineStr">
        <is>
          <t>BELLTECH</t>
        </is>
      </c>
      <c r="D22" t="inlineStr">
        <is>
          <t>BELLTECH</t>
        </is>
      </c>
      <c r="E22" s="3" t="n">
        <v>46101</v>
      </c>
      <c r="F22" s="3" t="n">
        <v>46100</v>
      </c>
      <c r="G22" t="inlineStr">
        <is>
          <t>11:37:00</t>
        </is>
      </c>
      <c r="H22" t="n">
        <v>125383400</v>
      </c>
      <c r="I22" t="n">
        <v>217697950</v>
      </c>
      <c r="J22" t="n">
        <v>29950000</v>
      </c>
      <c r="K22" t="n">
        <v>37531000</v>
      </c>
      <c r="M22">
        <f>I22-(H22+J22-K22)- L22</f>
        <v/>
      </c>
      <c r="N22">
        <f>IF(M22=0,"Cuadrado",IF(M22&gt;0,"Faltante","Sobrante"))</f>
        <v/>
      </c>
      <c r="O22" t="inlineStr">
        <is>
          <t>La diferencia es contabilizada por la Gerencia De Autoservicios y Efectivo de manera centralizada a la cuenta de sobrantes 279510020 el 20/03/2026</t>
        </is>
      </c>
      <c r="P22" t="n">
        <v>1017263917</v>
      </c>
    </row>
    <row r="23">
      <c r="A23" t="n">
        <v>764</v>
      </c>
      <c r="B23" t="n">
        <v>6715</v>
      </c>
      <c r="C23" t="inlineStr">
        <is>
          <t>BELLTECH</t>
        </is>
      </c>
      <c r="D23" t="inlineStr">
        <is>
          <t>BELLTECH</t>
        </is>
      </c>
      <c r="E23" s="3" t="n">
        <v>46101</v>
      </c>
      <c r="F23" s="3" t="n">
        <v>46100</v>
      </c>
      <c r="G23" t="inlineStr">
        <is>
          <t>15:21:00</t>
        </is>
      </c>
      <c r="H23" t="n">
        <v>142378900</v>
      </c>
      <c r="I23" t="n">
        <v>135096900</v>
      </c>
      <c r="J23" t="n">
        <v>29900000</v>
      </c>
      <c r="K23" t="n">
        <v>41005000</v>
      </c>
      <c r="M23">
        <f>I23-(H23+J23-K23)- L23</f>
        <v/>
      </c>
      <c r="N23">
        <f>IF(M23=0,"Cuadrado",IF(M23&gt;0,"Faltante","Sobrante"))</f>
        <v/>
      </c>
      <c r="O23" t="inlineStr">
        <is>
          <t>El faltante $3.823.000 es cruzado con sobrante contabilizado el día 13/03/2026 ($3.120.000), el día 16/03/2026 ($703.000) el cual es reversado por la seccion el día 20/03/2026</t>
        </is>
      </c>
      <c r="P23" t="n">
        <v>1112480917</v>
      </c>
    </row>
    <row r="24">
      <c r="A24" t="n">
        <v>332</v>
      </c>
      <c r="B24" t="n">
        <v>7569</v>
      </c>
      <c r="C24" t="inlineStr">
        <is>
          <t>BELLTECH</t>
        </is>
      </c>
      <c r="D24" t="inlineStr">
        <is>
          <t>BELLTECH</t>
        </is>
      </c>
      <c r="E24" s="3" t="n">
        <v>46101</v>
      </c>
      <c r="F24" s="3" t="n">
        <v>46100</v>
      </c>
      <c r="G24" t="inlineStr">
        <is>
          <t>10:18:00</t>
        </is>
      </c>
      <c r="H24" t="n">
        <v>122736100</v>
      </c>
      <c r="I24" t="n">
        <v>120401800</v>
      </c>
      <c r="J24" t="n">
        <v>19800000</v>
      </c>
      <c r="K24" t="n">
        <v>21624300</v>
      </c>
      <c r="M24">
        <f>I24-(H24+J24-K24)- L24</f>
        <v/>
      </c>
      <c r="N24">
        <f>IF(M24=0,"Cuadrado",IF(M24&gt;0,"Faltante","Sobrante"))</f>
        <v/>
      </c>
      <c r="O24" t="inlineStr">
        <is>
          <t>El faltante $40.000 es cruzado con sobrante contabilizado el día 10/03/2026 ($40.000) el cual es reversado por la seccion el día 20/03/2026</t>
        </is>
      </c>
      <c r="P24" t="n">
        <v>80541675</v>
      </c>
    </row>
    <row r="25">
      <c r="A25" t="n">
        <v>725</v>
      </c>
      <c r="B25" t="n">
        <v>8090</v>
      </c>
      <c r="C25" t="inlineStr">
        <is>
          <t>BELLTECH</t>
        </is>
      </c>
      <c r="D25" t="inlineStr">
        <is>
          <t>BELLTECH</t>
        </is>
      </c>
      <c r="E25" s="3" t="n">
        <v>46101</v>
      </c>
      <c r="F25" s="3" t="n">
        <v>46100</v>
      </c>
      <c r="G25" t="inlineStr">
        <is>
          <t>15:42:00</t>
        </is>
      </c>
      <c r="H25" t="n">
        <v>123749700</v>
      </c>
      <c r="I25" t="n">
        <v>128864700</v>
      </c>
      <c r="J25" t="n">
        <v>18970000</v>
      </c>
      <c r="K25" t="n">
        <v>14450000</v>
      </c>
      <c r="M25">
        <f>I25-(H25+J25-K25)- L25</f>
        <v/>
      </c>
      <c r="N25">
        <f>IF(M25=0,"Cuadrado",IF(M25&gt;0,"Faltante","Sobrante"))</f>
        <v/>
      </c>
      <c r="O25" t="inlineStr">
        <is>
          <t>La diferencia es contabilizada por la Gerencia De Autoservicios y Efectivo de manera centralizada a la cuenta de faltantes 168710093 el 20/03/2026, esta diferencia ingresa a proceso de investigación en el área para identificar a que corresponde.</t>
        </is>
      </c>
      <c r="P25" t="n">
        <v>1093220078</v>
      </c>
    </row>
    <row r="26">
      <c r="A26" t="n">
        <v>915</v>
      </c>
      <c r="B26" t="n">
        <v>8313</v>
      </c>
      <c r="C26" t="inlineStr">
        <is>
          <t>BELLTECH</t>
        </is>
      </c>
      <c r="D26" t="inlineStr">
        <is>
          <t>BELLTECH</t>
        </is>
      </c>
      <c r="E26" s="3" t="n">
        <v>46101</v>
      </c>
      <c r="F26" s="3" t="n">
        <v>46100</v>
      </c>
      <c r="G26" t="inlineStr">
        <is>
          <t>09:13:00</t>
        </is>
      </c>
      <c r="H26" t="n">
        <v>198750700</v>
      </c>
      <c r="I26" t="n">
        <v>181725850</v>
      </c>
      <c r="J26" t="n">
        <v>1060000</v>
      </c>
      <c r="K26" t="n">
        <v>17677000</v>
      </c>
      <c r="M26">
        <f>I26-(H26+J26-K26)- L26</f>
        <v/>
      </c>
      <c r="N26">
        <f>IF(M26=0,"Cuadrado",IF(M26&gt;0,"Faltante","Sobrante"))</f>
        <v/>
      </c>
      <c r="O26" t="inlineStr">
        <is>
          <t>La diferencia es contabilizada por la Gerencia De Autoservicios y Efectivo de manera centralizada a la cuenta de sobrantes 279510020 el 20/03/2026</t>
        </is>
      </c>
      <c r="P26" t="n">
        <v>52279779</v>
      </c>
    </row>
    <row r="27">
      <c r="A27" t="n">
        <v>915</v>
      </c>
      <c r="B27" t="n">
        <v>8314</v>
      </c>
      <c r="C27" t="inlineStr">
        <is>
          <t>BELLTECH</t>
        </is>
      </c>
      <c r="D27" t="inlineStr">
        <is>
          <t>BELLTECH</t>
        </is>
      </c>
      <c r="E27" s="3" t="n">
        <v>46101</v>
      </c>
      <c r="F27" s="3" t="n">
        <v>46100</v>
      </c>
      <c r="G27" t="inlineStr">
        <is>
          <t>10:14:00</t>
        </is>
      </c>
      <c r="H27" t="n">
        <v>153238800</v>
      </c>
      <c r="I27" t="n">
        <v>123321600</v>
      </c>
      <c r="J27" t="n">
        <v>5240000</v>
      </c>
      <c r="K27" t="n">
        <v>33390000</v>
      </c>
      <c r="M27">
        <f>I27-(H27+J27-K27)- L27</f>
        <v/>
      </c>
      <c r="N27">
        <f>IF(M27=0,"Cuadrado",IF(M27&gt;0,"Faltante","Sobrante"))</f>
        <v/>
      </c>
      <c r="O27" t="inlineStr">
        <is>
          <t>La diferencia es contabilizada por la Gerencia De Autoservicios y Efectivo de manera centralizada a la cuenta de sobrantes 279510020 el 20/03/2026</t>
        </is>
      </c>
      <c r="P27" t="n">
        <v>52279779</v>
      </c>
    </row>
    <row r="28">
      <c r="A28" t="n">
        <v>15</v>
      </c>
      <c r="B28" t="n">
        <v>8576</v>
      </c>
      <c r="C28" t="inlineStr">
        <is>
          <t>BELLTECH</t>
        </is>
      </c>
      <c r="D28" t="inlineStr">
        <is>
          <t>BELLTECH</t>
        </is>
      </c>
      <c r="E28" s="3" t="n">
        <v>46101</v>
      </c>
      <c r="F28" s="3" t="n">
        <v>46100</v>
      </c>
      <c r="G28" t="inlineStr">
        <is>
          <t>15:46:00</t>
        </is>
      </c>
      <c r="H28" t="n">
        <v>131220350</v>
      </c>
      <c r="I28" t="n">
        <v>134780550</v>
      </c>
      <c r="J28" t="n">
        <v>22420000</v>
      </c>
      <c r="K28" t="n">
        <v>15459800</v>
      </c>
      <c r="M28">
        <f>I28-(H28+J28-K28)- L28</f>
        <v/>
      </c>
      <c r="N28">
        <f>IF(M28=0,"Cuadrado",IF(M28&gt;0,"Faltante","Sobrante"))</f>
        <v/>
      </c>
      <c r="O28" t="inlineStr">
        <is>
          <t>La diferencia es contabilizada por la Gerencia De Autoservicios y Efectivo de manera centralizada a la cuenta de sobrantes 279510020 el 20/03/2026</t>
        </is>
      </c>
      <c r="P28" t="n">
        <v>1037325417</v>
      </c>
    </row>
    <row r="29">
      <c r="A29" t="n">
        <v>15</v>
      </c>
      <c r="B29" t="n">
        <v>8577</v>
      </c>
      <c r="C29" t="inlineStr">
        <is>
          <t>BELLTECH</t>
        </is>
      </c>
      <c r="D29" t="inlineStr">
        <is>
          <t>BELLTECH</t>
        </is>
      </c>
      <c r="E29" s="3" t="n">
        <v>46101</v>
      </c>
      <c r="F29" s="3" t="n">
        <v>46100</v>
      </c>
      <c r="G29" t="inlineStr">
        <is>
          <t>15:27:00</t>
        </is>
      </c>
      <c r="H29" t="n">
        <v>177431300</v>
      </c>
      <c r="I29" t="n">
        <v>167174300</v>
      </c>
      <c r="J29" t="n">
        <v>22070000</v>
      </c>
      <c r="K29" t="n">
        <v>32322000</v>
      </c>
      <c r="M29">
        <f>I29-(H29+J29-K29)- L29</f>
        <v/>
      </c>
      <c r="N29">
        <f>IF(M29=0,"Cuadrado",IF(M29&gt;0,"Faltante","Sobrante"))</f>
        <v/>
      </c>
      <c r="O29" t="inlineStr">
        <is>
          <t>La diferencia es contabilizada por la Gerencia De Autoservicios y Efectivo de manera centralizada a la cuenta de sobrantes 279510020 el 20/03/2026</t>
        </is>
      </c>
      <c r="P29" t="n">
        <v>1037325417</v>
      </c>
    </row>
    <row r="30">
      <c r="A30" t="n">
        <v>15</v>
      </c>
      <c r="B30" t="n">
        <v>8578</v>
      </c>
      <c r="C30" t="inlineStr">
        <is>
          <t>BELLTECH</t>
        </is>
      </c>
      <c r="D30" t="inlineStr">
        <is>
          <t>BELLTECH</t>
        </is>
      </c>
      <c r="E30" s="3" t="n">
        <v>46101</v>
      </c>
      <c r="F30" s="3" t="n">
        <v>46100</v>
      </c>
      <c r="G30" t="inlineStr">
        <is>
          <t>15:10:00</t>
        </is>
      </c>
      <c r="H30" t="n">
        <v>163019200</v>
      </c>
      <c r="I30" t="n">
        <v>152613900</v>
      </c>
      <c r="J30" t="n">
        <v>26400000</v>
      </c>
      <c r="K30" t="n">
        <v>38097000</v>
      </c>
      <c r="M30">
        <f>I30-(H30+J30-K30)- L30</f>
        <v/>
      </c>
      <c r="N30">
        <f>IF(M30=0,"Cuadrado",IF(M30&gt;0,"Faltante","Sobrante"))</f>
        <v/>
      </c>
      <c r="O30" t="inlineStr">
        <is>
          <t>El faltante $1.291.700 es cruzado con sobrante contabilizado el día 13/03/2026 ($1.291.700) el cual es reversado por la seccion el día 20/03/2026</t>
        </is>
      </c>
      <c r="P30" t="n">
        <v>1037325417</v>
      </c>
    </row>
    <row r="31">
      <c r="A31" t="n">
        <v>78</v>
      </c>
      <c r="B31" t="n">
        <v>8594</v>
      </c>
      <c r="C31" t="inlineStr">
        <is>
          <t>BELLTECH</t>
        </is>
      </c>
      <c r="D31" t="inlineStr">
        <is>
          <t>BELLTECH</t>
        </is>
      </c>
      <c r="E31" s="3" t="n">
        <v>46101</v>
      </c>
      <c r="F31" s="3" t="n">
        <v>46100</v>
      </c>
      <c r="G31" t="inlineStr">
        <is>
          <t>09:28:00</t>
        </is>
      </c>
      <c r="H31" t="n">
        <v>208680200</v>
      </c>
      <c r="I31" t="n">
        <v>203040250</v>
      </c>
      <c r="J31" t="n">
        <v>2160000</v>
      </c>
      <c r="K31" t="n">
        <v>7800000</v>
      </c>
      <c r="M31">
        <f>I31-(H31+J31-K31)- L31</f>
        <v/>
      </c>
      <c r="N31">
        <f>IF(M31=0,"Cuadrado",IF(M31&gt;0,"Faltante","Sobrante"))</f>
        <v/>
      </c>
      <c r="O31" t="inlineStr">
        <is>
          <t>ACLARAR DIFERENCIA Y REPETIR EL ARQUEO</t>
        </is>
      </c>
      <c r="P31" t="n">
        <v>91284848</v>
      </c>
    </row>
    <row r="32">
      <c r="A32" t="n">
        <v>4</v>
      </c>
      <c r="B32" t="n">
        <v>8630</v>
      </c>
      <c r="C32" t="inlineStr">
        <is>
          <t>BELLTECH</t>
        </is>
      </c>
      <c r="D32" t="inlineStr">
        <is>
          <t>BELLTECH</t>
        </is>
      </c>
      <c r="E32" s="3" t="n">
        <v>46101</v>
      </c>
      <c r="F32" s="3" t="n">
        <v>46100</v>
      </c>
      <c r="G32" t="inlineStr">
        <is>
          <t>08:53:00</t>
        </is>
      </c>
      <c r="H32" t="n">
        <v>86357000</v>
      </c>
      <c r="I32" t="n">
        <v>84098000</v>
      </c>
      <c r="J32" t="n">
        <v>1990000</v>
      </c>
      <c r="K32" t="n">
        <v>3750000</v>
      </c>
      <c r="M32">
        <f>I32-(H32+J32-K32)- L32</f>
        <v/>
      </c>
      <c r="N32">
        <f>IF(M32=0,"Cuadrado",IF(M32&gt;0,"Faltante","Sobrante"))</f>
        <v/>
      </c>
      <c r="O32" t="inlineStr">
        <is>
          <t>La diferencia es contabilizada por la Gerencia De Autoservicios y Efectivo de manera centralizada a la cuenta de sobrantes 279510020 el 20/03/2026</t>
        </is>
      </c>
      <c r="P32" t="n">
        <v>1152186094</v>
      </c>
    </row>
    <row r="33">
      <c r="A33" t="n">
        <v>4</v>
      </c>
      <c r="B33" t="n">
        <v>8631</v>
      </c>
      <c r="C33" t="inlineStr">
        <is>
          <t>BELLTECH</t>
        </is>
      </c>
      <c r="D33" t="inlineStr">
        <is>
          <t>BELLTECH</t>
        </is>
      </c>
      <c r="E33" s="3" t="n">
        <v>46101</v>
      </c>
      <c r="F33" s="3" t="n">
        <v>46100</v>
      </c>
      <c r="G33" t="inlineStr">
        <is>
          <t>10:10:00</t>
        </is>
      </c>
      <c r="H33" t="n">
        <v>213311100</v>
      </c>
      <c r="I33" t="n">
        <v>213322100</v>
      </c>
      <c r="J33" t="n">
        <v>8710000</v>
      </c>
      <c r="K33" t="n">
        <v>8670000</v>
      </c>
      <c r="M33">
        <f>I33-(H33+J33-K33)- L33</f>
        <v/>
      </c>
      <c r="N33">
        <f>IF(M33=0,"Cuadrado",IF(M33&gt;0,"Faltante","Sobrante"))</f>
        <v/>
      </c>
      <c r="O33" t="inlineStr">
        <is>
          <t>La diferencia es contabilizada por la Gerencia De Autoservicios y Efectivo de manera centralizada a la cuenta de sobrantes 279510020 el 20/03/2026</t>
        </is>
      </c>
      <c r="P33" t="n">
        <v>1152186094</v>
      </c>
    </row>
    <row r="34">
      <c r="A34" t="n">
        <v>779</v>
      </c>
      <c r="B34" t="n">
        <v>8684</v>
      </c>
      <c r="C34" t="inlineStr">
        <is>
          <t>DIEBOLD</t>
        </is>
      </c>
      <c r="D34" t="inlineStr">
        <is>
          <t>BELLTECH</t>
        </is>
      </c>
      <c r="E34" s="3" t="n">
        <v>46101</v>
      </c>
      <c r="F34" s="3" t="n">
        <v>46100</v>
      </c>
      <c r="G34" t="inlineStr">
        <is>
          <t>10:51:00</t>
        </is>
      </c>
      <c r="H34" t="n">
        <v>31301450</v>
      </c>
      <c r="I34" t="n">
        <v>72937950</v>
      </c>
      <c r="J34" t="n">
        <v>8020000</v>
      </c>
      <c r="K34" t="n">
        <v>30951000</v>
      </c>
      <c r="M34">
        <f>I34-(H34+J34-K34)- L34</f>
        <v/>
      </c>
      <c r="N34">
        <f>IF(M34=0,"Cuadrado",IF(M34&gt;0,"Faltante","Sobrante"))</f>
        <v/>
      </c>
      <c r="O34" t="inlineStr">
        <is>
          <t>La diferencia es contabilizada por la Gerencia De Autoservicios y Efectivo de manera centralizada a la cuenta de sobrantes 279510020 el 20/03/2026</t>
        </is>
      </c>
      <c r="P34" t="n">
        <v>1082858126</v>
      </c>
    </row>
    <row r="35">
      <c r="A35" t="n">
        <v>779</v>
      </c>
      <c r="B35" t="n">
        <v>8685</v>
      </c>
      <c r="C35" t="inlineStr">
        <is>
          <t>BELLTECH</t>
        </is>
      </c>
      <c r="D35" t="inlineStr">
        <is>
          <t>BELLTECH</t>
        </is>
      </c>
      <c r="E35" s="3" t="n">
        <v>46101</v>
      </c>
      <c r="F35" s="3" t="n">
        <v>46100</v>
      </c>
      <c r="G35" t="inlineStr">
        <is>
          <t>10:38:00</t>
        </is>
      </c>
      <c r="H35" t="n">
        <v>49377150</v>
      </c>
      <c r="I35" t="n">
        <v>110910150</v>
      </c>
      <c r="J35" t="n">
        <v>1000000</v>
      </c>
      <c r="K35" t="n">
        <v>53830000</v>
      </c>
      <c r="M35">
        <f>I35-(H35+J35-K35)- L35</f>
        <v/>
      </c>
      <c r="N35">
        <f>IF(M35=0,"Cuadrado",IF(M35&gt;0,"Faltante","Sobrante"))</f>
        <v/>
      </c>
      <c r="O35" t="inlineStr">
        <is>
          <t>La diferencia es contabilizada por la Gerencia De Autoservicios y Efectivo de manera centralizada a la cuenta de sobrantes 279510020 el 20/03/2026</t>
        </is>
      </c>
      <c r="P35" t="n">
        <v>1082858126</v>
      </c>
    </row>
    <row r="36">
      <c r="A36" t="n">
        <v>85</v>
      </c>
      <c r="B36" t="n">
        <v>8974</v>
      </c>
      <c r="C36" t="inlineStr">
        <is>
          <t>BELLTECH</t>
        </is>
      </c>
      <c r="D36" t="inlineStr">
        <is>
          <t>BELLTECH</t>
        </is>
      </c>
      <c r="E36" s="3" t="n">
        <v>46101</v>
      </c>
      <c r="F36" s="3" t="n">
        <v>46100</v>
      </c>
      <c r="G36" t="inlineStr">
        <is>
          <t>08:58:00</t>
        </is>
      </c>
      <c r="H36" t="n">
        <v>228658050</v>
      </c>
      <c r="I36" t="n">
        <v>224908000</v>
      </c>
      <c r="J36" t="n">
        <v>0</v>
      </c>
      <c r="K36" t="n">
        <v>4900000</v>
      </c>
      <c r="M36">
        <f>I36-(H36+J36-K36)- L36</f>
        <v/>
      </c>
      <c r="N36">
        <f>IF(M36=0,"Cuadrado",IF(M36&gt;0,"Faltante","Sobrante"))</f>
        <v/>
      </c>
      <c r="O36" t="inlineStr">
        <is>
          <t>ACLARAR DIFERENCIA Y REPETIR EL ARQUEO</t>
        </is>
      </c>
      <c r="P36" t="n">
        <v>1047413788</v>
      </c>
    </row>
    <row r="37">
      <c r="A37" t="n">
        <v>20</v>
      </c>
      <c r="B37" t="n">
        <v>9204</v>
      </c>
      <c r="C37" t="inlineStr">
        <is>
          <t>BELLTECH</t>
        </is>
      </c>
      <c r="D37" t="inlineStr">
        <is>
          <t>BELLTECH</t>
        </is>
      </c>
      <c r="E37" s="3" t="n">
        <v>46101</v>
      </c>
      <c r="F37" s="3" t="n">
        <v>46100</v>
      </c>
      <c r="G37" t="inlineStr">
        <is>
          <t>08:13:00</t>
        </is>
      </c>
      <c r="H37" t="n">
        <v>86684400</v>
      </c>
      <c r="I37" t="n">
        <v>88794100</v>
      </c>
      <c r="J37" t="n">
        <v>7630000</v>
      </c>
      <c r="K37" t="n">
        <v>6000000</v>
      </c>
      <c r="M37">
        <f>I37-(H37+J37-K37)- L37</f>
        <v/>
      </c>
      <c r="N37">
        <f>IF(M37=0,"Cuadrado",IF(M37&gt;0,"Faltante","Sobrante"))</f>
        <v/>
      </c>
      <c r="O37" t="inlineStr">
        <is>
          <t>La diferencia es contabilizada por la Gerencia De Autoservicios y Efectivo de manera centralizada a la cuenta de faltantes 168710093 el 20/03/2026, esta diferencia ingresa a proceso de investigación en el área para identificar a que corresponde.</t>
        </is>
      </c>
      <c r="P37" t="n">
        <v>91232943</v>
      </c>
    </row>
    <row r="38">
      <c r="A38" t="n">
        <v>499</v>
      </c>
      <c r="B38" t="n">
        <v>9810</v>
      </c>
      <c r="C38" t="inlineStr">
        <is>
          <t>BELLTECH</t>
        </is>
      </c>
      <c r="D38" t="inlineStr">
        <is>
          <t>BELLTECH</t>
        </is>
      </c>
      <c r="E38" s="3" t="n">
        <v>46101</v>
      </c>
      <c r="F38" s="3" t="n">
        <v>46100</v>
      </c>
      <c r="G38" t="inlineStr">
        <is>
          <t>16:34:00</t>
        </is>
      </c>
      <c r="H38" t="n">
        <v>326694250</v>
      </c>
      <c r="I38" t="n">
        <v>140825550</v>
      </c>
      <c r="J38" t="n">
        <v>8030000</v>
      </c>
      <c r="K38" t="n">
        <v>191714000</v>
      </c>
      <c r="M38">
        <f>I38-(H38+J38-K38)- L38</f>
        <v/>
      </c>
      <c r="N38">
        <f>IF(M38=0,"Cuadrado",IF(M38&gt;0,"Faltante","Sobrante"))</f>
        <v/>
      </c>
      <c r="O38" t="inlineStr">
        <is>
          <t>La diferencia es contabilizada por la Gerencia De Autoservicios y Efectivo de manera centralizada a la cuenta de sobrantes 279510020 el 20/03/2026</t>
        </is>
      </c>
      <c r="P38" t="n">
        <v>71337474</v>
      </c>
    </row>
    <row r="39">
      <c r="A39" t="n">
        <v>57</v>
      </c>
      <c r="B39" t="n">
        <v>9963</v>
      </c>
      <c r="C39" t="inlineStr">
        <is>
          <t>BELLTECH</t>
        </is>
      </c>
      <c r="D39" t="inlineStr">
        <is>
          <t>BELLTECH</t>
        </is>
      </c>
      <c r="E39" s="3" t="n">
        <v>46101</v>
      </c>
      <c r="F39" s="3" t="n">
        <v>46100</v>
      </c>
      <c r="G39" t="inlineStr">
        <is>
          <t>14:28:00</t>
        </is>
      </c>
      <c r="H39" t="n">
        <v>174166550</v>
      </c>
      <c r="I39" t="n">
        <v>146376550</v>
      </c>
      <c r="J39" t="n">
        <v>13030000</v>
      </c>
      <c r="K39" t="n">
        <v>45280000</v>
      </c>
      <c r="M39">
        <f>I39-(H39+J39-K39)- L39</f>
        <v/>
      </c>
      <c r="N39">
        <f>IF(M39=0,"Cuadrado",IF(M39&gt;0,"Faltante","Sobrante"))</f>
        <v/>
      </c>
      <c r="O39" t="inlineStr">
        <is>
          <t>El faltante $1.730.000 es cruzado con sobrante contabilizado el día 10/03/2026 ($1.730.000) el cual es reversado por la seccion el día 20/03/2026</t>
        </is>
      </c>
      <c r="P39" t="n">
        <v>1121854752</v>
      </c>
    </row>
    <row r="40">
      <c r="A40" t="n">
        <v>292</v>
      </c>
      <c r="B40" t="n">
        <v>278</v>
      </c>
      <c r="C40" t="inlineStr">
        <is>
          <t>BELLTECH</t>
        </is>
      </c>
      <c r="D40" t="inlineStr">
        <is>
          <t>BELLTECH</t>
        </is>
      </c>
      <c r="E40" s="3" t="n">
        <v>46101</v>
      </c>
      <c r="F40" s="3" t="n">
        <v>46100</v>
      </c>
      <c r="G40" t="inlineStr">
        <is>
          <t>09:07:00</t>
        </is>
      </c>
      <c r="H40" t="n">
        <v>46133300</v>
      </c>
      <c r="I40" t="n">
        <v>54233300</v>
      </c>
      <c r="J40" t="n">
        <v>10230000</v>
      </c>
      <c r="K40" t="n">
        <v>2130000</v>
      </c>
      <c r="M40">
        <f>I40-(H40+J40-K40)- L40</f>
        <v/>
      </c>
      <c r="N40">
        <f>IF(M40=0,"Cuadrado",IF(M40&gt;0,"Faltante","Sobrante"))</f>
        <v/>
      </c>
      <c r="O40" t="inlineStr">
        <is>
          <t>Cajero cuadrado, sin observación por parte de la sucursal</t>
        </is>
      </c>
      <c r="P40" t="n">
        <v>44006127</v>
      </c>
    </row>
    <row r="41">
      <c r="A41" t="n">
        <v>287</v>
      </c>
      <c r="B41" t="n">
        <v>907</v>
      </c>
      <c r="C41" t="inlineStr">
        <is>
          <t>DIEBOLD</t>
        </is>
      </c>
      <c r="D41" t="inlineStr">
        <is>
          <t>DIEBOLD</t>
        </is>
      </c>
      <c r="E41" s="3" t="n">
        <v>46101</v>
      </c>
      <c r="F41" s="3" t="n">
        <v>46100</v>
      </c>
      <c r="G41" t="inlineStr">
        <is>
          <t>07:47:00</t>
        </is>
      </c>
      <c r="H41" t="n">
        <v>58633650</v>
      </c>
      <c r="I41" t="n">
        <v>68213650</v>
      </c>
      <c r="J41" t="n">
        <v>9580000</v>
      </c>
      <c r="K41" t="n">
        <v>0</v>
      </c>
      <c r="M41">
        <f>I41-(H41+J41-K41)- L41</f>
        <v/>
      </c>
      <c r="N41">
        <f>IF(M41=0,"Cuadrado",IF(M41&gt;0,"Faltante","Sobrante"))</f>
        <v/>
      </c>
      <c r="O41" t="inlineStr">
        <is>
          <t>Cajero cuadrado, sin observación por parte de la sucursal</t>
        </is>
      </c>
      <c r="P41" t="n">
        <v>13566403</v>
      </c>
    </row>
    <row r="42">
      <c r="A42" t="n">
        <v>73</v>
      </c>
      <c r="B42" t="n">
        <v>5108</v>
      </c>
      <c r="C42" t="inlineStr">
        <is>
          <t>BELLTECH</t>
        </is>
      </c>
      <c r="D42" t="inlineStr">
        <is>
          <t>BELLTECH</t>
        </is>
      </c>
      <c r="E42" s="3" t="n">
        <v>46101</v>
      </c>
      <c r="F42" s="3" t="n">
        <v>46100</v>
      </c>
      <c r="G42" t="inlineStr">
        <is>
          <t>08:45:29</t>
        </is>
      </c>
      <c r="H42" t="n">
        <v>93824500</v>
      </c>
      <c r="I42" t="n">
        <v>93824500</v>
      </c>
      <c r="J42" t="n">
        <v>0</v>
      </c>
      <c r="K42" t="n">
        <v>0</v>
      </c>
      <c r="M42">
        <f>I42-(H42+J42-K42)- L42</f>
        <v/>
      </c>
      <c r="N42">
        <f>IF(M42=0,"Cuadrado",IF(M42&gt;0,"Faltante","Sobrante"))</f>
        <v/>
      </c>
      <c r="O42" t="inlineStr">
        <is>
          <t>Cajero cuadrado, sin observación por parte de la sucursal</t>
        </is>
      </c>
      <c r="P42" t="n">
        <v>42157515</v>
      </c>
    </row>
    <row r="43">
      <c r="A43" t="n">
        <v>231</v>
      </c>
      <c r="B43" t="n">
        <v>6243</v>
      </c>
      <c r="C43" t="inlineStr">
        <is>
          <t>BELLTECH</t>
        </is>
      </c>
      <c r="D43" t="inlineStr">
        <is>
          <t>BELLTECH</t>
        </is>
      </c>
      <c r="E43" s="3" t="n">
        <v>46101</v>
      </c>
      <c r="F43" s="3" t="n">
        <v>46100</v>
      </c>
      <c r="G43" t="inlineStr">
        <is>
          <t>08:11:00</t>
        </is>
      </c>
      <c r="H43" t="n">
        <v>180188050</v>
      </c>
      <c r="I43" t="n">
        <v>180188050</v>
      </c>
      <c r="J43" t="n">
        <v>0</v>
      </c>
      <c r="K43" t="n">
        <v>0</v>
      </c>
      <c r="M43">
        <f>I43-(H43+J43-K43)- L43</f>
        <v/>
      </c>
      <c r="N43">
        <f>IF(M43=0,"Cuadrado",IF(M43&gt;0,"Faltante","Sobrante"))</f>
        <v/>
      </c>
      <c r="O43" t="inlineStr">
        <is>
          <t>Cajero cuadrado, sin observación por parte de la sucursal</t>
        </is>
      </c>
      <c r="P43" t="n">
        <v>52979634</v>
      </c>
    </row>
    <row r="44">
      <c r="A44" t="n">
        <v>78</v>
      </c>
      <c r="B44" t="n">
        <v>6246</v>
      </c>
      <c r="C44" t="inlineStr">
        <is>
          <t>BELLTECH</t>
        </is>
      </c>
      <c r="D44" t="inlineStr">
        <is>
          <t>BELLTECH</t>
        </is>
      </c>
      <c r="E44" s="3" t="n">
        <v>46101</v>
      </c>
      <c r="F44" s="3" t="n">
        <v>46100</v>
      </c>
      <c r="G44" t="inlineStr">
        <is>
          <t>08:38:00</t>
        </is>
      </c>
      <c r="H44" t="n">
        <v>189026700</v>
      </c>
      <c r="I44" t="n">
        <v>189086700</v>
      </c>
      <c r="J44" t="n">
        <v>3940000</v>
      </c>
      <c r="K44" t="n">
        <v>3880000</v>
      </c>
      <c r="M44">
        <f>I44-(H44+J44-K44)- L44</f>
        <v/>
      </c>
      <c r="N44">
        <f>IF(M44=0,"Cuadrado",IF(M44&gt;0,"Faltante","Sobrante"))</f>
        <v/>
      </c>
      <c r="O44" t="inlineStr">
        <is>
          <t>El faltante $2.250.000 es cruzado con sobrante contabilizado el día 19/03/2026 ($2.250.000) el cual es reversado por la seccion el día 20/03/2026</t>
        </is>
      </c>
      <c r="P44" t="n">
        <v>91284848</v>
      </c>
    </row>
    <row r="45">
      <c r="A45" t="n">
        <v>20</v>
      </c>
      <c r="B45" t="n">
        <v>6839</v>
      </c>
      <c r="C45" t="inlineStr">
        <is>
          <t>BELLTECH</t>
        </is>
      </c>
      <c r="D45" t="inlineStr">
        <is>
          <t>BELLTECH</t>
        </is>
      </c>
      <c r="E45" s="3" t="n">
        <v>46101</v>
      </c>
      <c r="F45" s="3" t="n">
        <v>46100</v>
      </c>
      <c r="G45" t="inlineStr">
        <is>
          <t>08:02:00</t>
        </is>
      </c>
      <c r="H45" t="n">
        <v>81925150</v>
      </c>
      <c r="I45" t="n">
        <v>64825150</v>
      </c>
      <c r="J45" t="n">
        <v>1900000</v>
      </c>
      <c r="K45" t="n">
        <v>19000000</v>
      </c>
      <c r="M45">
        <f>I45-(H45+J45-K45)- L45</f>
        <v/>
      </c>
      <c r="N45">
        <f>IF(M45=0,"Cuadrado",IF(M45&gt;0,"Faltante","Sobrante"))</f>
        <v/>
      </c>
      <c r="O45" t="inlineStr">
        <is>
          <t>El faltante $3.560.000 es cruzado con sobrante contabilizado el día 17/03/2026 ($2.280.000), el día 19/03/2026 ($1.280.000) el cual es reversado por la seccion el día 20/03/2026</t>
        </is>
      </c>
      <c r="P45" t="n">
        <v>91232943</v>
      </c>
    </row>
    <row r="46">
      <c r="A46" t="n">
        <v>20</v>
      </c>
      <c r="B46" t="n">
        <v>8927</v>
      </c>
      <c r="C46" t="inlineStr">
        <is>
          <t>BELLTECH</t>
        </is>
      </c>
      <c r="D46" t="inlineStr">
        <is>
          <t>BELLTECH</t>
        </is>
      </c>
      <c r="E46" s="3" t="n">
        <v>46101</v>
      </c>
      <c r="F46" s="3" t="n">
        <v>46100</v>
      </c>
      <c r="G46" t="inlineStr">
        <is>
          <t>08:23:00</t>
        </is>
      </c>
      <c r="H46" t="n">
        <v>31964800</v>
      </c>
      <c r="I46" t="n">
        <v>40384800</v>
      </c>
      <c r="J46" t="n">
        <v>9570000</v>
      </c>
      <c r="K46" t="n">
        <v>1150000</v>
      </c>
      <c r="M46">
        <f>I46-(H46+J46-K46)- L46</f>
        <v/>
      </c>
      <c r="N46">
        <f>IF(M46=0,"Cuadrado",IF(M46&gt;0,"Faltante","Sobrante"))</f>
        <v/>
      </c>
      <c r="O46" t="inlineStr">
        <is>
          <t>Cajero cuadrado, sin observación por parte de la sucursal</t>
        </is>
      </c>
      <c r="P46" t="n">
        <v>91232943</v>
      </c>
    </row>
    <row r="47">
      <c r="A47" t="n">
        <v>499</v>
      </c>
      <c r="B47" t="n">
        <v>172</v>
      </c>
      <c r="C47" t="inlineStr">
        <is>
          <t>DIEBOLD</t>
        </is>
      </c>
      <c r="D47" t="inlineStr">
        <is>
          <t>DIEBOLD</t>
        </is>
      </c>
      <c r="E47" s="3" t="n">
        <v>46100</v>
      </c>
      <c r="F47" s="3" t="n">
        <v>46099</v>
      </c>
      <c r="G47" t="inlineStr">
        <is>
          <t>12:06:00</t>
        </is>
      </c>
      <c r="H47" t="n">
        <v>80057600</v>
      </c>
      <c r="I47" t="n">
        <v>54616600</v>
      </c>
      <c r="J47" t="n">
        <v>3470000</v>
      </c>
      <c r="K47" t="n">
        <v>9900000</v>
      </c>
      <c r="M47">
        <f>I47-(H47+J47-K47)- L47</f>
        <v/>
      </c>
      <c r="N47">
        <f>IF(M47=0,"Cuadrado",IF(M47&gt;0,"Faltante","Sobrante"))</f>
        <v/>
      </c>
      <c r="O47" t="inlineStr">
        <is>
          <t>La diferencia es contabilizada por la Gerencia De Autoservicios y Efectivo de manera centralizada a la cuenta de sobrantes 279510020 el 19/03/2026</t>
        </is>
      </c>
      <c r="P47" t="n">
        <v>71337474</v>
      </c>
    </row>
    <row r="48">
      <c r="A48" t="n">
        <v>4</v>
      </c>
      <c r="B48" t="n">
        <v>316</v>
      </c>
      <c r="C48" t="inlineStr">
        <is>
          <t>BELLTECH</t>
        </is>
      </c>
      <c r="D48" t="inlineStr">
        <is>
          <t>BELLTECH</t>
        </is>
      </c>
      <c r="E48" s="3" t="n">
        <v>46100</v>
      </c>
      <c r="F48" s="3" t="n">
        <v>46099</v>
      </c>
      <c r="G48" t="inlineStr">
        <is>
          <t>11:41:00</t>
        </is>
      </c>
      <c r="H48" t="n">
        <v>63055750</v>
      </c>
      <c r="I48" t="n">
        <v>72876700</v>
      </c>
      <c r="J48" t="n">
        <v>26370000</v>
      </c>
      <c r="K48" t="n">
        <v>12223000</v>
      </c>
      <c r="M48">
        <f>I48-(H48+J48-K48)- L48</f>
        <v/>
      </c>
      <c r="N48">
        <f>IF(M48=0,"Cuadrado",IF(M48&gt;0,"Faltante","Sobrante"))</f>
        <v/>
      </c>
      <c r="O48" t="inlineStr">
        <is>
          <t>La diferencia es contabilizada por la Gerencia De Autoservicios y Efectivo de manera centralizada a la cuenta de sobrantes 279510020 el 19/03/2026</t>
        </is>
      </c>
      <c r="P48" t="n">
        <v>1152186094</v>
      </c>
    </row>
    <row r="49">
      <c r="A49" t="n">
        <v>306</v>
      </c>
      <c r="B49" t="n">
        <v>428</v>
      </c>
      <c r="C49" t="inlineStr">
        <is>
          <t>DIEBOLD</t>
        </is>
      </c>
      <c r="D49" t="inlineStr">
        <is>
          <t>DIEBOLD</t>
        </is>
      </c>
      <c r="E49" s="3" t="n">
        <v>46100</v>
      </c>
      <c r="F49" s="3" t="n">
        <v>46099</v>
      </c>
      <c r="G49" t="inlineStr">
        <is>
          <t>09:05:00</t>
        </is>
      </c>
      <c r="H49" t="n">
        <v>110931050</v>
      </c>
      <c r="I49" t="n">
        <v>219230050</v>
      </c>
      <c r="J49" t="inlineStr">
        <is>
          <t xml:space="preserve"> -   </t>
        </is>
      </c>
      <c r="K49" t="n">
        <v>1920000</v>
      </c>
      <c r="M49">
        <f>I49-(H49+J49-K49)- L49</f>
        <v/>
      </c>
      <c r="N49">
        <f>IF(M49=0,"Cuadrado",IF(M49&gt;0,"Faltante","Sobrante"))</f>
        <v/>
      </c>
      <c r="O49" t="inlineStr">
        <is>
          <t>ACLARAR DIFERENCIA Y REPETIR EL ARQUEO</t>
        </is>
      </c>
      <c r="P49" t="n">
        <v>1096233458</v>
      </c>
    </row>
    <row r="50">
      <c r="A50" t="n">
        <v>795</v>
      </c>
      <c r="B50" t="n">
        <v>1027</v>
      </c>
      <c r="C50" t="inlineStr">
        <is>
          <t>BELLTECH</t>
        </is>
      </c>
      <c r="D50" t="inlineStr">
        <is>
          <t>BELLTECH</t>
        </is>
      </c>
      <c r="E50" s="3" t="n">
        <v>46100</v>
      </c>
      <c r="F50" s="3" t="n">
        <v>46099</v>
      </c>
      <c r="G50" t="inlineStr">
        <is>
          <t>09:54:00</t>
        </is>
      </c>
      <c r="H50" t="n">
        <v>249562850</v>
      </c>
      <c r="I50" t="n">
        <v>295487450</v>
      </c>
      <c r="J50" t="n">
        <v>2680000</v>
      </c>
      <c r="K50" t="n">
        <v>6755250</v>
      </c>
      <c r="M50">
        <f>I50-(H50+J50-K50)- L50</f>
        <v/>
      </c>
      <c r="N50">
        <f>IF(M50=0,"Cuadrado",IF(M50&gt;0,"Faltante","Sobrante"))</f>
        <v/>
      </c>
      <c r="O50" t="inlineStr">
        <is>
          <t>ACLARAR DIFERENCIA Y REPETIR EL ARQUEO</t>
        </is>
      </c>
      <c r="P50" t="n">
        <v>91274094</v>
      </c>
    </row>
    <row r="51">
      <c r="A51" t="n">
        <v>795</v>
      </c>
      <c r="B51" t="n">
        <v>1028</v>
      </c>
      <c r="C51" t="inlineStr">
        <is>
          <t>BELLTECH</t>
        </is>
      </c>
      <c r="D51" t="inlineStr">
        <is>
          <t>BELLTECH</t>
        </is>
      </c>
      <c r="E51" s="3" t="n">
        <v>46100</v>
      </c>
      <c r="F51" s="3" t="n">
        <v>46099</v>
      </c>
      <c r="G51" t="inlineStr">
        <is>
          <t>08:36:00</t>
        </is>
      </c>
      <c r="H51" t="n">
        <v>194488700</v>
      </c>
      <c r="I51" t="n">
        <v>195274500</v>
      </c>
      <c r="J51" t="inlineStr">
        <is>
          <t xml:space="preserve"> -   </t>
        </is>
      </c>
      <c r="K51" t="inlineStr">
        <is>
          <t xml:space="preserve"> -   </t>
        </is>
      </c>
      <c r="L51" t="n">
        <v>785800</v>
      </c>
      <c r="M51">
        <f>I51-(H51+J51-K51)- L51</f>
        <v/>
      </c>
      <c r="N51">
        <f>IF(M51=0,"Cuadrado",IF(M51&gt;0,"Faltante","Sobrante"))</f>
        <v/>
      </c>
      <c r="O51" t="inlineStr">
        <is>
          <t>El faltante $785.800 es cruzado con sobrante contabilizado el día 12/03/2026 el cual es reversado por la seccion el día 19/03/2026</t>
        </is>
      </c>
      <c r="P51" t="n">
        <v>91274094</v>
      </c>
    </row>
    <row r="52">
      <c r="A52" t="n">
        <v>141</v>
      </c>
      <c r="B52" t="n">
        <v>1541</v>
      </c>
      <c r="C52" t="inlineStr">
        <is>
          <t>BELLTECH</t>
        </is>
      </c>
      <c r="D52" t="inlineStr">
        <is>
          <t>BELLTECH</t>
        </is>
      </c>
      <c r="E52" s="3" t="n">
        <v>46100</v>
      </c>
      <c r="F52" s="3" t="n">
        <v>46099</v>
      </c>
      <c r="G52" t="inlineStr">
        <is>
          <t>09:22:00</t>
        </is>
      </c>
      <c r="H52" t="n">
        <v>100944150</v>
      </c>
      <c r="I52" t="n">
        <v>98841650</v>
      </c>
      <c r="J52" t="n">
        <v>210000</v>
      </c>
      <c r="K52" t="n">
        <v>1609000</v>
      </c>
      <c r="L52" t="n">
        <v>-678500</v>
      </c>
      <c r="M52">
        <f>I52-(H52+J52-K52)- L52</f>
        <v/>
      </c>
      <c r="N52">
        <f>IF(M52=0,"Cuadrado",IF(M52&gt;0,"Faltante","Sobrante"))</f>
        <v/>
      </c>
      <c r="O52" t="inlineStr">
        <is>
          <t>La diferencia es contabilizada por la Gerencia De Autoservicios y Efectivo de manera centralizada a la cuenta de sobrantes 279510020 el 19/03/2026</t>
        </is>
      </c>
      <c r="P52" t="n">
        <v>11225738</v>
      </c>
    </row>
    <row r="53">
      <c r="A53" t="n">
        <v>108</v>
      </c>
      <c r="B53" t="n">
        <v>2254</v>
      </c>
      <c r="C53" t="inlineStr">
        <is>
          <t>DIEBOLD</t>
        </is>
      </c>
      <c r="D53" t="inlineStr">
        <is>
          <t>DIEBOLD</t>
        </is>
      </c>
      <c r="E53" s="3" t="n">
        <v>46100</v>
      </c>
      <c r="F53" s="3" t="n">
        <v>46099</v>
      </c>
      <c r="G53" t="inlineStr">
        <is>
          <t>09:57:00</t>
        </is>
      </c>
      <c r="H53" t="n">
        <v>217280650</v>
      </c>
      <c r="I53" t="n">
        <v>215640100</v>
      </c>
      <c r="J53" t="n">
        <v>4170000</v>
      </c>
      <c r="K53" t="inlineStr">
        <is>
          <t xml:space="preserve"> -   </t>
        </is>
      </c>
      <c r="M53">
        <f>I53-(H53+J53-K53)- L53</f>
        <v/>
      </c>
      <c r="N53">
        <f>IF(M53=0,"Cuadrado",IF(M53&gt;0,"Faltante","Sobrante"))</f>
        <v/>
      </c>
      <c r="O53" t="inlineStr">
        <is>
          <t>La diferencia es contabilizada por la Gerencia De Autoservicios y Efectivo de manera centralizada a la cuenta de sobrantes 279510020 el 19/03/2026</t>
        </is>
      </c>
      <c r="P53" t="n">
        <v>80206469</v>
      </c>
    </row>
    <row r="54">
      <c r="A54" t="n">
        <v>322</v>
      </c>
      <c r="B54" t="n">
        <v>2444</v>
      </c>
      <c r="C54" t="inlineStr">
        <is>
          <t>BELLTECH</t>
        </is>
      </c>
      <c r="D54" t="inlineStr">
        <is>
          <t>BELLTECH</t>
        </is>
      </c>
      <c r="E54" s="3" t="n">
        <v>46100</v>
      </c>
      <c r="F54" s="3" t="n">
        <v>46099</v>
      </c>
      <c r="G54" t="inlineStr">
        <is>
          <t>15:12:00</t>
        </is>
      </c>
      <c r="H54" t="n">
        <v>218389800</v>
      </c>
      <c r="I54" t="n">
        <v>140254850</v>
      </c>
      <c r="J54" t="n">
        <v>27210000</v>
      </c>
      <c r="K54" t="n">
        <v>44191450</v>
      </c>
      <c r="M54">
        <f>I54-(H54+J54-K54)- L54</f>
        <v/>
      </c>
      <c r="N54">
        <f>IF(M54=0,"Cuadrado",IF(M54&gt;0,"Faltante","Sobrante"))</f>
        <v/>
      </c>
      <c r="O54" t="inlineStr">
        <is>
          <t>La diferencia es contabilizada por la Gerencia De Autoservicios y Efectivo de manera centralizada a la cuenta de sobrantes 279510020 el 19/03/2026</t>
        </is>
      </c>
      <c r="P54" t="n">
        <v>1101320155</v>
      </c>
    </row>
    <row r="55">
      <c r="A55" t="n">
        <v>59</v>
      </c>
      <c r="B55" t="n">
        <v>5002</v>
      </c>
      <c r="C55" t="inlineStr">
        <is>
          <t>BELLTECH</t>
        </is>
      </c>
      <c r="D55" t="inlineStr">
        <is>
          <t>BELLTECH</t>
        </is>
      </c>
      <c r="E55" s="3" t="n">
        <v>46100</v>
      </c>
      <c r="F55" s="3" t="n">
        <v>46099</v>
      </c>
      <c r="G55" t="inlineStr">
        <is>
          <t>08:50:00</t>
        </is>
      </c>
      <c r="H55" t="n">
        <v>279314850</v>
      </c>
      <c r="I55" t="n">
        <v>269772850</v>
      </c>
      <c r="J55" t="n">
        <v>5910000</v>
      </c>
      <c r="K55" t="n">
        <v>15322000</v>
      </c>
      <c r="M55">
        <f>I55-(H55+J55-K55)- L55</f>
        <v/>
      </c>
      <c r="N55">
        <f>IF(M55=0,"Cuadrado",IF(M55&gt;0,"Faltante","Sobrante"))</f>
        <v/>
      </c>
      <c r="O55" t="inlineStr">
        <is>
          <t>La diferencia es contabilizada por la Gerencia De Autoservicios y Efectivo de manera centralizada a la cuenta de sobrantes 279510020 el 19/03/2026</t>
        </is>
      </c>
      <c r="P55" t="n">
        <v>1060652821</v>
      </c>
    </row>
    <row r="56">
      <c r="A56" t="n">
        <v>167</v>
      </c>
      <c r="B56" t="n">
        <v>5030</v>
      </c>
      <c r="C56" t="inlineStr">
        <is>
          <t>BELLTECH</t>
        </is>
      </c>
      <c r="D56" t="inlineStr">
        <is>
          <t>BELLTECH</t>
        </is>
      </c>
      <c r="E56" s="3" t="n">
        <v>46100</v>
      </c>
      <c r="F56" s="3" t="n">
        <v>46099</v>
      </c>
      <c r="G56" t="inlineStr">
        <is>
          <t>09:08:00</t>
        </is>
      </c>
      <c r="H56" t="n">
        <v>376748500</v>
      </c>
      <c r="I56" t="n">
        <v>380800400</v>
      </c>
      <c r="J56" t="n">
        <v>60000</v>
      </c>
      <c r="K56" t="inlineStr">
        <is>
          <t xml:space="preserve"> -   </t>
        </is>
      </c>
      <c r="M56">
        <f>I56-(H56+J56-K56)- L56</f>
        <v/>
      </c>
      <c r="N56">
        <f>IF(M56=0,"Cuadrado",IF(M56&gt;0,"Faltante","Sobrante"))</f>
        <v/>
      </c>
      <c r="O56" t="inlineStr">
        <is>
          <t>ACLARAR DIFERENCIA Y REPETIR EL ARQUEO</t>
        </is>
      </c>
      <c r="P56" t="n">
        <v>1022373176</v>
      </c>
    </row>
    <row r="57">
      <c r="A57" t="n">
        <v>275</v>
      </c>
      <c r="B57" t="n">
        <v>5034</v>
      </c>
      <c r="C57" t="inlineStr">
        <is>
          <t>BELLTECH</t>
        </is>
      </c>
      <c r="D57" t="inlineStr">
        <is>
          <t>DIEBOLD</t>
        </is>
      </c>
      <c r="E57" s="3" t="n">
        <v>46100</v>
      </c>
      <c r="F57" s="3" t="n">
        <v>46099</v>
      </c>
      <c r="G57" t="inlineStr">
        <is>
          <t>15:25:00</t>
        </is>
      </c>
      <c r="H57" t="n">
        <v>141148550</v>
      </c>
      <c r="I57" t="n">
        <v>106028550</v>
      </c>
      <c r="J57" t="n">
        <v>24300000</v>
      </c>
      <c r="K57" t="n">
        <v>59030000</v>
      </c>
      <c r="M57">
        <f>I57-(H57+J57-K57)- L57</f>
        <v/>
      </c>
      <c r="N57">
        <f>IF(M57=0,"Cuadrado",IF(M57&gt;0,"Faltante","Sobrante"))</f>
        <v/>
      </c>
      <c r="O57" t="inlineStr">
        <is>
          <t>La diferencia es contabilizada por la Gerencia De Autoservicios y Efectivo de manera centralizada a la cuenta de sobrantes 279510020 el 19/03/2026</t>
        </is>
      </c>
      <c r="P57" t="n">
        <v>16055613</v>
      </c>
    </row>
    <row r="58">
      <c r="A58" t="n">
        <v>824</v>
      </c>
      <c r="B58" t="n">
        <v>5040</v>
      </c>
      <c r="C58" t="inlineStr">
        <is>
          <t>BELLTECH</t>
        </is>
      </c>
      <c r="D58" t="inlineStr">
        <is>
          <t>BELLTECH</t>
        </is>
      </c>
      <c r="E58" s="3" t="n">
        <v>46100</v>
      </c>
      <c r="F58" s="3" t="n">
        <v>46099</v>
      </c>
      <c r="G58" t="inlineStr">
        <is>
          <t>09:20:00</t>
        </is>
      </c>
      <c r="H58" t="n">
        <v>168274050</v>
      </c>
      <c r="I58" t="n">
        <v>164315050</v>
      </c>
      <c r="J58" t="n">
        <v>2970000</v>
      </c>
      <c r="K58" t="n">
        <v>2129000</v>
      </c>
      <c r="M58">
        <f>I58-(H58+J58-K58)- L58</f>
        <v/>
      </c>
      <c r="N58">
        <f>IF(M58=0,"Cuadrado",IF(M58&gt;0,"Faltante","Sobrante"))</f>
        <v/>
      </c>
      <c r="O58" t="inlineStr">
        <is>
          <t>La diferencia es contabilizada por la Gerencia De Autoservicios y Efectivo de manera centralizada a la cuenta de sobrantes 279510020 el 19/03/2026</t>
        </is>
      </c>
      <c r="P58" t="n">
        <v>88259624</v>
      </c>
    </row>
    <row r="59">
      <c r="A59" t="n">
        <v>154</v>
      </c>
      <c r="B59" t="n">
        <v>5041</v>
      </c>
      <c r="C59" t="inlineStr">
        <is>
          <t>BELLTECH</t>
        </is>
      </c>
      <c r="D59" t="inlineStr">
        <is>
          <t>BELLTECH</t>
        </is>
      </c>
      <c r="E59" s="3" t="n">
        <v>46100</v>
      </c>
      <c r="F59" s="3" t="n">
        <v>46099</v>
      </c>
      <c r="G59" t="inlineStr">
        <is>
          <t>13:17:00</t>
        </is>
      </c>
      <c r="H59" t="n">
        <v>56599350</v>
      </c>
      <c r="I59" t="n">
        <v>234297350</v>
      </c>
      <c r="J59" t="n">
        <v>14070000</v>
      </c>
      <c r="K59" t="n">
        <v>25760000</v>
      </c>
      <c r="L59" t="n">
        <v>209041000</v>
      </c>
      <c r="M59">
        <f>I59-(H59+J59-K59)- L59</f>
        <v/>
      </c>
      <c r="N59">
        <f>IF(M59=0,"Cuadrado",IF(M59&gt;0,"Faltante","Sobrante"))</f>
        <v/>
      </c>
      <c r="O59" t="inlineStr">
        <is>
          <t>La diferencia es contabilizada por la Gerencia De Autoservicios y Efectivo de manera centralizada a la cuenta de sobrantes 279510020 el 19/03/2026</t>
        </is>
      </c>
      <c r="P59" t="n">
        <v>1013581728</v>
      </c>
    </row>
    <row r="60">
      <c r="A60" t="n">
        <v>867</v>
      </c>
      <c r="B60" t="n">
        <v>5043</v>
      </c>
      <c r="C60" t="inlineStr">
        <is>
          <t>BELLTECH</t>
        </is>
      </c>
      <c r="D60" t="inlineStr">
        <is>
          <t>DIEBOLD</t>
        </is>
      </c>
      <c r="E60" s="3" t="n">
        <v>46100</v>
      </c>
      <c r="F60" s="3" t="n">
        <v>46099</v>
      </c>
      <c r="G60" t="inlineStr">
        <is>
          <t>10:32:00</t>
        </is>
      </c>
      <c r="H60" t="n">
        <v>153749150</v>
      </c>
      <c r="I60" t="n">
        <v>150190150</v>
      </c>
      <c r="J60" t="n">
        <v>3150000</v>
      </c>
      <c r="K60" t="n">
        <v>8046000</v>
      </c>
      <c r="L60" t="n">
        <v>1337000</v>
      </c>
      <c r="M60">
        <f>I60-(H60+J60-K60)- L60</f>
        <v/>
      </c>
      <c r="N60">
        <f>IF(M60=0,"Cuadrado",IF(M60&gt;0,"Faltante","Sobrante"))</f>
        <v/>
      </c>
      <c r="O60" t="inlineStr">
        <is>
          <t>El faltante $1.337.000 es cruzado con sobrante contabilizado el día 11/03/2026 $200.000 y sobrante contabilizado el día 13/03/2026 $1.137.000 el cual es reversado por la seccion el día 19/03/2026</t>
        </is>
      </c>
      <c r="P60" t="n">
        <v>9726594</v>
      </c>
    </row>
    <row r="61">
      <c r="A61" t="n">
        <v>879</v>
      </c>
      <c r="B61" t="n">
        <v>5045</v>
      </c>
      <c r="C61" t="inlineStr">
        <is>
          <t>BELLTECH</t>
        </is>
      </c>
      <c r="D61" t="inlineStr">
        <is>
          <t>BELLTECH</t>
        </is>
      </c>
      <c r="E61" s="3" t="n">
        <v>46100</v>
      </c>
      <c r="F61" s="3" t="n">
        <v>46099</v>
      </c>
      <c r="G61" t="inlineStr">
        <is>
          <t>16:34:00</t>
        </is>
      </c>
      <c r="H61" t="n">
        <v>58880550</v>
      </c>
      <c r="I61" t="n">
        <v>279308400</v>
      </c>
      <c r="J61" t="n">
        <v>25640000</v>
      </c>
      <c r="K61" t="n">
        <v>82953950</v>
      </c>
      <c r="L61" t="n">
        <v>277742000</v>
      </c>
      <c r="M61">
        <f>I61-(H61+J61-K61)- L61</f>
        <v/>
      </c>
      <c r="N61">
        <f>IF(M61=0,"Cuadrado",IF(M61&gt;0,"Faltante","Sobrante"))</f>
        <v/>
      </c>
      <c r="O61" t="inlineStr">
        <is>
          <t>La diferencia es contabilizada por la Gerencia De Autoservicios y Efectivo de manera centralizada a la cuenta de sobrantes 279510020 el 19/03/2026</t>
        </is>
      </c>
      <c r="P61" t="n">
        <v>1085303632</v>
      </c>
    </row>
    <row r="62">
      <c r="A62" t="n">
        <v>623</v>
      </c>
      <c r="B62" t="n">
        <v>5047</v>
      </c>
      <c r="C62" t="inlineStr">
        <is>
          <t>BELLTECH</t>
        </is>
      </c>
      <c r="D62" t="inlineStr">
        <is>
          <t>BELLTECH</t>
        </is>
      </c>
      <c r="E62" s="3" t="n">
        <v>46100</v>
      </c>
      <c r="F62" s="3" t="n">
        <v>46099</v>
      </c>
      <c r="G62" t="inlineStr">
        <is>
          <t>08:47:00</t>
        </is>
      </c>
      <c r="H62" t="n">
        <v>249496250</v>
      </c>
      <c r="I62" t="n">
        <v>242836650</v>
      </c>
      <c r="J62" t="n">
        <v>100000</v>
      </c>
      <c r="K62" t="n">
        <v>3807000</v>
      </c>
      <c r="M62">
        <f>I62-(H62+J62-K62)- L62</f>
        <v/>
      </c>
      <c r="N62">
        <f>IF(M62=0,"Cuadrado",IF(M62&gt;0,"Faltante","Sobrante"))</f>
        <v/>
      </c>
      <c r="O62" t="inlineStr">
        <is>
          <t>La diferencia es contabilizada por la Gerencia De Autoservicios y Efectivo de manera centralizada a la cuenta de sobrantes 279510020 el 19/03/2026</t>
        </is>
      </c>
      <c r="P62" t="n">
        <v>1012348871</v>
      </c>
    </row>
    <row r="63">
      <c r="A63" t="n">
        <v>7</v>
      </c>
      <c r="B63" t="n">
        <v>5059</v>
      </c>
      <c r="C63" t="inlineStr">
        <is>
          <t>BELLTECH</t>
        </is>
      </c>
      <c r="D63" t="inlineStr">
        <is>
          <t>DIEBOLD</t>
        </is>
      </c>
      <c r="E63" s="3" t="n">
        <v>46100</v>
      </c>
      <c r="F63" s="3" t="n">
        <v>46099</v>
      </c>
      <c r="G63" t="inlineStr">
        <is>
          <t>09:10:00</t>
        </is>
      </c>
      <c r="H63" t="n">
        <v>193142350</v>
      </c>
      <c r="I63" t="n">
        <v>187858150</v>
      </c>
      <c r="J63" t="n">
        <v>1160000</v>
      </c>
      <c r="K63" t="n">
        <v>6020000</v>
      </c>
      <c r="M63">
        <f>I63-(H63+J63-K63)- L63</f>
        <v/>
      </c>
      <c r="N63">
        <f>IF(M63=0,"Cuadrado",IF(M63&gt;0,"Faltante","Sobrante"))</f>
        <v/>
      </c>
      <c r="O63" t="inlineStr">
        <is>
          <t>La diferencia es contabilizada por la Gerencia De Autoservicios y Efectivo de manera centralizada a la cuenta de sobrantes 279510020 el 19/03/2026</t>
        </is>
      </c>
      <c r="P63" t="n">
        <v>1020460907</v>
      </c>
    </row>
    <row r="64">
      <c r="A64" t="n">
        <v>211</v>
      </c>
      <c r="B64" t="n">
        <v>5067</v>
      </c>
      <c r="C64" t="inlineStr">
        <is>
          <t>BELLTECH</t>
        </is>
      </c>
      <c r="D64" t="inlineStr">
        <is>
          <t>BELLTECH</t>
        </is>
      </c>
      <c r="E64" s="3" t="n">
        <v>46100</v>
      </c>
      <c r="F64" s="3" t="n">
        <v>46099</v>
      </c>
      <c r="G64" t="inlineStr">
        <is>
          <t>10:40:00</t>
        </is>
      </c>
      <c r="H64" t="n">
        <v>105218200</v>
      </c>
      <c r="I64" t="n">
        <v>149355350</v>
      </c>
      <c r="J64" t="n">
        <v>13060000</v>
      </c>
      <c r="K64" t="n">
        <v>25424500</v>
      </c>
      <c r="M64">
        <f>I64-(H64+J64-K64)- L64</f>
        <v/>
      </c>
      <c r="N64">
        <f>IF(M64=0,"Cuadrado",IF(M64&gt;0,"Faltante","Sobrante"))</f>
        <v/>
      </c>
      <c r="O64" t="inlineStr">
        <is>
          <t>ACLARAR DIFERENCIA Y REPETIR EL ARQUEO</t>
        </is>
      </c>
      <c r="P64" t="n">
        <v>1033691159</v>
      </c>
    </row>
    <row r="65">
      <c r="A65" t="n">
        <v>291</v>
      </c>
      <c r="B65" t="n">
        <v>5114</v>
      </c>
      <c r="C65" t="inlineStr">
        <is>
          <t>BELLTECH</t>
        </is>
      </c>
      <c r="D65" t="inlineStr">
        <is>
          <t>BELLTECH</t>
        </is>
      </c>
      <c r="E65" s="3" t="n">
        <v>46100</v>
      </c>
      <c r="F65" s="3" t="n">
        <v>46099</v>
      </c>
      <c r="G65" t="inlineStr">
        <is>
          <t>09:38:00</t>
        </is>
      </c>
      <c r="H65" t="n">
        <v>226871200</v>
      </c>
      <c r="I65" t="n">
        <v>201461200</v>
      </c>
      <c r="J65" t="n">
        <v>1340000</v>
      </c>
      <c r="K65" t="n">
        <v>26680000</v>
      </c>
      <c r="M65">
        <f>I65-(H65+J65-K65)- L65</f>
        <v/>
      </c>
      <c r="N65">
        <f>IF(M65=0,"Cuadrado",IF(M65&gt;0,"Faltante","Sobrante"))</f>
        <v/>
      </c>
      <c r="O65" t="inlineStr">
        <is>
          <t>La diferencia es contabilizada por la Gerencia De Autoservicios y Efectivo de manera centralizada a la cuenta de sobrantes 279510020 el 19/03/2026</t>
        </is>
      </c>
      <c r="P65" t="n">
        <v>1095930956</v>
      </c>
    </row>
    <row r="66">
      <c r="A66" t="n">
        <v>244</v>
      </c>
      <c r="B66" t="n">
        <v>5129</v>
      </c>
      <c r="C66" t="inlineStr">
        <is>
          <t>BELLTECH</t>
        </is>
      </c>
      <c r="D66" t="inlineStr">
        <is>
          <t>BELLTECH</t>
        </is>
      </c>
      <c r="E66" s="3" t="n">
        <v>46100</v>
      </c>
      <c r="F66" s="3" t="n">
        <v>46099</v>
      </c>
      <c r="G66" t="inlineStr">
        <is>
          <t>11:12:00</t>
        </is>
      </c>
      <c r="H66" t="n">
        <v>301292350</v>
      </c>
      <c r="I66" t="n">
        <v>295077400</v>
      </c>
      <c r="J66" t="n">
        <v>7140000</v>
      </c>
      <c r="K66" t="n">
        <v>13850000</v>
      </c>
      <c r="L66" t="n">
        <v>495050</v>
      </c>
      <c r="M66">
        <f>I66-(H66+J66-K66)- L66</f>
        <v/>
      </c>
      <c r="N66">
        <f>IF(M66=0,"Cuadrado",IF(M66&gt;0,"Faltante","Sobrante"))</f>
        <v/>
      </c>
      <c r="O66" t="inlineStr">
        <is>
          <t>El faltante $495.050 es cruzado con sobrante contabilizado el día 04/03/2026 el cual es reversado por la seccion el día 19/03/2026</t>
        </is>
      </c>
      <c r="P66" t="n">
        <v>52525769</v>
      </c>
    </row>
    <row r="67">
      <c r="A67" t="n">
        <v>300</v>
      </c>
      <c r="B67" t="n">
        <v>5139</v>
      </c>
      <c r="C67" t="inlineStr">
        <is>
          <t>BELLTECH</t>
        </is>
      </c>
      <c r="D67" t="inlineStr">
        <is>
          <t>BELLTECH</t>
        </is>
      </c>
      <c r="E67" s="3" t="n">
        <v>46100</v>
      </c>
      <c r="F67" s="3" t="n">
        <v>46099</v>
      </c>
      <c r="G67" t="inlineStr">
        <is>
          <t>12:19:00</t>
        </is>
      </c>
      <c r="H67" t="n">
        <v>184683800</v>
      </c>
      <c r="I67" t="n">
        <v>187004800</v>
      </c>
      <c r="J67" t="n">
        <v>10920000</v>
      </c>
      <c r="K67" t="n">
        <v>7629000</v>
      </c>
      <c r="M67">
        <f>I67-(H67+J67-K67)- L67</f>
        <v/>
      </c>
      <c r="N67">
        <f>IF(M67=0,"Cuadrado",IF(M67&gt;0,"Faltante","Sobrante"))</f>
        <v/>
      </c>
      <c r="O67" t="inlineStr">
        <is>
          <t>La diferencia es contabilizada por la Gerencia De Autoservicios y Efectivo de manera centralizada a la cuenta de sobrantes 279510020 el 19/03/2026</t>
        </is>
      </c>
      <c r="P67" t="n">
        <v>53097567</v>
      </c>
    </row>
    <row r="68">
      <c r="A68" t="n">
        <v>53</v>
      </c>
      <c r="B68" t="n">
        <v>5141</v>
      </c>
      <c r="C68" t="inlineStr">
        <is>
          <t>BELLTECH</t>
        </is>
      </c>
      <c r="D68" t="inlineStr">
        <is>
          <t>BELLTECH</t>
        </is>
      </c>
      <c r="E68" s="3" t="n">
        <v>46100</v>
      </c>
      <c r="F68" s="3" t="n">
        <v>46099</v>
      </c>
      <c r="G68" t="inlineStr">
        <is>
          <t>09:16:00</t>
        </is>
      </c>
      <c r="H68" t="n">
        <v>295378000</v>
      </c>
      <c r="I68" t="n">
        <v>288627700</v>
      </c>
      <c r="J68" t="n">
        <v>4850000</v>
      </c>
      <c r="K68" t="n">
        <v>1900000</v>
      </c>
      <c r="M68">
        <f>I68-(H68+J68-K68)- L68</f>
        <v/>
      </c>
      <c r="N68">
        <f>IF(M68=0,"Cuadrado",IF(M68&gt;0,"Faltante","Sobrante"))</f>
        <v/>
      </c>
      <c r="O68" t="inlineStr">
        <is>
          <t>La diferencia es contabilizada por la Gerencia De Autoservicios y Efectivo de manera centralizada a la cuenta de sobrantes 279510020 el 19/03/2026</t>
        </is>
      </c>
      <c r="P68" t="n">
        <v>52778719</v>
      </c>
    </row>
    <row r="69">
      <c r="A69" t="n">
        <v>927</v>
      </c>
      <c r="B69" t="n">
        <v>5143</v>
      </c>
      <c r="C69" t="inlineStr">
        <is>
          <t>BELLTECH</t>
        </is>
      </c>
      <c r="D69" t="inlineStr">
        <is>
          <t>BELLTECH</t>
        </is>
      </c>
      <c r="E69" s="3" t="n">
        <v>46100</v>
      </c>
      <c r="F69" s="3" t="n">
        <v>46099</v>
      </c>
      <c r="G69" t="inlineStr">
        <is>
          <t>14:05:00</t>
        </is>
      </c>
      <c r="H69" t="n">
        <v>264458650</v>
      </c>
      <c r="I69" t="n">
        <v>232366950</v>
      </c>
      <c r="J69" t="n">
        <v>11310000</v>
      </c>
      <c r="K69" t="n">
        <v>43365000</v>
      </c>
      <c r="M69">
        <f>I69-(H69+J69-K69)- L69</f>
        <v/>
      </c>
      <c r="N69">
        <f>IF(M69=0,"Cuadrado",IF(M69&gt;0,"Faltante","Sobrante"))</f>
        <v/>
      </c>
      <c r="O69" t="inlineStr">
        <is>
          <t>La diferencia es contabilizada por la Gerencia De Autoservicios y Efectivo de manera centralizada a la cuenta de sobrantes 279510020 el 19/03/2026</t>
        </is>
      </c>
      <c r="P69" t="n">
        <v>1124849676</v>
      </c>
    </row>
    <row r="70">
      <c r="A70" t="n">
        <v>358</v>
      </c>
      <c r="B70" t="n">
        <v>5149</v>
      </c>
      <c r="C70" t="inlineStr">
        <is>
          <t>BELLTECH</t>
        </is>
      </c>
      <c r="D70" t="inlineStr">
        <is>
          <t>BELLTECH</t>
        </is>
      </c>
      <c r="E70" s="3" t="n">
        <v>46100</v>
      </c>
      <c r="F70" s="3" t="n">
        <v>46099</v>
      </c>
      <c r="G70" t="inlineStr">
        <is>
          <t>09:46:00</t>
        </is>
      </c>
      <c r="H70" t="n">
        <v>229435600</v>
      </c>
      <c r="I70" t="n">
        <v>167748600</v>
      </c>
      <c r="J70" t="n">
        <v>15310000</v>
      </c>
      <c r="K70" t="n">
        <v>76000000</v>
      </c>
      <c r="L70" t="n">
        <v>-992000</v>
      </c>
      <c r="M70">
        <f>I70-(H70+J70-K70)- L70</f>
        <v/>
      </c>
      <c r="N70">
        <f>IF(M70=0,"Cuadrado",IF(M70&gt;0,"Faltante","Sobrante"))</f>
        <v/>
      </c>
      <c r="O70" t="inlineStr">
        <is>
          <t>La diferencia es contabilizada por la Gerencia De Autoservicios y Efectivo de manera centralizada a la cuenta de sobrantes 279510020 el 19/03/2026</t>
        </is>
      </c>
      <c r="P70" t="n">
        <v>46456877</v>
      </c>
    </row>
    <row r="71">
      <c r="A71" t="n">
        <v>363</v>
      </c>
      <c r="B71" t="n">
        <v>5168</v>
      </c>
      <c r="C71" t="inlineStr">
        <is>
          <t>BELLTECH</t>
        </is>
      </c>
      <c r="D71" t="inlineStr">
        <is>
          <t>BELLTECH</t>
        </is>
      </c>
      <c r="E71" s="3" t="n">
        <v>46100</v>
      </c>
      <c r="F71" s="3" t="n">
        <v>46099</v>
      </c>
      <c r="G71" t="inlineStr">
        <is>
          <t>10:15:00</t>
        </is>
      </c>
      <c r="H71" t="n">
        <v>326633950</v>
      </c>
      <c r="I71" t="n">
        <v>309946950</v>
      </c>
      <c r="J71" t="n">
        <v>13940000</v>
      </c>
      <c r="K71" t="n">
        <v>30597000</v>
      </c>
      <c r="M71">
        <f>I71-(H71+J71-K71)- L71</f>
        <v/>
      </c>
      <c r="N71">
        <f>IF(M71=0,"Cuadrado",IF(M71&gt;0,"Faltante","Sobrante"))</f>
        <v/>
      </c>
      <c r="O71" t="inlineStr">
        <is>
          <t>La diferencia es contabilizada por la Gerencia De Autoservicios y Efectivo de manera centralizada a la cuenta de sobrantes 279510020 el 19/03/2026</t>
        </is>
      </c>
      <c r="P71" t="n">
        <v>33646675</v>
      </c>
    </row>
    <row r="72">
      <c r="A72" t="n">
        <v>388</v>
      </c>
      <c r="B72" t="n">
        <v>5169</v>
      </c>
      <c r="C72" t="inlineStr">
        <is>
          <t>BELLTECH</t>
        </is>
      </c>
      <c r="D72" t="inlineStr">
        <is>
          <t>BELLTECH</t>
        </is>
      </c>
      <c r="E72" s="3" t="n">
        <v>46100</v>
      </c>
      <c r="F72" s="3" t="n">
        <v>46099</v>
      </c>
      <c r="G72" t="inlineStr">
        <is>
          <t>09:28:00</t>
        </is>
      </c>
      <c r="H72" t="n">
        <v>505916700</v>
      </c>
      <c r="I72" t="n">
        <v>506343700</v>
      </c>
      <c r="J72" t="n">
        <v>40000</v>
      </c>
      <c r="K72" t="inlineStr">
        <is>
          <t xml:space="preserve"> -   </t>
        </is>
      </c>
      <c r="L72" t="n">
        <v>387000</v>
      </c>
      <c r="M72">
        <f>I72-(H72+J72-K72)- L72</f>
        <v/>
      </c>
      <c r="N72">
        <f>IF(M72=0,"Cuadrado",IF(M72&gt;0,"Faltante","Sobrante"))</f>
        <v/>
      </c>
      <c r="O72" t="inlineStr">
        <is>
          <t>El faltante $387.000 es cruzado con sobrante contabilizado el día 10/03/2026 $340.000 y sobrante contabilizado el día 12/03/2026 $47.000 el cual es reversado por la seccion el día 19/03/2026</t>
        </is>
      </c>
      <c r="P72" t="n">
        <v>1023890720</v>
      </c>
    </row>
    <row r="73">
      <c r="A73" t="n">
        <v>762</v>
      </c>
      <c r="B73" t="n">
        <v>5181</v>
      </c>
      <c r="C73" t="inlineStr">
        <is>
          <t>BELLTECH</t>
        </is>
      </c>
      <c r="D73" t="inlineStr">
        <is>
          <t>BELLTECH</t>
        </is>
      </c>
      <c r="E73" s="3" t="n">
        <v>46100</v>
      </c>
      <c r="F73" s="3" t="n">
        <v>46099</v>
      </c>
      <c r="G73" t="inlineStr">
        <is>
          <t>08:43:34</t>
        </is>
      </c>
      <c r="H73" t="n">
        <v>246028750</v>
      </c>
      <c r="I73" t="n">
        <v>223428750</v>
      </c>
      <c r="J73" t="inlineStr">
        <is>
          <t xml:space="preserve"> -   </t>
        </is>
      </c>
      <c r="K73" t="n">
        <v>14620000</v>
      </c>
      <c r="M73">
        <f>I73-(H73+J73-K73)- L73</f>
        <v/>
      </c>
      <c r="N73">
        <f>IF(M73=0,"Cuadrado",IF(M73&gt;0,"Faltante","Sobrante"))</f>
        <v/>
      </c>
      <c r="O73" t="inlineStr">
        <is>
          <t>La diferencia es contabilizada por la Gerencia De Autoservicios y Efectivo de manera centralizada a la cuenta de sobrantes 279510020 el 19/03/2026</t>
        </is>
      </c>
      <c r="P73" t="n">
        <v>94364510</v>
      </c>
    </row>
    <row r="74">
      <c r="A74" t="n">
        <v>698</v>
      </c>
      <c r="B74" t="n">
        <v>5187</v>
      </c>
      <c r="C74" t="inlineStr">
        <is>
          <t>BELLTECH</t>
        </is>
      </c>
      <c r="D74" t="inlineStr">
        <is>
          <t>BELLTECH</t>
        </is>
      </c>
      <c r="E74" s="3" t="n">
        <v>46100</v>
      </c>
      <c r="F74" s="3" t="n">
        <v>46099</v>
      </c>
      <c r="G74" t="inlineStr">
        <is>
          <t>09:27:00</t>
        </is>
      </c>
      <c r="H74" t="n">
        <v>101787050</v>
      </c>
      <c r="I74" t="n">
        <v>93386050</v>
      </c>
      <c r="J74" t="inlineStr">
        <is>
          <t xml:space="preserve"> -   </t>
        </is>
      </c>
      <c r="K74" t="inlineStr">
        <is>
          <t xml:space="preserve"> -   </t>
        </is>
      </c>
      <c r="L74" t="n">
        <v>-8401000</v>
      </c>
      <c r="M74">
        <f>I74-(H74+J74-K74)- L74</f>
        <v/>
      </c>
      <c r="N74">
        <f>IF(M74=0,"Cuadrado",IF(M74&gt;0,"Faltante","Sobrante"))</f>
        <v/>
      </c>
      <c r="O74" t="inlineStr">
        <is>
          <t>El faltante $1.600.000 es cruzado con sobrante contabilizado el día 18/03/2026 el cual es reversado por la seccion el día 19/03/2026</t>
        </is>
      </c>
      <c r="P74" t="n">
        <v>80177355</v>
      </c>
    </row>
    <row r="75">
      <c r="A75" t="n">
        <v>606</v>
      </c>
      <c r="B75" t="n">
        <v>5201</v>
      </c>
      <c r="C75" t="inlineStr">
        <is>
          <t>BELLTECH</t>
        </is>
      </c>
      <c r="D75" t="inlineStr">
        <is>
          <t>BELLTECH</t>
        </is>
      </c>
      <c r="E75" s="3" t="n">
        <v>46100</v>
      </c>
      <c r="F75" s="3" t="n">
        <v>46099</v>
      </c>
      <c r="G75" t="inlineStr">
        <is>
          <t>16:49:00</t>
        </is>
      </c>
      <c r="H75" t="n">
        <v>333872450</v>
      </c>
      <c r="I75" t="n">
        <v>265972350</v>
      </c>
      <c r="J75" t="n">
        <v>29210000</v>
      </c>
      <c r="K75" t="n">
        <v>98110100</v>
      </c>
      <c r="L75" t="inlineStr">
        <is>
          <t xml:space="preserve"> -   </t>
        </is>
      </c>
      <c r="M75">
        <f>I75-(H75+J75-K75)- L75</f>
        <v/>
      </c>
      <c r="N75">
        <f>IF(M75=0,"Cuadrado",IF(M75&gt;0,"Faltante","Sobrante"))</f>
        <v/>
      </c>
      <c r="O75" t="inlineStr">
        <is>
          <t>La diferencia es contabilizada por la Gerencia De Autoservicios y Efectivo de manera centralizada a la cuenta de faltantes 168710093 el 19/03/2026, esta diferencia ingresa a proceso de investigación en el área para identificar a que corresponde.</t>
        </is>
      </c>
      <c r="P75" t="n">
        <v>33368879</v>
      </c>
    </row>
    <row r="76">
      <c r="A76" t="n">
        <v>455</v>
      </c>
      <c r="B76" t="n">
        <v>5206</v>
      </c>
      <c r="C76" t="inlineStr">
        <is>
          <t>BELLTECH</t>
        </is>
      </c>
      <c r="D76" t="inlineStr">
        <is>
          <t>BELLTECH</t>
        </is>
      </c>
      <c r="E76" s="3" t="n">
        <v>46100</v>
      </c>
      <c r="F76" s="3" t="n">
        <v>46099</v>
      </c>
      <c r="G76" t="inlineStr">
        <is>
          <t>08:49:00</t>
        </is>
      </c>
      <c r="H76" t="n">
        <v>382698050</v>
      </c>
      <c r="I76" t="n">
        <v>359433050</v>
      </c>
      <c r="J76" t="n">
        <v>330000</v>
      </c>
      <c r="K76" t="n">
        <v>12500000</v>
      </c>
      <c r="M76">
        <f>I76-(H76+J76-K76)- L76</f>
        <v/>
      </c>
      <c r="N76">
        <f>IF(M76=0,"Cuadrado",IF(M76&gt;0,"Faltante","Sobrante"))</f>
        <v/>
      </c>
      <c r="O76" t="inlineStr">
        <is>
          <t>La diferencia es contabilizada por la Gerencia De Autoservicios y Efectivo de manera centralizada a la cuenta de sobrantes 279510020 el 19/03/2026</t>
        </is>
      </c>
      <c r="P76" t="n">
        <v>1083896352</v>
      </c>
    </row>
    <row r="77">
      <c r="A77" t="n">
        <v>941</v>
      </c>
      <c r="B77" t="n">
        <v>5220</v>
      </c>
      <c r="C77" t="inlineStr">
        <is>
          <t>BELLTECH</t>
        </is>
      </c>
      <c r="D77" t="inlineStr">
        <is>
          <t>BELLTECH</t>
        </is>
      </c>
      <c r="E77" s="3" t="n">
        <v>46100</v>
      </c>
      <c r="F77" s="3" t="n">
        <v>46099</v>
      </c>
      <c r="G77" t="inlineStr">
        <is>
          <t>08:57:00</t>
        </is>
      </c>
      <c r="H77" t="n">
        <v>249194500</v>
      </c>
      <c r="I77" t="n">
        <v>249438400</v>
      </c>
      <c r="J77" t="n">
        <v>1320000</v>
      </c>
      <c r="K77" t="inlineStr">
        <is>
          <t xml:space="preserve"> -   </t>
        </is>
      </c>
      <c r="L77" t="n">
        <v>-1076100</v>
      </c>
      <c r="M77">
        <f>I77-(H77+J77-K77)- L77</f>
        <v/>
      </c>
      <c r="N77">
        <f>IF(M77=0,"Cuadrado",IF(M77&gt;0,"Faltante","Sobrante"))</f>
        <v/>
      </c>
      <c r="O77" t="inlineStr">
        <is>
          <t>El faltante $450 es cruzado con sobrante contabilizado el día 18/03/2026 el cual es reversado por la seccion el día 19/03/2026</t>
        </is>
      </c>
      <c r="P77" t="n">
        <v>1075228904</v>
      </c>
    </row>
    <row r="78">
      <c r="A78" t="n">
        <v>221</v>
      </c>
      <c r="B78" t="n">
        <v>5221</v>
      </c>
      <c r="C78" t="inlineStr">
        <is>
          <t>BELLTECH</t>
        </is>
      </c>
      <c r="D78" t="inlineStr">
        <is>
          <t>BELLTECH</t>
        </is>
      </c>
      <c r="E78" s="3" t="n">
        <v>46100</v>
      </c>
      <c r="F78" s="3" t="n">
        <v>46099</v>
      </c>
      <c r="G78" t="inlineStr">
        <is>
          <t>09:11:00</t>
        </is>
      </c>
      <c r="H78" t="n">
        <v>338830100</v>
      </c>
      <c r="I78" t="n">
        <v>315740100</v>
      </c>
      <c r="J78" t="n">
        <v>4640000</v>
      </c>
      <c r="K78" t="n">
        <v>18520000</v>
      </c>
      <c r="M78">
        <f>I78-(H78+J78-K78)- L78</f>
        <v/>
      </c>
      <c r="N78">
        <f>IF(M78=0,"Cuadrado",IF(M78&gt;0,"Faltante","Sobrante"))</f>
        <v/>
      </c>
      <c r="O78" t="inlineStr">
        <is>
          <t>La diferencia es contabilizada por la Gerencia De Autoservicios y Efectivo de manera centralizada a la cuenta de sobrantes 279510020 el 19/03/2026</t>
        </is>
      </c>
      <c r="P78" t="n">
        <v>52833254</v>
      </c>
    </row>
    <row r="79">
      <c r="A79" t="n">
        <v>168</v>
      </c>
      <c r="B79" t="n">
        <v>5224</v>
      </c>
      <c r="C79" t="inlineStr">
        <is>
          <t>BELLTECH</t>
        </is>
      </c>
      <c r="D79" t="inlineStr">
        <is>
          <t>BELLTECH</t>
        </is>
      </c>
      <c r="E79" s="3" t="n">
        <v>46100</v>
      </c>
      <c r="F79" s="3" t="n">
        <v>46099</v>
      </c>
      <c r="G79" t="inlineStr">
        <is>
          <t>08:37:00</t>
        </is>
      </c>
      <c r="H79" t="n">
        <v>79774550</v>
      </c>
      <c r="I79" t="n">
        <v>84034550</v>
      </c>
      <c r="J79" t="n">
        <v>5990000</v>
      </c>
      <c r="K79" t="n">
        <v>2400000</v>
      </c>
      <c r="L79" t="n">
        <v>670000</v>
      </c>
      <c r="M79">
        <f>I79-(H79+J79-K79)- L79</f>
        <v/>
      </c>
      <c r="N79">
        <f>IF(M79=0,"Cuadrado",IF(M79&gt;0,"Faltante","Sobrante"))</f>
        <v/>
      </c>
      <c r="O79" t="inlineStr">
        <is>
          <t>El faltante $670.000 es cruzado con sobrante contabilizado el día 04/03/2026 el cual es reversado por la seccion el día 19/03/2026</t>
        </is>
      </c>
      <c r="P79" t="n">
        <v>1019018856</v>
      </c>
    </row>
    <row r="80">
      <c r="A80" t="n">
        <v>351</v>
      </c>
      <c r="B80" t="n">
        <v>6182</v>
      </c>
      <c r="C80" t="inlineStr">
        <is>
          <t>BELLTECH</t>
        </is>
      </c>
      <c r="D80" t="inlineStr">
        <is>
          <t>BELLTECH</t>
        </is>
      </c>
      <c r="E80" s="3" t="n">
        <v>46100</v>
      </c>
      <c r="F80" s="3" t="n">
        <v>46099</v>
      </c>
      <c r="G80" t="inlineStr">
        <is>
          <t>10:22:00</t>
        </is>
      </c>
      <c r="H80" t="n">
        <v>280029400</v>
      </c>
      <c r="I80" t="n">
        <v>274208350</v>
      </c>
      <c r="J80" t="n">
        <v>9720000</v>
      </c>
      <c r="K80" t="n">
        <v>11885350</v>
      </c>
      <c r="M80">
        <f>I80-(H80+J80-K80)- L80</f>
        <v/>
      </c>
      <c r="N80">
        <f>IF(M80=0,"Cuadrado",IF(M80&gt;0,"Faltante","Sobrante"))</f>
        <v/>
      </c>
      <c r="O80" t="inlineStr">
        <is>
          <t>La diferencia es contabilizada por la Gerencia De Autoservicios y Efectivo de manera centralizada a la cuenta de sobrantes 279510020 el 19/03/2026</t>
        </is>
      </c>
      <c r="P80" t="n">
        <v>71743918</v>
      </c>
    </row>
    <row r="81">
      <c r="A81" t="n">
        <v>54</v>
      </c>
      <c r="B81" t="n">
        <v>6204</v>
      </c>
      <c r="C81" t="inlineStr">
        <is>
          <t>BELLTECH</t>
        </is>
      </c>
      <c r="D81" t="inlineStr">
        <is>
          <t>BELLTECH</t>
        </is>
      </c>
      <c r="E81" s="3" t="n">
        <v>46100</v>
      </c>
      <c r="F81" s="3" t="n">
        <v>46099</v>
      </c>
      <c r="G81" t="inlineStr">
        <is>
          <t>11:11:00</t>
        </is>
      </c>
      <c r="H81" t="n">
        <v>230731200</v>
      </c>
      <c r="I81" t="n">
        <v>222789200</v>
      </c>
      <c r="J81" t="n">
        <v>9660000</v>
      </c>
      <c r="K81" t="n">
        <v>19152000</v>
      </c>
      <c r="L81" t="n">
        <v>1550000</v>
      </c>
      <c r="M81">
        <f>I81-(H81+J81-K81)- L81</f>
        <v/>
      </c>
      <c r="N81">
        <f>IF(M81=0,"Cuadrado",IF(M81&gt;0,"Faltante","Sobrante"))</f>
        <v/>
      </c>
      <c r="O81" t="inlineStr">
        <is>
          <t>El faltante $130.000 es cruzado con sobrante contabilizado el día 10/03/2026 $111.950 y sobrante contabilizado el día 17/03/2026 $18.050 el cual es reversado por la seccion el día 19/03/2026</t>
        </is>
      </c>
      <c r="P81" t="n">
        <v>1019068822</v>
      </c>
    </row>
    <row r="82">
      <c r="A82" t="n">
        <v>337</v>
      </c>
      <c r="B82" t="n">
        <v>6253</v>
      </c>
      <c r="C82" t="inlineStr">
        <is>
          <t>BELLTECH</t>
        </is>
      </c>
      <c r="D82" t="inlineStr">
        <is>
          <t>BELLTECH</t>
        </is>
      </c>
      <c r="E82" s="3" t="n">
        <v>46100</v>
      </c>
      <c r="F82" s="3" t="n">
        <v>46099</v>
      </c>
      <c r="G82" t="inlineStr">
        <is>
          <t>13:47:00</t>
        </is>
      </c>
      <c r="H82" t="n">
        <v>172775800</v>
      </c>
      <c r="I82" t="n">
        <v>97281650</v>
      </c>
      <c r="J82" t="n">
        <v>32410000</v>
      </c>
      <c r="K82" t="n">
        <v>67754150</v>
      </c>
      <c r="M82">
        <f>I82-(H82+J82-K82)- L82</f>
        <v/>
      </c>
      <c r="N82">
        <f>IF(M82=0,"Cuadrado",IF(M82&gt;0,"Faltante","Sobrante"))</f>
        <v/>
      </c>
      <c r="O82" t="inlineStr">
        <is>
          <t>La diferencia es contabilizada por la Gerencia De Autoservicios y Efectivo de manera centralizada a la cuenta de sobrantes 279510020 el 19/03/2026</t>
        </is>
      </c>
      <c r="P82" t="n">
        <v>80386330</v>
      </c>
    </row>
    <row r="83">
      <c r="A83" t="n">
        <v>371</v>
      </c>
      <c r="B83" t="n">
        <v>6718</v>
      </c>
      <c r="C83" t="inlineStr">
        <is>
          <t>BELLTECH</t>
        </is>
      </c>
      <c r="D83" t="inlineStr">
        <is>
          <t>DIEBOLD</t>
        </is>
      </c>
      <c r="E83" s="3" t="n">
        <v>46100</v>
      </c>
      <c r="F83" s="3" t="n">
        <v>46099</v>
      </c>
      <c r="G83" t="inlineStr">
        <is>
          <t>09:29:00</t>
        </is>
      </c>
      <c r="H83" t="n">
        <v>329659150</v>
      </c>
      <c r="I83" t="n">
        <v>299349150</v>
      </c>
      <c r="J83" t="n">
        <v>1340000</v>
      </c>
      <c r="K83" t="n">
        <v>26550000</v>
      </c>
      <c r="M83">
        <f>I83-(H83+J83-K83)- L83</f>
        <v/>
      </c>
      <c r="N83">
        <f>IF(M83=0,"Cuadrado",IF(M83&gt;0,"Faltante","Sobrante"))</f>
        <v/>
      </c>
      <c r="O83" t="inlineStr">
        <is>
          <t>La diferencia es contabilizada por la Gerencia De Autoservicios y Efectivo de manera centralizada a la cuenta de sobrantes 279510020 el 19/03/2026</t>
        </is>
      </c>
      <c r="P83" t="n">
        <v>39279278</v>
      </c>
    </row>
    <row r="84">
      <c r="A84" t="n">
        <v>123</v>
      </c>
      <c r="B84" t="n">
        <v>7134</v>
      </c>
      <c r="C84" t="inlineStr">
        <is>
          <t>DIEBOLD</t>
        </is>
      </c>
      <c r="D84" t="inlineStr">
        <is>
          <t>DIEBOLD</t>
        </is>
      </c>
      <c r="E84" s="3" t="n">
        <v>46100</v>
      </c>
      <c r="F84" s="3" t="n">
        <v>46099</v>
      </c>
      <c r="G84" t="inlineStr">
        <is>
          <t>10:59:00</t>
        </is>
      </c>
      <c r="H84" t="n">
        <v>232006450</v>
      </c>
      <c r="I84" t="n">
        <v>192235350</v>
      </c>
      <c r="J84" t="n">
        <v>5450000</v>
      </c>
      <c r="K84" t="n">
        <v>45015100</v>
      </c>
      <c r="M84">
        <f>I84-(H84+J84-K84)- L84</f>
        <v/>
      </c>
      <c r="N84">
        <f>IF(M84=0,"Cuadrado",IF(M84&gt;0,"Faltante","Sobrante"))</f>
        <v/>
      </c>
      <c r="O84" t="inlineStr">
        <is>
          <t>La diferencia es contabilizada por la Gerencia De Autoservicios y Efectivo de manera centralizada a la cuenta de sobrantes 279510020 el 19/03/2026</t>
        </is>
      </c>
      <c r="P84" t="n">
        <v>39445526</v>
      </c>
    </row>
    <row r="85">
      <c r="A85" t="n">
        <v>389</v>
      </c>
      <c r="B85" t="n">
        <v>7327</v>
      </c>
      <c r="C85" t="inlineStr">
        <is>
          <t>BELLTECH</t>
        </is>
      </c>
      <c r="D85" t="inlineStr">
        <is>
          <t>DIEBOLD</t>
        </is>
      </c>
      <c r="E85" s="3" t="n">
        <v>46100</v>
      </c>
      <c r="F85" s="3" t="n">
        <v>46099</v>
      </c>
      <c r="G85" t="inlineStr">
        <is>
          <t>10:10:00</t>
        </is>
      </c>
      <c r="H85" t="n">
        <v>199800200</v>
      </c>
      <c r="I85" t="n">
        <v>60560200</v>
      </c>
      <c r="J85" t="n">
        <v>18660000</v>
      </c>
      <c r="K85" t="n">
        <v>900000</v>
      </c>
      <c r="L85" t="n">
        <v>-157000000</v>
      </c>
      <c r="M85">
        <f>I85-(H85+J85-K85)- L85</f>
        <v/>
      </c>
      <c r="N85">
        <f>IF(M85=0,"Cuadrado",IF(M85&gt;0,"Faltante","Sobrante"))</f>
        <v/>
      </c>
      <c r="O85" t="inlineStr">
        <is>
          <t>Cajero cuadrado, sin observación por parte de la sucursal</t>
        </is>
      </c>
      <c r="P85" t="n">
        <v>14319846</v>
      </c>
    </row>
    <row r="86">
      <c r="A86" t="n">
        <v>569</v>
      </c>
      <c r="B86" t="n">
        <v>8129</v>
      </c>
      <c r="C86" t="inlineStr">
        <is>
          <t>DIEBOLD</t>
        </is>
      </c>
      <c r="D86" t="inlineStr">
        <is>
          <t>DIEBOLD</t>
        </is>
      </c>
      <c r="E86" s="3" t="n">
        <v>46100</v>
      </c>
      <c r="F86" s="3" t="n">
        <v>46099</v>
      </c>
      <c r="G86" t="inlineStr">
        <is>
          <t>10:11:00</t>
        </is>
      </c>
      <c r="H86" t="n">
        <v>277963450</v>
      </c>
      <c r="I86" t="n">
        <v>274610450</v>
      </c>
      <c r="J86" t="n">
        <v>5850000</v>
      </c>
      <c r="K86" t="n">
        <v>9200000</v>
      </c>
      <c r="M86">
        <f>I86-(H86+J86-K86)- L86</f>
        <v/>
      </c>
      <c r="N86">
        <f>IF(M86=0,"Cuadrado",IF(M86&gt;0,"Faltante","Sobrante"))</f>
        <v/>
      </c>
      <c r="O86" t="inlineStr">
        <is>
          <t>La diferencia es contabilizada por la Gerencia De Autoservicios y Efectivo de manera centralizada a la cuenta de sobrantes 279510020 el 19/03/2026</t>
        </is>
      </c>
      <c r="P86" t="n">
        <v>10779993</v>
      </c>
    </row>
    <row r="87">
      <c r="A87" t="n">
        <v>554</v>
      </c>
      <c r="B87" t="n">
        <v>8294</v>
      </c>
      <c r="C87" t="inlineStr">
        <is>
          <t>BELLTECH</t>
        </is>
      </c>
      <c r="D87" t="inlineStr">
        <is>
          <t>BELLTECH</t>
        </is>
      </c>
      <c r="E87" s="3" t="n">
        <v>46100</v>
      </c>
      <c r="F87" s="3" t="n">
        <v>46099</v>
      </c>
      <c r="G87" t="inlineStr">
        <is>
          <t>08:38:00</t>
        </is>
      </c>
      <c r="H87" t="n">
        <v>285524150</v>
      </c>
      <c r="I87" t="n">
        <v>272233150</v>
      </c>
      <c r="J87" t="n">
        <v>1140000</v>
      </c>
      <c r="K87" t="n">
        <v>10656000</v>
      </c>
      <c r="M87">
        <f>I87-(H87+J87-K87)- L87</f>
        <v/>
      </c>
      <c r="N87">
        <f>IF(M87=0,"Cuadrado",IF(M87&gt;0,"Faltante","Sobrante"))</f>
        <v/>
      </c>
      <c r="O87" t="inlineStr">
        <is>
          <t>La diferencia es contabilizada por la Gerencia De Autoservicios y Efectivo de manera centralizada a la cuenta de sobrantes 279510020 el 19/03/2026</t>
        </is>
      </c>
      <c r="P87" t="n">
        <v>1143151164</v>
      </c>
    </row>
    <row r="88">
      <c r="A88" t="n">
        <v>467</v>
      </c>
      <c r="B88" t="n">
        <v>9051</v>
      </c>
      <c r="C88" t="inlineStr">
        <is>
          <t>BELLTECH</t>
        </is>
      </c>
      <c r="D88" t="inlineStr">
        <is>
          <t>BELLTECH</t>
        </is>
      </c>
      <c r="E88" s="3" t="n">
        <v>46100</v>
      </c>
      <c r="F88" s="3" t="n">
        <v>46099</v>
      </c>
      <c r="G88" t="inlineStr">
        <is>
          <t>10:12:00</t>
        </is>
      </c>
      <c r="H88" t="n">
        <v>468828650</v>
      </c>
      <c r="I88" t="n">
        <v>389935050</v>
      </c>
      <c r="J88" t="inlineStr">
        <is>
          <t xml:space="preserve"> -   </t>
        </is>
      </c>
      <c r="K88" t="inlineStr">
        <is>
          <t xml:space="preserve"> -   </t>
        </is>
      </c>
      <c r="M88">
        <f>I88-(H88+J88-K88)- L88</f>
        <v/>
      </c>
      <c r="N88">
        <f>IF(M88=0,"Cuadrado",IF(M88&gt;0,"Faltante","Sobrante"))</f>
        <v/>
      </c>
      <c r="O88" t="inlineStr">
        <is>
          <t>La diferencia es contabilizada por la Gerencia De Autoservicios y Efectivo de manera centralizada a la cuenta de sobrantes 279510020 el 19/03/2026</t>
        </is>
      </c>
      <c r="P88" t="n">
        <v>52539189</v>
      </c>
    </row>
    <row r="89">
      <c r="A89" t="n">
        <v>516</v>
      </c>
      <c r="B89" t="n">
        <v>9729</v>
      </c>
      <c r="C89" t="inlineStr">
        <is>
          <t>BELLTECH</t>
        </is>
      </c>
      <c r="D89" t="inlineStr">
        <is>
          <t>BELLTECH</t>
        </is>
      </c>
      <c r="E89" s="3" t="n">
        <v>46100</v>
      </c>
      <c r="F89" s="3" t="n">
        <v>46099</v>
      </c>
      <c r="G89" t="inlineStr">
        <is>
          <t>09:24:00</t>
        </is>
      </c>
      <c r="H89" t="n">
        <v>155900500</v>
      </c>
      <c r="I89" t="n">
        <v>146591550</v>
      </c>
      <c r="J89" t="n">
        <v>3830000</v>
      </c>
      <c r="K89" t="n">
        <v>16017450</v>
      </c>
      <c r="L89" t="n">
        <v>2878500</v>
      </c>
      <c r="M89">
        <f>I89-(H89+J89-K89)- L89</f>
        <v/>
      </c>
      <c r="N89">
        <f>IF(M89=0,"Cuadrado",IF(M89&gt;0,"Faltante","Sobrante"))</f>
        <v/>
      </c>
      <c r="O89" t="inlineStr">
        <is>
          <t>El faltante $2.958.500 es cruzado con sobrante contabilizado el día 17/03/2026 $2.880.000 y sobrante contabilizado el día 18/03/2026 $78.500 el cual es reversado por la seccion el día 19/03/2026</t>
        </is>
      </c>
      <c r="P89" t="n">
        <v>1004306590</v>
      </c>
    </row>
    <row r="90">
      <c r="A90" t="n">
        <v>499</v>
      </c>
      <c r="B90" t="n">
        <v>9810</v>
      </c>
      <c r="C90" t="inlineStr">
        <is>
          <t>BELLTECH</t>
        </is>
      </c>
      <c r="D90" t="inlineStr">
        <is>
          <t>BELLTECH</t>
        </is>
      </c>
      <c r="E90" s="3" t="n">
        <v>46100</v>
      </c>
      <c r="F90" s="3" t="n">
        <v>46099</v>
      </c>
      <c r="G90" t="inlineStr">
        <is>
          <t>11:04:00</t>
        </is>
      </c>
      <c r="H90" t="n">
        <v>415125250</v>
      </c>
      <c r="I90" t="n">
        <v>384878550</v>
      </c>
      <c r="J90" t="inlineStr">
        <is>
          <t xml:space="preserve"> -   </t>
        </is>
      </c>
      <c r="K90" t="n">
        <v>64062000</v>
      </c>
      <c r="M90">
        <f>I90-(H90+J90-K90)- L90</f>
        <v/>
      </c>
      <c r="N90">
        <f>IF(M90=0,"Cuadrado",IF(M90&gt;0,"Faltante","Sobrante"))</f>
        <v/>
      </c>
      <c r="O90" t="inlineStr">
        <is>
          <t>ACLARAR DIFERENCIA Y REPETIR EL ARQUEO</t>
        </is>
      </c>
      <c r="P90" t="n">
        <v>71337474</v>
      </c>
    </row>
    <row r="91">
      <c r="A91" t="n">
        <v>499</v>
      </c>
      <c r="B91" t="n">
        <v>9811</v>
      </c>
      <c r="C91" t="inlineStr">
        <is>
          <t>BELLTECH</t>
        </is>
      </c>
      <c r="D91" t="inlineStr">
        <is>
          <t>BELLTECH</t>
        </is>
      </c>
      <c r="E91" s="3" t="n">
        <v>46100</v>
      </c>
      <c r="F91" s="3" t="n">
        <v>46099</v>
      </c>
      <c r="G91" t="inlineStr">
        <is>
          <t>11:48:00</t>
        </is>
      </c>
      <c r="H91" t="n">
        <v>158739100</v>
      </c>
      <c r="I91" t="n">
        <v>42663150</v>
      </c>
      <c r="J91" t="n">
        <v>4640000</v>
      </c>
      <c r="K91" t="n">
        <v>111496000</v>
      </c>
      <c r="M91">
        <f>I91-(H91+J91-K91)- L91</f>
        <v/>
      </c>
      <c r="N91">
        <f>IF(M91=0,"Cuadrado",IF(M91&gt;0,"Faltante","Sobrante"))</f>
        <v/>
      </c>
      <c r="O91" t="inlineStr">
        <is>
          <t>La diferencia es contabilizada por la Gerencia De Autoservicios y Efectivo de manera centralizada a la cuenta de sobrantes 279510020 el 19/03/2026</t>
        </is>
      </c>
      <c r="P91" t="n">
        <v>71337474</v>
      </c>
    </row>
    <row r="92">
      <c r="A92" t="n">
        <v>795</v>
      </c>
      <c r="B92" t="n">
        <v>1029</v>
      </c>
      <c r="C92" t="inlineStr">
        <is>
          <t>BELLTECH</t>
        </is>
      </c>
      <c r="D92" t="inlineStr">
        <is>
          <t>BELLTECH</t>
        </is>
      </c>
      <c r="E92" s="3" t="n">
        <v>46100</v>
      </c>
      <c r="F92" s="3" t="n">
        <v>46099</v>
      </c>
      <c r="G92" t="inlineStr">
        <is>
          <t>10:44:00</t>
        </is>
      </c>
      <c r="H92" t="n">
        <v>256277400</v>
      </c>
      <c r="I92" t="n">
        <v>255197400</v>
      </c>
      <c r="J92" t="n">
        <v>5470000</v>
      </c>
      <c r="K92" t="n">
        <v>6550000</v>
      </c>
      <c r="M92">
        <f>I92-(H92+J92-K92)- L92</f>
        <v/>
      </c>
      <c r="N92">
        <f>IF(M92=0,"Cuadrado",IF(M92&gt;0,"Faltante","Sobrante"))</f>
        <v/>
      </c>
      <c r="O92" t="inlineStr">
        <is>
          <t>Cajero cuadrado, sin observación por parte de la sucursal</t>
        </is>
      </c>
      <c r="P92" t="n">
        <v>91274094</v>
      </c>
    </row>
    <row r="93">
      <c r="A93" t="n">
        <v>8</v>
      </c>
      <c r="B93" t="n">
        <v>5079</v>
      </c>
      <c r="C93" t="inlineStr">
        <is>
          <t>BELLTECH</t>
        </is>
      </c>
      <c r="D93" t="inlineStr">
        <is>
          <t>BELLTECH</t>
        </is>
      </c>
      <c r="E93" s="3" t="n">
        <v>46100</v>
      </c>
      <c r="F93" s="3" t="n">
        <v>46099</v>
      </c>
      <c r="G93" t="inlineStr">
        <is>
          <t>10:04:00</t>
        </is>
      </c>
      <c r="H93" t="n">
        <v>208770300</v>
      </c>
      <c r="I93" t="n">
        <v>211460300</v>
      </c>
      <c r="J93" t="n">
        <v>5940000</v>
      </c>
      <c r="K93" t="n">
        <v>3250000</v>
      </c>
      <c r="M93">
        <f>I93-(H93+J93-K93)- L93</f>
        <v/>
      </c>
      <c r="N93">
        <f>IF(M93=0,"Cuadrado",IF(M93&gt;0,"Faltante","Sobrante"))</f>
        <v/>
      </c>
      <c r="O93" t="inlineStr">
        <is>
          <t>Cajero cuadrado, sin observación por parte de la sucursal</t>
        </is>
      </c>
      <c r="P93" t="n">
        <v>71738191</v>
      </c>
    </row>
    <row r="94">
      <c r="A94" t="n">
        <v>191</v>
      </c>
      <c r="B94" t="n">
        <v>5112</v>
      </c>
      <c r="C94" t="inlineStr">
        <is>
          <t>BELLTECH</t>
        </is>
      </c>
      <c r="D94" t="inlineStr">
        <is>
          <t>BELLTECH</t>
        </is>
      </c>
      <c r="E94" s="3" t="n">
        <v>46100</v>
      </c>
      <c r="F94" s="3" t="n">
        <v>46099</v>
      </c>
      <c r="G94" t="inlineStr">
        <is>
          <t>14:38:00</t>
        </is>
      </c>
      <c r="H94" t="n">
        <v>502447500</v>
      </c>
      <c r="I94" t="n">
        <v>457237500</v>
      </c>
      <c r="J94" t="n">
        <v>4140000</v>
      </c>
      <c r="K94" t="n">
        <v>49350000</v>
      </c>
      <c r="M94">
        <f>I94-(H94+J94-K94)- L94</f>
        <v/>
      </c>
      <c r="N94">
        <f>IF(M94=0,"Cuadrado",IF(M94&gt;0,"Faltante","Sobrante"))</f>
        <v/>
      </c>
      <c r="O94" t="inlineStr">
        <is>
          <t>Cajero cuadrado, sin observación por parte de la sucursal</t>
        </is>
      </c>
      <c r="P94" t="n">
        <v>80812756</v>
      </c>
    </row>
    <row r="95">
      <c r="A95" t="n">
        <v>750</v>
      </c>
      <c r="B95" t="n">
        <v>5157</v>
      </c>
      <c r="C95" t="inlineStr">
        <is>
          <t>BELLTECH</t>
        </is>
      </c>
      <c r="D95" t="inlineStr">
        <is>
          <t>BELLTECH</t>
        </is>
      </c>
      <c r="E95" s="3" t="n">
        <v>46100</v>
      </c>
      <c r="F95" s="3" t="n">
        <v>46099</v>
      </c>
      <c r="G95" t="inlineStr">
        <is>
          <t>08:28:33</t>
        </is>
      </c>
      <c r="H95" t="n">
        <v>193810050</v>
      </c>
      <c r="I95" t="n">
        <v>193148050</v>
      </c>
      <c r="J95" t="n">
        <v>6810000</v>
      </c>
      <c r="K95" t="n">
        <v>7472000</v>
      </c>
      <c r="M95">
        <f>I95-(H95+J95-K95)- L95</f>
        <v/>
      </c>
      <c r="N95">
        <f>IF(M95=0,"Cuadrado",IF(M95&gt;0,"Faltante","Sobrante"))</f>
        <v/>
      </c>
      <c r="O95" t="inlineStr">
        <is>
          <t>Cajero cuadrado, sin observación por parte de la sucursal</t>
        </is>
      </c>
      <c r="P95" t="n">
        <v>31529631</v>
      </c>
    </row>
    <row r="96">
      <c r="A96" t="n">
        <v>30</v>
      </c>
      <c r="B96" t="n">
        <v>6172</v>
      </c>
      <c r="C96" t="inlineStr">
        <is>
          <t>BELLTECH</t>
        </is>
      </c>
      <c r="D96" t="inlineStr">
        <is>
          <t>BELLTECH</t>
        </is>
      </c>
      <c r="E96" s="3" t="n">
        <v>46100</v>
      </c>
      <c r="F96" s="3" t="n">
        <v>46099</v>
      </c>
      <c r="G96" t="inlineStr">
        <is>
          <t>10:25:00</t>
        </is>
      </c>
      <c r="H96" t="n">
        <v>245313000</v>
      </c>
      <c r="I96" t="n">
        <v>248243000</v>
      </c>
      <c r="J96" t="n">
        <v>4350000</v>
      </c>
      <c r="K96" t="n">
        <v>1420000</v>
      </c>
      <c r="M96">
        <f>I96-(H96+J96-K96)- L96</f>
        <v/>
      </c>
      <c r="N96">
        <f>IF(M96=0,"Cuadrado",IF(M96&gt;0,"Faltante","Sobrante"))</f>
        <v/>
      </c>
      <c r="O96" t="inlineStr">
        <is>
          <t>Cajero cuadrado, sin observación por parte de la sucursal</t>
        </is>
      </c>
      <c r="P96" t="n">
        <v>79706159</v>
      </c>
    </row>
    <row r="97">
      <c r="A97" t="n">
        <v>178</v>
      </c>
      <c r="B97" t="n">
        <v>6218</v>
      </c>
      <c r="C97" t="inlineStr">
        <is>
          <t>BELLTECH</t>
        </is>
      </c>
      <c r="D97" t="inlineStr">
        <is>
          <t>BELLTECH</t>
        </is>
      </c>
      <c r="E97" s="3" t="n">
        <v>46100</v>
      </c>
      <c r="F97" s="3" t="n">
        <v>46099</v>
      </c>
      <c r="G97" t="inlineStr">
        <is>
          <t>14:18:00</t>
        </is>
      </c>
      <c r="H97" t="n">
        <v>145460300</v>
      </c>
      <c r="I97" t="n">
        <v>115058100</v>
      </c>
      <c r="J97" t="n">
        <v>11840000</v>
      </c>
      <c r="K97" t="n">
        <v>42242200</v>
      </c>
      <c r="L97" t="inlineStr">
        <is>
          <t xml:space="preserve"> -   </t>
        </is>
      </c>
      <c r="M97">
        <f>I97-(H97+J97-K97)- L97</f>
        <v/>
      </c>
      <c r="N97">
        <f>IF(M97=0,"Cuadrado",IF(M97&gt;0,"Faltante","Sobrante"))</f>
        <v/>
      </c>
      <c r="O97" t="inlineStr">
        <is>
          <t>El faltante $40.000 es cruzado con sobrante contabilizado el día 18/03/2026 el cual es reversado por la seccion el día 19/03/2026</t>
        </is>
      </c>
      <c r="P97" t="n">
        <v>79516051</v>
      </c>
    </row>
    <row r="98">
      <c r="A98" t="n">
        <v>741</v>
      </c>
      <c r="B98" t="n">
        <v>6843</v>
      </c>
      <c r="C98" t="inlineStr">
        <is>
          <t>DIEBOLD</t>
        </is>
      </c>
      <c r="D98" t="inlineStr">
        <is>
          <t>DIEBOLD</t>
        </is>
      </c>
      <c r="E98" s="3" t="n">
        <v>46100</v>
      </c>
      <c r="F98" s="3" t="n">
        <v>46099</v>
      </c>
      <c r="G98" t="inlineStr">
        <is>
          <t>09:42:00</t>
        </is>
      </c>
      <c r="H98" t="n">
        <v>141718900</v>
      </c>
      <c r="I98" t="n">
        <v>145548900</v>
      </c>
      <c r="J98" t="n">
        <v>6920000</v>
      </c>
      <c r="K98" t="n">
        <v>3090000</v>
      </c>
      <c r="M98">
        <f>I98-(H98+J98-K98)- L98</f>
        <v/>
      </c>
      <c r="N98">
        <f>IF(M98=0,"Cuadrado",IF(M98&gt;0,"Faltante","Sobrante"))</f>
        <v/>
      </c>
      <c r="O98" t="inlineStr">
        <is>
          <t>Cajero cuadrado, sin observación por parte de la sucursal</t>
        </is>
      </c>
      <c r="P98" t="n">
        <v>1130637714</v>
      </c>
    </row>
    <row r="99">
      <c r="A99" t="n">
        <v>93</v>
      </c>
      <c r="B99" t="n">
        <v>7126</v>
      </c>
      <c r="C99" t="inlineStr">
        <is>
          <t>BELLTECH</t>
        </is>
      </c>
      <c r="D99" t="inlineStr">
        <is>
          <t>DIEBOLD</t>
        </is>
      </c>
      <c r="E99" s="3" t="n">
        <v>46100</v>
      </c>
      <c r="F99" s="3" t="n">
        <v>46099</v>
      </c>
      <c r="G99" t="inlineStr">
        <is>
          <t>09:17:00</t>
        </is>
      </c>
      <c r="H99" t="n">
        <v>100089800</v>
      </c>
      <c r="I99" t="n">
        <v>97619800</v>
      </c>
      <c r="J99" t="n">
        <v>3600000</v>
      </c>
      <c r="K99" t="n">
        <v>6070000</v>
      </c>
      <c r="M99">
        <f>I99-(H99+J99-K99)- L99</f>
        <v/>
      </c>
      <c r="N99">
        <f>IF(M99=0,"Cuadrado",IF(M99&gt;0,"Faltante","Sobrante"))</f>
        <v/>
      </c>
      <c r="O99" t="inlineStr">
        <is>
          <t>Cajero cuadrado, sin observación por parte de la sucursal</t>
        </is>
      </c>
      <c r="P99" t="n">
        <v>1067931735</v>
      </c>
    </row>
    <row r="100">
      <c r="A100" t="n">
        <v>848</v>
      </c>
      <c r="B100" t="n">
        <v>7374</v>
      </c>
      <c r="C100" t="inlineStr">
        <is>
          <t>DIEBOLD</t>
        </is>
      </c>
      <c r="D100" t="inlineStr">
        <is>
          <t>DIEBOLD</t>
        </is>
      </c>
      <c r="E100" s="3" t="n">
        <v>46100</v>
      </c>
      <c r="F100" s="3" t="n">
        <v>46099</v>
      </c>
      <c r="G100" t="inlineStr">
        <is>
          <t>15:19:00</t>
        </is>
      </c>
      <c r="H100" t="n">
        <v>116965200</v>
      </c>
      <c r="I100" t="n">
        <v>87211200</v>
      </c>
      <c r="J100" t="n">
        <v>7760000</v>
      </c>
      <c r="K100" t="n">
        <v>37514000</v>
      </c>
      <c r="M100">
        <f>I100-(H100+J100-K100)- L100</f>
        <v/>
      </c>
      <c r="N100">
        <f>IF(M100=0,"Cuadrado",IF(M100&gt;0,"Faltante","Sobrante"))</f>
        <v/>
      </c>
      <c r="O100" t="inlineStr">
        <is>
          <t>Cajero cuadrado, sin observación por parte de la sucursal</t>
        </is>
      </c>
      <c r="P100" t="n">
        <v>29877107</v>
      </c>
    </row>
    <row r="101">
      <c r="A101" t="n">
        <v>556</v>
      </c>
      <c r="B101" t="n">
        <v>8333</v>
      </c>
      <c r="C101" t="inlineStr">
        <is>
          <t>BELLTECH</t>
        </is>
      </c>
      <c r="D101" t="inlineStr">
        <is>
          <t>BELLTECH</t>
        </is>
      </c>
      <c r="E101" s="3" t="n">
        <v>46100</v>
      </c>
      <c r="F101" s="3" t="n">
        <v>46099</v>
      </c>
      <c r="G101" t="inlineStr">
        <is>
          <t>09:51:00</t>
        </is>
      </c>
      <c r="H101" t="n">
        <v>536637050</v>
      </c>
      <c r="I101" t="n">
        <v>512817050</v>
      </c>
      <c r="J101" t="n">
        <v>7680000</v>
      </c>
      <c r="K101" t="n">
        <v>31500000</v>
      </c>
      <c r="M101">
        <f>I101-(H101+J101-K101)- L101</f>
        <v/>
      </c>
      <c r="N101">
        <f>IF(M101=0,"Cuadrado",IF(M101&gt;0,"Faltante","Sobrante"))</f>
        <v/>
      </c>
      <c r="O101" t="inlineStr">
        <is>
          <t>Cajero cuadrado, sin observación por parte de la sucursal</t>
        </is>
      </c>
      <c r="P101" t="n">
        <v>39450196</v>
      </c>
    </row>
    <row r="102">
      <c r="A102" t="n">
        <v>728</v>
      </c>
      <c r="B102" t="n">
        <v>8586</v>
      </c>
      <c r="C102" t="inlineStr">
        <is>
          <t>BELLTECH</t>
        </is>
      </c>
      <c r="D102" t="inlineStr">
        <is>
          <t>BELLTECH</t>
        </is>
      </c>
      <c r="E102" s="3" t="n">
        <v>46100</v>
      </c>
      <c r="F102" s="3" t="n">
        <v>46099</v>
      </c>
      <c r="G102" t="inlineStr">
        <is>
          <t>14:17:00</t>
        </is>
      </c>
      <c r="H102" t="n">
        <v>179379000</v>
      </c>
      <c r="I102" t="n">
        <v>145814000</v>
      </c>
      <c r="J102" t="n">
        <v>22510000</v>
      </c>
      <c r="K102" t="n">
        <v>56075000</v>
      </c>
      <c r="M102">
        <f>I102-(H102+J102-K102)- L102</f>
        <v/>
      </c>
      <c r="N102">
        <f>IF(M102=0,"Cuadrado",IF(M102&gt;0,"Faltante","Sobrante"))</f>
        <v/>
      </c>
      <c r="O102" t="inlineStr">
        <is>
          <t>Cajero cuadrado, sin observación por parte de la sucursal</t>
        </is>
      </c>
      <c r="P102" t="n">
        <v>1112783690</v>
      </c>
    </row>
    <row r="103">
      <c r="A103" t="n">
        <v>728</v>
      </c>
      <c r="B103" t="n">
        <v>8587</v>
      </c>
      <c r="C103" t="inlineStr">
        <is>
          <t>BELLTECH</t>
        </is>
      </c>
      <c r="D103" t="inlineStr">
        <is>
          <t>BELLTECH</t>
        </is>
      </c>
      <c r="E103" s="3" t="n">
        <v>46100</v>
      </c>
      <c r="F103" s="3" t="n">
        <v>46099</v>
      </c>
      <c r="G103" t="inlineStr">
        <is>
          <t>14:01:00</t>
        </is>
      </c>
      <c r="H103" t="n">
        <v>183562350</v>
      </c>
      <c r="I103" t="n">
        <v>163132350</v>
      </c>
      <c r="J103" t="n">
        <v>17120000</v>
      </c>
      <c r="K103" t="n">
        <v>37550000</v>
      </c>
      <c r="M103">
        <f>I103-(H103+J103-K103)- L103</f>
        <v/>
      </c>
      <c r="N103">
        <f>IF(M103=0,"Cuadrado",IF(M103&gt;0,"Faltante","Sobrante"))</f>
        <v/>
      </c>
      <c r="O103" t="inlineStr">
        <is>
          <t>Cajero cuadrado, sin observación por parte de la sucursal</t>
        </is>
      </c>
      <c r="P103" t="n">
        <v>1112783690</v>
      </c>
    </row>
    <row r="104">
      <c r="A104" t="n">
        <v>890</v>
      </c>
      <c r="B104" t="n">
        <v>9584</v>
      </c>
      <c r="C104" t="inlineStr">
        <is>
          <t>BELLTECH</t>
        </is>
      </c>
      <c r="D104" t="inlineStr">
        <is>
          <t>BELLTECH</t>
        </is>
      </c>
      <c r="E104" s="3" t="n">
        <v>46100</v>
      </c>
      <c r="F104" s="3" t="n">
        <v>46099</v>
      </c>
      <c r="G104" t="inlineStr">
        <is>
          <t>10:00:00</t>
        </is>
      </c>
      <c r="H104" t="n">
        <v>337009100</v>
      </c>
      <c r="I104" t="n">
        <v>309249100</v>
      </c>
      <c r="J104" t="n">
        <v>5450000</v>
      </c>
      <c r="K104" t="n">
        <v>33210000</v>
      </c>
      <c r="M104">
        <f>I104-(H104+J104-K104)- L104</f>
        <v/>
      </c>
      <c r="N104">
        <f>IF(M104=0,"Cuadrado",IF(M104&gt;0,"Faltante","Sobrante"))</f>
        <v/>
      </c>
      <c r="O104" t="inlineStr">
        <is>
          <t>Cajero cuadrado, sin observación por parte de la sucursal</t>
        </is>
      </c>
      <c r="P104" t="n">
        <v>1053835867</v>
      </c>
    </row>
    <row r="105">
      <c r="A105" t="n">
        <v>61</v>
      </c>
      <c r="B105" t="n">
        <v>788</v>
      </c>
      <c r="C105" t="inlineStr">
        <is>
          <t>BELLTECH</t>
        </is>
      </c>
      <c r="D105" t="inlineStr">
        <is>
          <t>BELLTECH</t>
        </is>
      </c>
      <c r="E105" s="3" t="n">
        <v>46099</v>
      </c>
      <c r="F105" s="3" t="n">
        <v>46098</v>
      </c>
      <c r="G105" t="inlineStr">
        <is>
          <t>11:20:00</t>
        </is>
      </c>
      <c r="H105" t="n">
        <v>205975550</v>
      </c>
      <c r="I105" t="n">
        <v>203455550</v>
      </c>
      <c r="J105" t="n">
        <v>1430000</v>
      </c>
      <c r="K105" t="n">
        <v>2000000</v>
      </c>
      <c r="M105">
        <f>I105-(H105+J105-K105)- L105</f>
        <v/>
      </c>
      <c r="N105">
        <f>IF(M105=0,"Cuadrado",IF(M105&gt;0,"Faltante","Sobrante"))</f>
        <v/>
      </c>
      <c r="O105" t="inlineStr">
        <is>
          <t>La diferencia es contabilizada por la Gerencia De Autoservicios y Efectivo de manera centralizada a la cuenta de sobrantes 279510020 el 18/03/2026</t>
        </is>
      </c>
    </row>
    <row r="106">
      <c r="A106" t="n">
        <v>287</v>
      </c>
      <c r="B106" t="n">
        <v>907</v>
      </c>
      <c r="C106" t="inlineStr">
        <is>
          <t>DIEBOLD</t>
        </is>
      </c>
      <c r="D106" t="inlineStr">
        <is>
          <t>DIEBOLD</t>
        </is>
      </c>
      <c r="E106" s="3" t="n">
        <v>46099</v>
      </c>
      <c r="F106" s="3" t="n">
        <v>46097</v>
      </c>
      <c r="G106" t="inlineStr">
        <is>
          <t>15:06:00</t>
        </is>
      </c>
      <c r="H106" t="n">
        <v>153313650</v>
      </c>
      <c r="I106" t="n">
        <v>165008750</v>
      </c>
      <c r="J106" t="n">
        <v>32730000</v>
      </c>
      <c r="K106" t="n">
        <v>3020000</v>
      </c>
      <c r="M106">
        <f>I106-(H106+J106-K106)- L106</f>
        <v/>
      </c>
      <c r="N106">
        <f>IF(M106=0,"Cuadrado",IF(M106&gt;0,"Faltante","Sobrante"))</f>
        <v/>
      </c>
      <c r="O106" t="inlineStr">
        <is>
          <t>La diferencia es contabilizada por la Gerencia De Autoservicios y Efectivo de manera centralizada a la cuenta de sobrantes 279510020 el 18/03/2026</t>
        </is>
      </c>
    </row>
    <row r="107">
      <c r="A107" t="n">
        <v>395</v>
      </c>
      <c r="B107" t="n">
        <v>1529</v>
      </c>
      <c r="C107" t="inlineStr">
        <is>
          <t>BELLTECH</t>
        </is>
      </c>
      <c r="D107" t="inlineStr">
        <is>
          <t>BELLTECH</t>
        </is>
      </c>
      <c r="E107" s="3" t="n">
        <v>46099</v>
      </c>
      <c r="F107" s="3" t="n">
        <v>46098</v>
      </c>
      <c r="G107" t="inlineStr">
        <is>
          <t>09:45:00</t>
        </is>
      </c>
      <c r="H107" t="n">
        <v>211457000</v>
      </c>
      <c r="I107" t="n">
        <v>207047000</v>
      </c>
      <c r="J107" t="n">
        <v>5610000</v>
      </c>
      <c r="K107" t="n">
        <v>220000</v>
      </c>
      <c r="M107">
        <f>I107-(H107+J107-K107)- L107</f>
        <v/>
      </c>
      <c r="N107">
        <f>IF(M107=0,"Cuadrado",IF(M107&gt;0,"Faltante","Sobrante"))</f>
        <v/>
      </c>
      <c r="O107" t="inlineStr">
        <is>
          <t>La diferencia es contabilizada por la Gerencia De Autoservicios y Efectivo de manera centralizada a la cuenta de sobrantes 279510020 el 18/03/2026</t>
        </is>
      </c>
    </row>
    <row r="108">
      <c r="A108" t="n">
        <v>141</v>
      </c>
      <c r="B108" t="n">
        <v>1541</v>
      </c>
      <c r="C108" t="inlineStr">
        <is>
          <t>BELLTECH</t>
        </is>
      </c>
      <c r="D108" t="inlineStr">
        <is>
          <t>BELLTECH</t>
        </is>
      </c>
      <c r="E108" s="3" t="n">
        <v>46099</v>
      </c>
      <c r="F108" s="3" t="n">
        <v>46098</v>
      </c>
      <c r="G108" t="inlineStr">
        <is>
          <t>11:19:00</t>
        </is>
      </c>
      <c r="H108" t="n">
        <v>155925150</v>
      </c>
      <c r="I108" t="n">
        <v>153311650</v>
      </c>
      <c r="J108" t="n">
        <v>12470000</v>
      </c>
      <c r="K108" t="n">
        <v>14405000</v>
      </c>
      <c r="M108">
        <f>I108-(H108+J108-K108)- L108</f>
        <v/>
      </c>
      <c r="N108">
        <f>IF(M108=0,"Cuadrado",IF(M108&gt;0,"Faltante","Sobrante"))</f>
        <v/>
      </c>
      <c r="O108" t="inlineStr">
        <is>
          <t>La diferencia es contabilizada por la Gerencia De Autoservicios y Efectivo de manera centralizada a la cuenta de sobrantes 279510020 el 18/03/2026</t>
        </is>
      </c>
    </row>
    <row r="109">
      <c r="A109" t="n">
        <v>944</v>
      </c>
      <c r="B109" t="n">
        <v>2228</v>
      </c>
      <c r="C109" t="inlineStr">
        <is>
          <t>BELLTECH</t>
        </is>
      </c>
      <c r="D109" t="inlineStr">
        <is>
          <t>BELLTECH</t>
        </is>
      </c>
      <c r="E109" s="3" t="n">
        <v>46099</v>
      </c>
      <c r="F109" s="3" t="n">
        <v>46098</v>
      </c>
      <c r="G109" t="inlineStr">
        <is>
          <t>09:29:00</t>
        </is>
      </c>
      <c r="H109" t="n">
        <v>331942550</v>
      </c>
      <c r="I109" t="n">
        <v>327005900</v>
      </c>
      <c r="J109" t="n">
        <v>0</v>
      </c>
      <c r="K109" t="n">
        <v>0</v>
      </c>
      <c r="M109">
        <f>I109-(H109+J109-K109)- L109</f>
        <v/>
      </c>
      <c r="N109">
        <f>IF(M109=0,"Cuadrado",IF(M109&gt;0,"Faltante","Sobrante"))</f>
        <v/>
      </c>
      <c r="O109" t="inlineStr">
        <is>
          <t>La diferencia es contabilizada por la Gerencia De Autoservicios y Efectivo de manera centralizada a la cuenta de sobrantes 279510020 el 18/03/2026</t>
        </is>
      </c>
    </row>
    <row r="110">
      <c r="A110" t="n">
        <v>723</v>
      </c>
      <c r="B110" t="n">
        <v>5046</v>
      </c>
      <c r="C110" t="inlineStr">
        <is>
          <t>BELLTECH</t>
        </is>
      </c>
      <c r="D110" t="inlineStr">
        <is>
          <t>BELLTECH</t>
        </is>
      </c>
      <c r="E110" s="3" t="n">
        <v>46099</v>
      </c>
      <c r="F110" s="3" t="n">
        <v>46098</v>
      </c>
      <c r="G110" t="inlineStr">
        <is>
          <t>15:50:00</t>
        </is>
      </c>
      <c r="H110" t="n">
        <v>181772500</v>
      </c>
      <c r="I110" t="n">
        <v>128155500</v>
      </c>
      <c r="J110" t="n">
        <v>57100000</v>
      </c>
      <c r="K110" t="n">
        <v>94038000</v>
      </c>
      <c r="M110">
        <f>I110-(H110+J110-K110)- L110</f>
        <v/>
      </c>
      <c r="N110">
        <f>IF(M110=0,"Cuadrado",IF(M110&gt;0,"Faltante","Sobrante"))</f>
        <v/>
      </c>
      <c r="O110" t="inlineStr">
        <is>
          <t>La diferencia es contabilizada por la Gerencia De Autoservicios y Efectivo de manera centralizada a la cuenta de sobrantes 279510020 el 18/03/2026</t>
        </is>
      </c>
    </row>
    <row r="111">
      <c r="A111" t="n">
        <v>682</v>
      </c>
      <c r="B111" t="n">
        <v>5049</v>
      </c>
      <c r="C111" t="inlineStr">
        <is>
          <t>BELLTECH</t>
        </is>
      </c>
      <c r="D111" t="inlineStr">
        <is>
          <t>BELLTECH</t>
        </is>
      </c>
      <c r="E111" s="3" t="n">
        <v>46099</v>
      </c>
      <c r="F111" s="3" t="n">
        <v>46098</v>
      </c>
      <c r="G111" t="inlineStr">
        <is>
          <t>09:19:00</t>
        </is>
      </c>
      <c r="H111" t="n">
        <v>225384050</v>
      </c>
      <c r="I111" t="n">
        <v>217768850</v>
      </c>
      <c r="J111" t="n">
        <v>4990000</v>
      </c>
      <c r="K111" t="n">
        <v>9685000</v>
      </c>
      <c r="M111">
        <f>I111-(H111+J111-K111)- L111</f>
        <v/>
      </c>
      <c r="N111">
        <f>IF(M111=0,"Cuadrado",IF(M111&gt;0,"Faltante","Sobrante"))</f>
        <v/>
      </c>
      <c r="O111" t="inlineStr">
        <is>
          <t>La diferencia es contabilizada por la Gerencia De Autoservicios y Efectivo de manera centralizada a la cuenta de sobrantes 279510020 el 18/03/2026</t>
        </is>
      </c>
    </row>
    <row r="112">
      <c r="A112" t="n">
        <v>24</v>
      </c>
      <c r="B112" t="n">
        <v>5066</v>
      </c>
      <c r="C112" t="inlineStr">
        <is>
          <t>BELLTECH</t>
        </is>
      </c>
      <c r="D112" t="inlineStr">
        <is>
          <t>BELLTECH</t>
        </is>
      </c>
      <c r="E112" s="3" t="n">
        <v>46099</v>
      </c>
      <c r="F112" s="3" t="n">
        <v>46098</v>
      </c>
      <c r="G112" t="inlineStr">
        <is>
          <t>07:10:00</t>
        </is>
      </c>
      <c r="H112" t="n">
        <v>216243300</v>
      </c>
      <c r="I112" t="n">
        <v>213070650</v>
      </c>
      <c r="J112" t="n">
        <v>370000</v>
      </c>
      <c r="K112" t="n">
        <v>3515000</v>
      </c>
      <c r="M112">
        <f>I112-(H112+J112-K112)- L112</f>
        <v/>
      </c>
      <c r="N112">
        <f>IF(M112=0,"Cuadrado",IF(M112&gt;0,"Faltante","Sobrante"))</f>
        <v/>
      </c>
      <c r="O112" t="inlineStr">
        <is>
          <t>El faltante $3.771.250 es cruzado con sobrante contabilizado el día 17/03/2026 ($3.771.250) el cual es reversado por la seccion el día 18/03/2026</t>
        </is>
      </c>
    </row>
    <row r="113">
      <c r="A113" t="n">
        <v>652</v>
      </c>
      <c r="B113" t="n">
        <v>5070</v>
      </c>
      <c r="C113" t="inlineStr">
        <is>
          <t>BELLTECH</t>
        </is>
      </c>
      <c r="D113" t="inlineStr">
        <is>
          <t>BELLTECH</t>
        </is>
      </c>
      <c r="E113" s="3" t="n">
        <v>46099</v>
      </c>
      <c r="F113" s="3" t="n">
        <v>46098</v>
      </c>
      <c r="G113" t="inlineStr">
        <is>
          <t>10:25:00</t>
        </is>
      </c>
      <c r="H113" t="n">
        <v>209863600</v>
      </c>
      <c r="I113" t="n">
        <v>203457350</v>
      </c>
      <c r="J113" t="n">
        <v>5780000</v>
      </c>
      <c r="K113" t="n">
        <v>12726500</v>
      </c>
      <c r="M113">
        <f>I113-(H113+J113-K113)- L113</f>
        <v/>
      </c>
      <c r="N113">
        <f>IF(M113=0,"Cuadrado",IF(M113&gt;0,"Faltante","Sobrante"))</f>
        <v/>
      </c>
      <c r="O113" t="inlineStr">
        <is>
          <t>La diferencia es contabilizada por la Gerencia De Autoservicios y Efectivo de manera centralizada a la cuenta de faltantes 168710093 el 18/03/2026, esta diferencia ingresa a proceso de investigación en el área para identificar a que corresponde.</t>
        </is>
      </c>
    </row>
    <row r="114">
      <c r="A114" t="n">
        <v>333</v>
      </c>
      <c r="B114" t="n">
        <v>5076</v>
      </c>
      <c r="C114" t="inlineStr">
        <is>
          <t>BELLTECH</t>
        </is>
      </c>
      <c r="D114" t="inlineStr">
        <is>
          <t>DIEBOLD</t>
        </is>
      </c>
      <c r="E114" s="3" t="n">
        <v>46099</v>
      </c>
      <c r="F114" s="3" t="n">
        <v>46098</v>
      </c>
      <c r="G114" t="inlineStr">
        <is>
          <t>13:33:00</t>
        </is>
      </c>
      <c r="H114" t="n">
        <v>61038650</v>
      </c>
      <c r="I114" t="n">
        <v>204208650</v>
      </c>
      <c r="J114" t="n">
        <v>6140000</v>
      </c>
      <c r="K114" t="n">
        <v>7400000</v>
      </c>
      <c r="M114">
        <f>I114-(H114+J114-K114)- L114</f>
        <v/>
      </c>
      <c r="N114">
        <f>IF(M114=0,"Cuadrado",IF(M114&gt;0,"Faltante","Sobrante"))</f>
        <v/>
      </c>
      <c r="O114" t="inlineStr">
        <is>
          <t>La diferencia es contabilizada por la Gerencia De Autoservicios y Efectivo de manera centralizada a la cuenta de sobrantes 279510020 el 18/03/2026</t>
        </is>
      </c>
    </row>
    <row r="115">
      <c r="A115" t="n">
        <v>523</v>
      </c>
      <c r="B115" t="n">
        <v>5082</v>
      </c>
      <c r="C115" t="inlineStr">
        <is>
          <t>BELLTECH</t>
        </is>
      </c>
      <c r="D115" t="inlineStr">
        <is>
          <t>BELLTECH</t>
        </is>
      </c>
      <c r="E115" s="3" t="n">
        <v>46099</v>
      </c>
      <c r="F115" s="3" t="n">
        <v>46098</v>
      </c>
      <c r="G115" t="inlineStr">
        <is>
          <t>08:55:00</t>
        </is>
      </c>
      <c r="H115" t="n">
        <v>167425950</v>
      </c>
      <c r="I115" t="n">
        <v>162426000</v>
      </c>
      <c r="J115" t="n">
        <v>0</v>
      </c>
      <c r="K115" t="n">
        <v>0</v>
      </c>
      <c r="M115">
        <f>I115-(H115+J115-K115)- L115</f>
        <v/>
      </c>
      <c r="N115">
        <f>IF(M115=0,"Cuadrado",IF(M115&gt;0,"Faltante","Sobrante"))</f>
        <v/>
      </c>
      <c r="O115" t="inlineStr">
        <is>
          <t>La diferencia es contabilizada por la Gerencia De Autoservicios y Efectivo de manera centralizada a la cuenta de sobrantes 279510020 el 18/03/2026</t>
        </is>
      </c>
    </row>
    <row r="116">
      <c r="A116" t="n">
        <v>73</v>
      </c>
      <c r="B116" t="n">
        <v>5108</v>
      </c>
      <c r="C116" t="inlineStr">
        <is>
          <t>BELLTECH</t>
        </is>
      </c>
      <c r="D116" t="inlineStr">
        <is>
          <t>BELLTECH</t>
        </is>
      </c>
      <c r="E116" s="3" t="n">
        <v>46099</v>
      </c>
      <c r="F116" s="3" t="n">
        <v>46098</v>
      </c>
      <c r="G116" t="inlineStr">
        <is>
          <t>08:46:23</t>
        </is>
      </c>
      <c r="H116" t="n">
        <v>52492050</v>
      </c>
      <c r="I116" t="n">
        <v>40036050</v>
      </c>
      <c r="J116" t="n">
        <v>2000000</v>
      </c>
      <c r="K116" t="n">
        <v>6591000</v>
      </c>
      <c r="M116">
        <f>I116-(H116+J116-K116)- L116</f>
        <v/>
      </c>
      <c r="N116">
        <f>IF(M116=0,"Cuadrado",IF(M116&gt;0,"Faltante","Sobrante"))</f>
        <v/>
      </c>
      <c r="O116" t="inlineStr">
        <is>
          <t>La diferencia es contabilizada por la Gerencia De Autoservicios y Efectivo de manera centralizada a la cuenta de sobrantes 279510020 el 18/03/2026</t>
        </is>
      </c>
    </row>
    <row r="117">
      <c r="A117" t="n">
        <v>829</v>
      </c>
      <c r="B117" t="n">
        <v>5137</v>
      </c>
      <c r="C117" t="inlineStr">
        <is>
          <t>BELLTECH</t>
        </is>
      </c>
      <c r="D117" t="inlineStr">
        <is>
          <t>BELLTECH</t>
        </is>
      </c>
      <c r="E117" s="3" t="n">
        <v>46099</v>
      </c>
      <c r="F117" s="3" t="n">
        <v>46098</v>
      </c>
      <c r="G117" t="inlineStr">
        <is>
          <t>08:40:00</t>
        </is>
      </c>
      <c r="H117" t="n">
        <v>264842300</v>
      </c>
      <c r="I117" t="n">
        <v>261322300</v>
      </c>
      <c r="J117" t="n">
        <v>590000</v>
      </c>
      <c r="K117" t="n">
        <v>4100000</v>
      </c>
      <c r="M117">
        <f>I117-(H117+J117-K117)- L117</f>
        <v/>
      </c>
      <c r="N117">
        <f>IF(M117=0,"Cuadrado",IF(M117&gt;0,"Faltante","Sobrante"))</f>
        <v/>
      </c>
      <c r="O117" t="inlineStr">
        <is>
          <t>La diferencia es contabilizada por la Gerencia De Autoservicios y Efectivo de manera centralizada a la cuenta de sobrantes 279510020 el 18/03/2026</t>
        </is>
      </c>
    </row>
    <row r="118">
      <c r="A118" t="n">
        <v>279</v>
      </c>
      <c r="B118" t="n">
        <v>5147</v>
      </c>
      <c r="C118" t="inlineStr">
        <is>
          <t>BELLTECH</t>
        </is>
      </c>
      <c r="D118" t="inlineStr">
        <is>
          <t>DIEBOLD</t>
        </is>
      </c>
      <c r="E118" s="3" t="n">
        <v>46099</v>
      </c>
      <c r="F118" s="3" t="n">
        <v>46098</v>
      </c>
      <c r="G118" t="inlineStr">
        <is>
          <t>10:21:00</t>
        </is>
      </c>
      <c r="H118" t="n">
        <v>164220600</v>
      </c>
      <c r="I118" t="n">
        <v>163918600</v>
      </c>
      <c r="J118" t="n">
        <v>0</v>
      </c>
      <c r="K118" t="n">
        <v>0</v>
      </c>
      <c r="M118">
        <f>I118-(H118+J118-K118)- L118</f>
        <v/>
      </c>
      <c r="N118">
        <f>IF(M118=0,"Cuadrado",IF(M118&gt;0,"Faltante","Sobrante"))</f>
        <v/>
      </c>
      <c r="O118" t="inlineStr">
        <is>
          <t>La diferencia es contabilizada por la Gerencia De Autoservicios y Efectivo de manera centralizada a la cuenta de sobrantes 279510020 el 18/03/2026</t>
        </is>
      </c>
    </row>
    <row r="119">
      <c r="A119" t="n">
        <v>358</v>
      </c>
      <c r="B119" t="n">
        <v>5149</v>
      </c>
      <c r="C119" t="inlineStr">
        <is>
          <t>BELLTECH</t>
        </is>
      </c>
      <c r="D119" t="inlineStr">
        <is>
          <t>BELLTECH</t>
        </is>
      </c>
      <c r="E119" s="3" t="n">
        <v>46099</v>
      </c>
      <c r="F119" s="3" t="n">
        <v>46098</v>
      </c>
      <c r="G119" t="inlineStr">
        <is>
          <t>10:03:00</t>
        </is>
      </c>
      <c r="H119" t="n">
        <v>369948450</v>
      </c>
      <c r="I119" t="n">
        <v>345906450</v>
      </c>
      <c r="J119" t="n">
        <v>2100000</v>
      </c>
      <c r="K119" t="n">
        <v>25150000</v>
      </c>
      <c r="M119">
        <f>I119-(H119+J119-K119)- L119</f>
        <v/>
      </c>
      <c r="N119">
        <f>IF(M119=0,"Cuadrado",IF(M119&gt;0,"Faltante","Sobrante"))</f>
        <v/>
      </c>
      <c r="O119" t="inlineStr">
        <is>
          <t>La diferencia es contabilizada por la Gerencia De Autoservicios y Efectivo de manera centralizada a la cuenta de sobrantes 279510020 el 18/03/2026</t>
        </is>
      </c>
    </row>
    <row r="120">
      <c r="A120" t="n">
        <v>756</v>
      </c>
      <c r="B120" t="n">
        <v>5183</v>
      </c>
      <c r="C120" t="inlineStr">
        <is>
          <t>DIEBOLD</t>
        </is>
      </c>
      <c r="D120" t="inlineStr">
        <is>
          <t>DIEBOLD</t>
        </is>
      </c>
      <c r="E120" s="3" t="n">
        <v>46099</v>
      </c>
      <c r="F120" s="3" t="n">
        <v>46098</v>
      </c>
      <c r="G120" t="inlineStr">
        <is>
          <t>10:16:00</t>
        </is>
      </c>
      <c r="H120" t="n">
        <v>172762350</v>
      </c>
      <c r="I120" t="n">
        <v>168571200</v>
      </c>
      <c r="J120" t="n">
        <v>6030000</v>
      </c>
      <c r="K120" t="n">
        <v>13595100</v>
      </c>
      <c r="M120">
        <f>I120-(H120+J120-K120)- L120</f>
        <v/>
      </c>
      <c r="N120">
        <f>IF(M120=0,"Cuadrado",IF(M120&gt;0,"Faltante","Sobrante"))</f>
        <v/>
      </c>
      <c r="O120" t="inlineStr">
        <is>
          <t>El faltante $3.373.950 es cruzado con sobrante contabilizado el día 11/03/2026 ($399.900), el día 12/03/2026 ($1.800.000), el día 13/03/2026 ($1.174.050) el cual es reversado por la seccion el día 18/03/2026</t>
        </is>
      </c>
    </row>
    <row r="121">
      <c r="A121" t="n">
        <v>698</v>
      </c>
      <c r="B121" t="n">
        <v>5187</v>
      </c>
      <c r="C121" t="inlineStr">
        <is>
          <t>BELLTECH</t>
        </is>
      </c>
      <c r="D121" t="inlineStr">
        <is>
          <t>BELLTECH</t>
        </is>
      </c>
      <c r="E121" s="3" t="n">
        <v>46099</v>
      </c>
      <c r="F121" s="3" t="n">
        <v>46098</v>
      </c>
      <c r="G121" t="inlineStr">
        <is>
          <t>11:30:00</t>
        </is>
      </c>
      <c r="H121" t="n">
        <v>155881650</v>
      </c>
      <c r="I121" t="n">
        <v>139470650</v>
      </c>
      <c r="J121" t="n">
        <v>10190000</v>
      </c>
      <c r="K121" t="n">
        <v>16600000</v>
      </c>
      <c r="M121">
        <f>I121-(H121+J121-K121)- L121</f>
        <v/>
      </c>
      <c r="N121">
        <f>IF(M121=0,"Cuadrado",IF(M121&gt;0,"Faltante","Sobrante"))</f>
        <v/>
      </c>
      <c r="O121" t="inlineStr">
        <is>
          <t>La diferencia es contabilizada por la Gerencia De Autoservicios y Efectivo de manera centralizada a la cuenta de sobrantes 279510020 el 18/03/2026</t>
        </is>
      </c>
    </row>
    <row r="122">
      <c r="A122" t="n">
        <v>383</v>
      </c>
      <c r="B122" t="n">
        <v>5194</v>
      </c>
      <c r="C122" t="inlineStr">
        <is>
          <t>BELLTECH</t>
        </is>
      </c>
      <c r="D122" t="inlineStr">
        <is>
          <t>BELLTECH</t>
        </is>
      </c>
      <c r="E122" s="3" t="n">
        <v>46099</v>
      </c>
      <c r="F122" s="3" t="n">
        <v>46098</v>
      </c>
      <c r="G122" t="inlineStr">
        <is>
          <t>09:37:51</t>
        </is>
      </c>
      <c r="H122" t="n">
        <v>150562200</v>
      </c>
      <c r="I122" t="n">
        <v>152422200</v>
      </c>
      <c r="J122" t="n">
        <v>12600000</v>
      </c>
      <c r="K122" t="n">
        <v>13440000</v>
      </c>
      <c r="M122">
        <f>I122-(H122+J122-K122)- L122</f>
        <v/>
      </c>
      <c r="N122">
        <f>IF(M122=0,"Cuadrado",IF(M122&gt;0,"Faltante","Sobrante"))</f>
        <v/>
      </c>
      <c r="O122" t="inlineStr">
        <is>
          <t>Cajero cuadrado, sin observación por parte de la sucursal</t>
        </is>
      </c>
    </row>
    <row r="123">
      <c r="A123" t="n">
        <v>432</v>
      </c>
      <c r="B123" t="n">
        <v>5195</v>
      </c>
      <c r="C123" t="inlineStr">
        <is>
          <t>BELLTECH</t>
        </is>
      </c>
      <c r="D123" t="inlineStr">
        <is>
          <t>BELLTECH</t>
        </is>
      </c>
      <c r="E123" s="3" t="n">
        <v>46099</v>
      </c>
      <c r="F123" s="3" t="n">
        <v>46098</v>
      </c>
      <c r="G123" t="inlineStr">
        <is>
          <t>14:04:00</t>
        </is>
      </c>
      <c r="H123" t="n">
        <v>222501750</v>
      </c>
      <c r="I123" t="n">
        <v>183242750</v>
      </c>
      <c r="J123" t="n">
        <v>21210000</v>
      </c>
      <c r="K123" t="n">
        <v>63660000</v>
      </c>
      <c r="M123">
        <f>I123-(H123+J123-K123)- L123</f>
        <v/>
      </c>
      <c r="N123">
        <f>IF(M123=0,"Cuadrado",IF(M123&gt;0,"Faltante","Sobrante"))</f>
        <v/>
      </c>
      <c r="O123" t="inlineStr">
        <is>
          <t>Cajero cuadrado, sin observación por parte de la sucursal</t>
        </is>
      </c>
    </row>
    <row r="124">
      <c r="A124" t="n">
        <v>941</v>
      </c>
      <c r="B124" t="n">
        <v>5220</v>
      </c>
      <c r="C124" t="inlineStr">
        <is>
          <t>BELLTECH</t>
        </is>
      </c>
      <c r="D124" t="inlineStr">
        <is>
          <t>BELLTECH</t>
        </is>
      </c>
      <c r="E124" s="3" t="n">
        <v>46099</v>
      </c>
      <c r="F124" s="3" t="n">
        <v>46098</v>
      </c>
      <c r="G124" t="inlineStr">
        <is>
          <t>08:48:00</t>
        </is>
      </c>
      <c r="H124" t="n">
        <v>209349950</v>
      </c>
      <c r="I124" t="n">
        <v>205893400</v>
      </c>
      <c r="J124" t="n">
        <v>4160000</v>
      </c>
      <c r="K124" t="n">
        <v>6540000</v>
      </c>
      <c r="M124">
        <f>I124-(H124+J124-K124)- L124</f>
        <v/>
      </c>
      <c r="N124">
        <f>IF(M124=0,"Cuadrado",IF(M124&gt;0,"Faltante","Sobrante"))</f>
        <v/>
      </c>
      <c r="O124" t="inlineStr">
        <is>
          <t>La diferencia es contabilizada por la Gerencia De Autoservicios y Efectivo de manera centralizada a la cuenta de sobrantes 279510020 el 18/03/2026</t>
        </is>
      </c>
    </row>
    <row r="125">
      <c r="A125" t="n">
        <v>946</v>
      </c>
      <c r="B125" t="n">
        <v>5225</v>
      </c>
      <c r="C125" t="inlineStr">
        <is>
          <t>BELLTECH</t>
        </is>
      </c>
      <c r="D125" t="inlineStr">
        <is>
          <t>BELLTECH</t>
        </is>
      </c>
      <c r="E125" s="3" t="n">
        <v>46099</v>
      </c>
      <c r="F125" s="3" t="n">
        <v>46098</v>
      </c>
      <c r="G125" t="inlineStr">
        <is>
          <t>11:38:00</t>
        </is>
      </c>
      <c r="H125" t="n">
        <v>321212350</v>
      </c>
      <c r="I125" t="n">
        <v>348568350</v>
      </c>
      <c r="J125" t="n">
        <v>34740000</v>
      </c>
      <c r="K125" t="n">
        <v>7084000</v>
      </c>
      <c r="M125">
        <f>I125-(H125+J125-K125)- L125</f>
        <v/>
      </c>
      <c r="N125">
        <f>IF(M125=0,"Cuadrado",IF(M125&gt;0,"Faltante","Sobrante"))</f>
        <v/>
      </c>
      <c r="O125" t="inlineStr">
        <is>
          <t>La diferencia es contabilizada por la Gerencia De Autoservicios y Efectivo de manera centralizada a la cuenta de sobrantes 279510020 el 18/03/2026</t>
        </is>
      </c>
    </row>
    <row r="126">
      <c r="A126" t="n">
        <v>690</v>
      </c>
      <c r="B126" t="n">
        <v>6180</v>
      </c>
      <c r="C126" t="inlineStr">
        <is>
          <t>BELLTECH</t>
        </is>
      </c>
      <c r="D126" t="inlineStr">
        <is>
          <t>BELLTECH</t>
        </is>
      </c>
      <c r="E126" s="3" t="n">
        <v>46099</v>
      </c>
      <c r="F126" s="3" t="n">
        <v>46098</v>
      </c>
      <c r="G126" t="inlineStr">
        <is>
          <t>12:10:00</t>
        </is>
      </c>
      <c r="H126" t="n">
        <v>98424500</v>
      </c>
      <c r="I126" t="n">
        <v>86719500</v>
      </c>
      <c r="J126" t="n">
        <v>24560000</v>
      </c>
      <c r="K126" t="n">
        <v>36755000</v>
      </c>
      <c r="M126">
        <f>I126-(H126+J126-K126)- L126</f>
        <v/>
      </c>
      <c r="N126">
        <f>IF(M126=0,"Cuadrado",IF(M126&gt;0,"Faltante","Sobrante"))</f>
        <v/>
      </c>
      <c r="O126" t="inlineStr">
        <is>
          <t>El faltante $490.000 es cruzado con sobrante contabilizado el día 04/03/2026 ($490.000) el cual es reversado por la seccion el día 18/03/2026</t>
        </is>
      </c>
    </row>
    <row r="127">
      <c r="A127" t="n">
        <v>601</v>
      </c>
      <c r="B127" t="n">
        <v>6407</v>
      </c>
      <c r="C127" t="inlineStr">
        <is>
          <t>BELLTECH</t>
        </is>
      </c>
      <c r="D127" t="inlineStr">
        <is>
          <t>BELLTECH</t>
        </is>
      </c>
      <c r="E127" s="3" t="n">
        <v>46099</v>
      </c>
      <c r="F127" s="3" t="n">
        <v>46098</v>
      </c>
      <c r="G127" t="inlineStr">
        <is>
          <t>11:28:00</t>
        </is>
      </c>
      <c r="H127" t="n">
        <v>213178650</v>
      </c>
      <c r="I127" t="n">
        <v>158011150</v>
      </c>
      <c r="J127" t="n">
        <v>8380000</v>
      </c>
      <c r="K127" t="n">
        <v>63197000</v>
      </c>
      <c r="M127">
        <f>I127-(H127+J127-K127)- L127</f>
        <v/>
      </c>
      <c r="N127">
        <f>IF(M127=0,"Cuadrado",IF(M127&gt;0,"Faltante","Sobrante"))</f>
        <v/>
      </c>
      <c r="O127" t="inlineStr">
        <is>
          <t>La diferencia es contabilizada por la Gerencia De Autoservicios y Efectivo de manera centralizada a la cuenta de sobrantes 279510020 el 18/03/2026</t>
        </is>
      </c>
    </row>
    <row r="128">
      <c r="A128" t="n">
        <v>202</v>
      </c>
      <c r="B128" t="n">
        <v>6608</v>
      </c>
      <c r="C128" t="inlineStr">
        <is>
          <t>BELLTECH</t>
        </is>
      </c>
      <c r="D128" t="inlineStr">
        <is>
          <t>DIEBOLD</t>
        </is>
      </c>
      <c r="E128" s="3" t="n">
        <v>46099</v>
      </c>
      <c r="F128" s="3" t="n">
        <v>46098</v>
      </c>
      <c r="G128" t="inlineStr">
        <is>
          <t>11:16:00</t>
        </is>
      </c>
      <c r="H128" t="n">
        <v>192685150</v>
      </c>
      <c r="I128" t="n">
        <v>186687550</v>
      </c>
      <c r="J128" t="n">
        <v>13450000</v>
      </c>
      <c r="K128" t="n">
        <v>28122700</v>
      </c>
      <c r="M128">
        <f>I128-(H128+J128-K128)- L128</f>
        <v/>
      </c>
      <c r="N128">
        <f>IF(M128=0,"Cuadrado",IF(M128&gt;0,"Faltante","Sobrante"))</f>
        <v/>
      </c>
      <c r="O128" t="inlineStr">
        <is>
          <t>ACLARAR DIFERENCIA Y REPETIR EL ARQUEO</t>
        </is>
      </c>
    </row>
    <row r="129">
      <c r="A129" t="n">
        <v>613</v>
      </c>
      <c r="B129" t="n">
        <v>6713</v>
      </c>
      <c r="C129" t="inlineStr">
        <is>
          <t>DIEBOLD</t>
        </is>
      </c>
      <c r="D129" t="inlineStr">
        <is>
          <t>DIEBOLD</t>
        </is>
      </c>
      <c r="E129" s="3" t="n">
        <v>46099</v>
      </c>
      <c r="F129" s="3" t="n">
        <v>46098</v>
      </c>
      <c r="G129" t="inlineStr">
        <is>
          <t>14:30:00</t>
        </is>
      </c>
      <c r="H129" t="n">
        <v>226012350</v>
      </c>
      <c r="I129" t="n">
        <v>223619350</v>
      </c>
      <c r="J129" t="n">
        <v>4430000</v>
      </c>
      <c r="K129" t="n">
        <v>4355000</v>
      </c>
      <c r="M129">
        <f>I129-(H129+J129-K129)- L129</f>
        <v/>
      </c>
      <c r="N129">
        <f>IF(M129=0,"Cuadrado",IF(M129&gt;0,"Faltante","Sobrante"))</f>
        <v/>
      </c>
      <c r="O129" t="inlineStr">
        <is>
          <t>La diferencia es contabilizada por la Gerencia De Autoservicios y Efectivo de manera centralizada a la cuenta de sobrantes 279510020 el 18/03/2026</t>
        </is>
      </c>
    </row>
    <row r="130">
      <c r="A130" t="n">
        <v>96</v>
      </c>
      <c r="B130" t="n">
        <v>6735</v>
      </c>
      <c r="C130" t="inlineStr">
        <is>
          <t>BELLTECH</t>
        </is>
      </c>
      <c r="D130" t="inlineStr">
        <is>
          <t>BELLTECH</t>
        </is>
      </c>
      <c r="E130" s="3" t="n">
        <v>46099</v>
      </c>
      <c r="F130" s="3" t="n">
        <v>46098</v>
      </c>
      <c r="G130" t="inlineStr">
        <is>
          <t>10:55:00</t>
        </is>
      </c>
      <c r="H130" t="n">
        <v>149452450</v>
      </c>
      <c r="I130" t="n">
        <v>157094450</v>
      </c>
      <c r="J130" t="n">
        <v>24790000</v>
      </c>
      <c r="K130" t="n">
        <v>18960000</v>
      </c>
      <c r="M130">
        <f>I130-(H130+J130-K130)- L130</f>
        <v/>
      </c>
      <c r="N130">
        <f>IF(M130=0,"Cuadrado",IF(M130&gt;0,"Faltante","Sobrante"))</f>
        <v/>
      </c>
      <c r="O130" t="inlineStr">
        <is>
          <t>El faltante $1.812.000 es cruzado con sobrante contabilizado el día 13/03/2026 ($992.000), el día 16/03/2026 ($820.000) el cual es reversado por la seccion el día 18/03/2026</t>
        </is>
      </c>
    </row>
    <row r="131">
      <c r="A131" t="n">
        <v>796</v>
      </c>
      <c r="B131" t="n">
        <v>6911</v>
      </c>
      <c r="C131" t="inlineStr">
        <is>
          <t>BELLTECH</t>
        </is>
      </c>
      <c r="D131" t="inlineStr">
        <is>
          <t>DIEBOLD</t>
        </is>
      </c>
      <c r="E131" s="3" t="n">
        <v>46099</v>
      </c>
      <c r="F131" s="3" t="n">
        <v>46098</v>
      </c>
      <c r="G131" t="inlineStr">
        <is>
          <t>08:50:00</t>
        </is>
      </c>
      <c r="H131" t="n">
        <v>163629850</v>
      </c>
      <c r="I131" t="n">
        <v>157429850</v>
      </c>
      <c r="J131" t="n">
        <v>610000</v>
      </c>
      <c r="K131" t="n">
        <v>7400000</v>
      </c>
      <c r="M131">
        <f>I131-(H131+J131-K131)- L131</f>
        <v/>
      </c>
      <c r="N131">
        <f>IF(M131=0,"Cuadrado",IF(M131&gt;0,"Faltante","Sobrante"))</f>
        <v/>
      </c>
      <c r="O131" t="inlineStr">
        <is>
          <t>El faltante $590.000 es cruzado con sobrante contabilizado el día 05/03/2026 ($590.000) el cual es reversado por la seccion el día 18/03/2026</t>
        </is>
      </c>
    </row>
    <row r="132">
      <c r="A132" t="n">
        <v>385</v>
      </c>
      <c r="B132" t="n">
        <v>7139</v>
      </c>
      <c r="C132" t="inlineStr">
        <is>
          <t>BELLTECH</t>
        </is>
      </c>
      <c r="D132" t="inlineStr">
        <is>
          <t>DIEBOLD</t>
        </is>
      </c>
      <c r="E132" s="3" t="n">
        <v>46099</v>
      </c>
      <c r="F132" s="3" t="n">
        <v>46098</v>
      </c>
      <c r="G132" t="inlineStr">
        <is>
          <t>15:30:00</t>
        </is>
      </c>
      <c r="H132" t="n">
        <v>200605850</v>
      </c>
      <c r="I132" t="n">
        <v>208583850</v>
      </c>
      <c r="J132" t="n">
        <v>30860000</v>
      </c>
      <c r="K132" t="n">
        <v>13482000</v>
      </c>
      <c r="M132">
        <f>I132-(H132+J132-K132)- L132</f>
        <v/>
      </c>
      <c r="N132">
        <f>IF(M132=0,"Cuadrado",IF(M132&gt;0,"Faltante","Sobrante"))</f>
        <v/>
      </c>
      <c r="O132" t="inlineStr">
        <is>
          <t>La diferencia es contabilizada por la Gerencia De Autoservicios y Efectivo de manera centralizada a la cuenta de sobrantes 279510020 el 18/03/2026</t>
        </is>
      </c>
    </row>
    <row r="133">
      <c r="A133" t="n">
        <v>609</v>
      </c>
      <c r="B133" t="n">
        <v>7875</v>
      </c>
      <c r="C133" t="inlineStr">
        <is>
          <t>BELLTECH</t>
        </is>
      </c>
      <c r="D133" t="inlineStr">
        <is>
          <t>BELLTECH</t>
        </is>
      </c>
      <c r="E133" s="3" t="n">
        <v>46099</v>
      </c>
      <c r="F133" s="3" t="n">
        <v>46098</v>
      </c>
      <c r="G133" t="inlineStr">
        <is>
          <t>10:07:00</t>
        </is>
      </c>
      <c r="H133" t="n">
        <v>99185350</v>
      </c>
      <c r="I133" t="n">
        <v>122411650</v>
      </c>
      <c r="J133" t="n">
        <v>33090000</v>
      </c>
      <c r="K133" t="n">
        <v>10830700</v>
      </c>
      <c r="M133">
        <f>I133-(H133+J133-K133)- L133</f>
        <v/>
      </c>
      <c r="N133">
        <f>IF(M133=0,"Cuadrado",IF(M133&gt;0,"Faltante","Sobrante"))</f>
        <v/>
      </c>
      <c r="O133" t="inlineStr">
        <is>
          <t>El faltante $967.000 es cruzado con sobrante contabilizado el día 11/03/2026 ($967.000) el cual es reversado por la seccion el día 18/03/2026</t>
        </is>
      </c>
    </row>
    <row r="134">
      <c r="A134" t="n">
        <v>609</v>
      </c>
      <c r="B134" t="n">
        <v>7888</v>
      </c>
      <c r="C134" t="inlineStr">
        <is>
          <t>BELLTECH</t>
        </is>
      </c>
      <c r="D134" t="inlineStr">
        <is>
          <t>BELLTECH</t>
        </is>
      </c>
      <c r="E134" s="3" t="n">
        <v>46099</v>
      </c>
      <c r="F134" s="3" t="n">
        <v>46098</v>
      </c>
      <c r="G134" t="inlineStr">
        <is>
          <t>09:22:00</t>
        </is>
      </c>
      <c r="H134" t="n">
        <v>212465400</v>
      </c>
      <c r="I134" t="n">
        <v>254542400</v>
      </c>
      <c r="J134" t="n">
        <v>44720000</v>
      </c>
      <c r="K134" t="n">
        <v>6334000</v>
      </c>
      <c r="M134">
        <f>I134-(H134+J134-K134)- L134</f>
        <v/>
      </c>
      <c r="N134">
        <f>IF(M134=0,"Cuadrado",IF(M134&gt;0,"Faltante","Sobrante"))</f>
        <v/>
      </c>
      <c r="O134" t="inlineStr">
        <is>
          <t>El faltante $3.691.000 es cruzado con sobrante contabilizado el día 11/03/2026 ($3.691.000) el cual es reversado por la seccion el día 18/03/2026</t>
        </is>
      </c>
    </row>
    <row r="135">
      <c r="A135" t="n">
        <v>725</v>
      </c>
      <c r="B135" t="n">
        <v>8090</v>
      </c>
      <c r="C135" t="inlineStr">
        <is>
          <t>BELLTECH</t>
        </is>
      </c>
      <c r="D135" t="inlineStr">
        <is>
          <t>BELLTECH</t>
        </is>
      </c>
      <c r="E135" s="3" t="n">
        <v>46099</v>
      </c>
      <c r="F135" s="3" t="n">
        <v>46098</v>
      </c>
      <c r="G135" t="inlineStr">
        <is>
          <t>14:54:00</t>
        </is>
      </c>
      <c r="H135" t="n">
        <v>48931700</v>
      </c>
      <c r="I135" t="n">
        <v>62258200</v>
      </c>
      <c r="J135" t="n">
        <v>21840000</v>
      </c>
      <c r="K135" t="n">
        <v>9108500</v>
      </c>
      <c r="M135">
        <f>I135-(H135+J135-K135)- L135</f>
        <v/>
      </c>
      <c r="N135">
        <f>IF(M135=0,"Cuadrado",IF(M135&gt;0,"Faltante","Sobrante"))</f>
        <v/>
      </c>
      <c r="O135" t="inlineStr">
        <is>
          <t>ACLARAR DIFERENCIA Y REPETIR EL ARQUEO</t>
        </is>
      </c>
    </row>
    <row r="136">
      <c r="A136" t="n">
        <v>944</v>
      </c>
      <c r="B136" t="n">
        <v>8353</v>
      </c>
      <c r="C136" t="inlineStr">
        <is>
          <t>BELLTECH</t>
        </is>
      </c>
      <c r="D136" t="inlineStr">
        <is>
          <t>BELLTECH</t>
        </is>
      </c>
      <c r="E136" s="3" t="n">
        <v>46099</v>
      </c>
      <c r="F136" s="3" t="n">
        <v>46098</v>
      </c>
      <c r="G136" t="inlineStr">
        <is>
          <t>10:14:00</t>
        </is>
      </c>
      <c r="H136" t="n">
        <v>208215300</v>
      </c>
      <c r="I136" t="n">
        <v>153647300</v>
      </c>
      <c r="J136" t="n">
        <v>2970000</v>
      </c>
      <c r="K136" t="n">
        <v>41482000</v>
      </c>
      <c r="M136">
        <f>I136-(H136+J136-K136)- L136</f>
        <v/>
      </c>
      <c r="N136">
        <f>IF(M136=0,"Cuadrado",IF(M136&gt;0,"Faltante","Sobrante"))</f>
        <v/>
      </c>
      <c r="O136" t="inlineStr">
        <is>
          <t>La diferencia es contabilizada por la Gerencia De Autoservicios y Efectivo de manera centralizada a la cuenta de sobrantes 279510020 el 18/03/2026</t>
        </is>
      </c>
    </row>
    <row r="137">
      <c r="A137" t="n">
        <v>944</v>
      </c>
      <c r="B137" t="n">
        <v>8354</v>
      </c>
      <c r="C137" t="inlineStr">
        <is>
          <t>BELLTECH</t>
        </is>
      </c>
      <c r="D137" t="inlineStr">
        <is>
          <t>BELLTECH</t>
        </is>
      </c>
      <c r="E137" s="3" t="n">
        <v>46099</v>
      </c>
      <c r="F137" s="3" t="n">
        <v>46098</v>
      </c>
      <c r="G137" t="inlineStr">
        <is>
          <t>10:49:00</t>
        </is>
      </c>
      <c r="H137" t="n">
        <v>279964850</v>
      </c>
      <c r="I137" t="n">
        <v>236076800</v>
      </c>
      <c r="J137" t="n">
        <v>5470000</v>
      </c>
      <c r="K137" t="n">
        <v>50012650</v>
      </c>
      <c r="M137">
        <f>I137-(H137+J137-K137)- L137</f>
        <v/>
      </c>
      <c r="N137">
        <f>IF(M137=0,"Cuadrado",IF(M137&gt;0,"Faltante","Sobrante"))</f>
        <v/>
      </c>
      <c r="O137" t="inlineStr">
        <is>
          <t>El faltante $2.889.600 es cruzado con sobrante contabilizado el día 12/03/2026 ($2.080.000), el día 17/03/2026 ($809.600) el cual es reversado por la seccion el día 18/03/2026</t>
        </is>
      </c>
    </row>
    <row r="138">
      <c r="A138" t="n">
        <v>31</v>
      </c>
      <c r="B138" t="n">
        <v>8737</v>
      </c>
      <c r="C138" t="inlineStr">
        <is>
          <t>BELLTECH</t>
        </is>
      </c>
      <c r="D138" t="inlineStr">
        <is>
          <t>BELLTECH</t>
        </is>
      </c>
      <c r="E138" s="3" t="n">
        <v>46099</v>
      </c>
      <c r="F138" s="3" t="n">
        <v>46098</v>
      </c>
      <c r="G138" t="inlineStr">
        <is>
          <t>13:23:00</t>
        </is>
      </c>
      <c r="H138" t="n">
        <v>268667900</v>
      </c>
      <c r="I138" t="n">
        <v>227784800</v>
      </c>
      <c r="J138" t="n">
        <v>21080000</v>
      </c>
      <c r="K138" t="n">
        <v>63093050</v>
      </c>
      <c r="M138">
        <f>I138-(H138+J138-K138)- L138</f>
        <v/>
      </c>
      <c r="N138">
        <f>IF(M138=0,"Cuadrado",IF(M138&gt;0,"Faltante","Sobrante"))</f>
        <v/>
      </c>
      <c r="O138" t="inlineStr">
        <is>
          <t>El faltante $1.390.000 es cruzado con sobrante contabilizado el día 04/03/2026 ($310.000), el día 06/03/2026 ($880.000), el día 10/03/2026 ($190.000), el día 11/03/2026 ($10.000) el cual es reversado por la seccion el día 18/03/2026</t>
        </is>
      </c>
    </row>
    <row r="139">
      <c r="A139" t="n">
        <v>33</v>
      </c>
      <c r="B139" t="n">
        <v>8861</v>
      </c>
      <c r="C139" t="inlineStr">
        <is>
          <t>BELLTECH</t>
        </is>
      </c>
      <c r="D139" t="inlineStr">
        <is>
          <t>DIEBOLD</t>
        </is>
      </c>
      <c r="E139" s="3" t="n">
        <v>46099</v>
      </c>
      <c r="F139" s="3" t="n">
        <v>46098</v>
      </c>
      <c r="G139" t="inlineStr">
        <is>
          <t>09:10:00</t>
        </is>
      </c>
      <c r="H139" t="n">
        <v>230110250</v>
      </c>
      <c r="I139" t="n">
        <v>219355250</v>
      </c>
      <c r="J139" t="n">
        <v>4090000</v>
      </c>
      <c r="K139" t="n">
        <v>5000000</v>
      </c>
      <c r="M139">
        <f>I139-(H139+J139-K139)- L139</f>
        <v/>
      </c>
      <c r="N139">
        <f>IF(M139=0,"Cuadrado",IF(M139&gt;0,"Faltante","Sobrante"))</f>
        <v/>
      </c>
      <c r="O139" t="inlineStr">
        <is>
          <t>La diferencia es contabilizada por la Gerencia De Autoservicios y Efectivo de manera centralizada a la cuenta de sobrantes 279510020 el 18/03/2026</t>
        </is>
      </c>
    </row>
    <row r="140">
      <c r="A140" t="n">
        <v>225</v>
      </c>
      <c r="B140" t="n">
        <v>8869</v>
      </c>
      <c r="C140" t="inlineStr">
        <is>
          <t>BELLTECH</t>
        </is>
      </c>
      <c r="D140" t="inlineStr">
        <is>
          <t>DIEBOLD</t>
        </is>
      </c>
      <c r="E140" s="3" t="n">
        <v>46099</v>
      </c>
      <c r="F140" s="3" t="n">
        <v>46098</v>
      </c>
      <c r="G140" t="inlineStr">
        <is>
          <t>12:12:00</t>
        </is>
      </c>
      <c r="H140" t="n">
        <v>160962450</v>
      </c>
      <c r="I140" t="n">
        <v>298943450</v>
      </c>
      <c r="J140" t="n">
        <v>21210000</v>
      </c>
      <c r="K140" t="n">
        <v>35095000</v>
      </c>
      <c r="M140">
        <f>I140-(H140+J140-K140)- L140</f>
        <v/>
      </c>
      <c r="N140">
        <f>IF(M140=0,"Cuadrado",IF(M140&gt;0,"Faltante","Sobrante"))</f>
        <v/>
      </c>
      <c r="O140" t="inlineStr">
        <is>
          <t>La diferencia es contabilizada por la Gerencia De Autoservicios y Efectivo de manera centralizada a la cuenta de sobrantes 279510020 el 18/03/2026</t>
        </is>
      </c>
    </row>
    <row r="141">
      <c r="A141" t="n">
        <v>64</v>
      </c>
      <c r="B141" t="n">
        <v>9306</v>
      </c>
      <c r="C141" t="inlineStr">
        <is>
          <t>BELLTECH</t>
        </is>
      </c>
      <c r="D141" t="inlineStr">
        <is>
          <t>BELLTECH</t>
        </is>
      </c>
      <c r="E141" s="3" t="n">
        <v>46099</v>
      </c>
      <c r="F141" s="3" t="n">
        <v>46098</v>
      </c>
      <c r="G141" t="inlineStr">
        <is>
          <t>09:40:00</t>
        </is>
      </c>
      <c r="H141" t="n">
        <v>206949650</v>
      </c>
      <c r="I141" t="n">
        <v>221375650</v>
      </c>
      <c r="J141" t="n">
        <v>29670000</v>
      </c>
      <c r="K141" t="n">
        <v>11410000</v>
      </c>
      <c r="M141">
        <f>I141-(H141+J141-K141)- L141</f>
        <v/>
      </c>
      <c r="N141">
        <f>IF(M141=0,"Cuadrado",IF(M141&gt;0,"Faltante","Sobrante"))</f>
        <v/>
      </c>
      <c r="O141" t="inlineStr">
        <is>
          <t>La diferencia es contabilizada por la Gerencia De Autoservicios y Efectivo de manera centralizada a la cuenta de sobrantes 279510020 el 18/03/2026</t>
        </is>
      </c>
    </row>
    <row r="142">
      <c r="A142" t="n">
        <v>292</v>
      </c>
      <c r="B142" t="n">
        <v>278</v>
      </c>
      <c r="C142" t="inlineStr">
        <is>
          <t>BELLTECH</t>
        </is>
      </c>
      <c r="D142" t="inlineStr">
        <is>
          <t>DIEBOLD</t>
        </is>
      </c>
      <c r="E142" s="3" t="n">
        <v>46099</v>
      </c>
      <c r="F142" s="3" t="n">
        <v>46098</v>
      </c>
      <c r="G142" t="inlineStr">
        <is>
          <t>10:41:00</t>
        </is>
      </c>
      <c r="H142" t="n">
        <v>108639700</v>
      </c>
      <c r="I142" t="n">
        <v>119010700</v>
      </c>
      <c r="J142" t="n">
        <v>15080000</v>
      </c>
      <c r="K142" t="n">
        <v>4709000</v>
      </c>
      <c r="M142">
        <f>I142-(H142+J142-K142)- L142</f>
        <v/>
      </c>
      <c r="N142">
        <f>IF(M142=0,"Cuadrado",IF(M142&gt;0,"Faltante","Sobrante"))</f>
        <v/>
      </c>
      <c r="O142" t="inlineStr">
        <is>
          <t>Cajero cuadrado, sin observación por parte de la sucursal</t>
        </is>
      </c>
    </row>
    <row r="143">
      <c r="A143" t="n">
        <v>333</v>
      </c>
      <c r="B143" t="n">
        <v>442</v>
      </c>
      <c r="C143" t="inlineStr">
        <is>
          <t>DIEBOLD</t>
        </is>
      </c>
      <c r="D143" t="inlineStr">
        <is>
          <t>DIEBOLD</t>
        </is>
      </c>
      <c r="E143" s="3" t="n">
        <v>46099</v>
      </c>
      <c r="F143" s="3" t="n">
        <v>46098</v>
      </c>
      <c r="G143" t="inlineStr">
        <is>
          <t>13:17:00</t>
        </is>
      </c>
      <c r="H143" t="n">
        <v>175104100</v>
      </c>
      <c r="I143" t="n">
        <v>167949100</v>
      </c>
      <c r="J143" t="n">
        <v>1080000</v>
      </c>
      <c r="K143" t="n">
        <v>8235000</v>
      </c>
      <c r="M143">
        <f>I143-(H143+J143-K143)- L143</f>
        <v/>
      </c>
      <c r="N143">
        <f>IF(M143=0,"Cuadrado",IF(M143&gt;0,"Faltante","Sobrante"))</f>
        <v/>
      </c>
      <c r="O143" t="inlineStr">
        <is>
          <t>Cajero cuadrado, sin observación por parte de la sucursal</t>
        </is>
      </c>
    </row>
    <row r="144">
      <c r="A144" t="n">
        <v>395</v>
      </c>
      <c r="B144" t="n">
        <v>1528</v>
      </c>
      <c r="C144" t="inlineStr">
        <is>
          <t>BELLTECH</t>
        </is>
      </c>
      <c r="D144" t="inlineStr">
        <is>
          <t>BELLTECH</t>
        </is>
      </c>
      <c r="E144" s="3" t="n">
        <v>46099</v>
      </c>
      <c r="F144" s="3" t="n">
        <v>46098</v>
      </c>
      <c r="G144" t="inlineStr">
        <is>
          <t>09:31:00</t>
        </is>
      </c>
      <c r="H144" t="n">
        <v>207247050</v>
      </c>
      <c r="I144" t="n">
        <v>194848050</v>
      </c>
      <c r="J144" t="n">
        <v>1300000</v>
      </c>
      <c r="K144" t="n">
        <v>13699000</v>
      </c>
      <c r="M144">
        <f>I144-(H144+J144-K144)- L144</f>
        <v/>
      </c>
      <c r="N144">
        <f>IF(M144=0,"Cuadrado",IF(M144&gt;0,"Faltante","Sobrante"))</f>
        <v/>
      </c>
      <c r="O144" t="inlineStr">
        <is>
          <t>Cajero cuadrado, sin observación por parte de la sucursal</t>
        </is>
      </c>
    </row>
    <row r="145">
      <c r="A145" t="n">
        <v>292</v>
      </c>
      <c r="B145" t="n">
        <v>5116</v>
      </c>
      <c r="C145" t="inlineStr">
        <is>
          <t>BELLTECH</t>
        </is>
      </c>
      <c r="D145" t="inlineStr">
        <is>
          <t>BELLTECH</t>
        </is>
      </c>
      <c r="E145" s="3" t="n">
        <v>46099</v>
      </c>
      <c r="F145" s="3" t="n">
        <v>46098</v>
      </c>
      <c r="G145" t="inlineStr">
        <is>
          <t>10:23:00</t>
        </is>
      </c>
      <c r="H145" t="n">
        <v>133941700</v>
      </c>
      <c r="I145" t="n">
        <v>117836700</v>
      </c>
      <c r="J145" t="n">
        <v>14450000</v>
      </c>
      <c r="K145" t="n">
        <v>30555000</v>
      </c>
      <c r="M145">
        <f>I145-(H145+J145-K145)- L145</f>
        <v/>
      </c>
      <c r="N145">
        <f>IF(M145=0,"Cuadrado",IF(M145&gt;0,"Faltante","Sobrante"))</f>
        <v/>
      </c>
      <c r="O145" t="inlineStr">
        <is>
          <t>Cajero cuadrado, sin observación por parte de la sucursal</t>
        </is>
      </c>
    </row>
    <row r="146">
      <c r="A146" t="n">
        <v>420</v>
      </c>
      <c r="B146" t="n">
        <v>5173</v>
      </c>
      <c r="C146" t="inlineStr">
        <is>
          <t>BELLTECH</t>
        </is>
      </c>
      <c r="D146" t="inlineStr">
        <is>
          <t>BELLTECH</t>
        </is>
      </c>
      <c r="E146" s="3" t="n">
        <v>46099</v>
      </c>
      <c r="F146" s="3" t="n">
        <v>46098</v>
      </c>
      <c r="G146" t="inlineStr">
        <is>
          <t>09:54:00</t>
        </is>
      </c>
      <c r="H146" t="n">
        <v>79545200</v>
      </c>
      <c r="I146" t="n">
        <v>79725200</v>
      </c>
      <c r="J146" t="n">
        <v>180000</v>
      </c>
      <c r="K146" t="n">
        <v>0</v>
      </c>
      <c r="M146">
        <f>I146-(H146+J146-K146)- L146</f>
        <v/>
      </c>
      <c r="N146">
        <f>IF(M146=0,"Cuadrado",IF(M146&gt;0,"Faltante","Sobrante"))</f>
        <v/>
      </c>
      <c r="O146" t="inlineStr">
        <is>
          <t>Cajero cuadrado, sin observación por parte de la sucursal</t>
        </is>
      </c>
    </row>
    <row r="147">
      <c r="A147" t="n">
        <v>115</v>
      </c>
      <c r="B147" t="n">
        <v>5080</v>
      </c>
      <c r="C147" t="inlineStr">
        <is>
          <t>BELLTECH</t>
        </is>
      </c>
      <c r="D147" t="inlineStr">
        <is>
          <t>BELLTECH</t>
        </is>
      </c>
      <c r="E147" s="3" t="n">
        <v>46098</v>
      </c>
      <c r="F147" s="3" t="n">
        <v>46097</v>
      </c>
      <c r="G147" t="inlineStr">
        <is>
          <t>08:44:00</t>
        </is>
      </c>
      <c r="H147" t="n">
        <v>451173650</v>
      </c>
      <c r="I147" t="n">
        <v>452903600</v>
      </c>
      <c r="J147" t="n">
        <v>1640000</v>
      </c>
      <c r="K147" t="n">
        <v>0</v>
      </c>
      <c r="L147" t="n">
        <v>0</v>
      </c>
      <c r="M147">
        <f>I147-(H147+J147-K147)- L147</f>
        <v/>
      </c>
      <c r="N147">
        <f>IF(M147=0,"Cuadrado",IF(M147&gt;0,"Faltante","Sobrante"))</f>
        <v/>
      </c>
      <c r="P147" t="n">
        <v>42158306</v>
      </c>
    </row>
    <row r="148">
      <c r="A148" t="n">
        <v>88</v>
      </c>
      <c r="B148" t="n">
        <v>5111</v>
      </c>
      <c r="C148" t="inlineStr">
        <is>
          <t>BELLTECH</t>
        </is>
      </c>
      <c r="D148" t="inlineStr">
        <is>
          <t>BELLTECH</t>
        </is>
      </c>
      <c r="E148" s="3" t="n">
        <v>46098</v>
      </c>
      <c r="F148" s="3" t="n">
        <v>46097</v>
      </c>
      <c r="G148" t="inlineStr">
        <is>
          <t>08:49:46</t>
        </is>
      </c>
      <c r="H148" t="n">
        <v>161772350</v>
      </c>
      <c r="I148" t="n">
        <v>162587950</v>
      </c>
      <c r="J148" t="n">
        <v>2420000</v>
      </c>
      <c r="K148" t="n">
        <v>1304400</v>
      </c>
      <c r="L148" t="n">
        <v>0</v>
      </c>
      <c r="M148">
        <f>I148-(H148+J148-K148)- L148</f>
        <v/>
      </c>
      <c r="N148">
        <f>IF(M148=0,"Cuadrado",IF(M148&gt;0,"Faltante","Sobrante"))</f>
        <v/>
      </c>
      <c r="P148" t="n">
        <v>27697484</v>
      </c>
    </row>
    <row r="149">
      <c r="A149" t="n">
        <v>70</v>
      </c>
      <c r="B149" t="n">
        <v>5164</v>
      </c>
      <c r="C149" t="inlineStr">
        <is>
          <t>BELLTECH</t>
        </is>
      </c>
      <c r="D149" t="inlineStr">
        <is>
          <t>BELLTECH</t>
        </is>
      </c>
      <c r="E149" s="3" t="n">
        <v>46098</v>
      </c>
      <c r="F149" s="3" t="n">
        <v>46097</v>
      </c>
      <c r="G149" t="inlineStr">
        <is>
          <t>08:54:00</t>
        </is>
      </c>
      <c r="H149" t="n">
        <v>41185300</v>
      </c>
      <c r="I149" t="n">
        <v>41085300</v>
      </c>
      <c r="J149" t="n">
        <v>100000</v>
      </c>
      <c r="K149" t="n">
        <v>0</v>
      </c>
      <c r="L149" t="n">
        <v>0</v>
      </c>
      <c r="M149">
        <f>I149-(H149+J149-K149)- L149</f>
        <v/>
      </c>
      <c r="N149">
        <f>IF(M149=0,"Cuadrado",IF(M149&gt;0,"Faltante","Sobrante"))</f>
        <v/>
      </c>
      <c r="P149" t="n">
        <v>1053770486</v>
      </c>
    </row>
    <row r="150">
      <c r="A150" t="n">
        <v>432</v>
      </c>
      <c r="B150" t="n">
        <v>5195</v>
      </c>
      <c r="C150" t="inlineStr">
        <is>
          <t>BELLTECH</t>
        </is>
      </c>
      <c r="D150" t="inlineStr">
        <is>
          <t>BELLTECH</t>
        </is>
      </c>
      <c r="E150" s="3" t="n">
        <v>46098</v>
      </c>
      <c r="F150" s="3" t="n">
        <v>46097</v>
      </c>
      <c r="G150" t="inlineStr">
        <is>
          <t>09:18:00</t>
        </is>
      </c>
      <c r="H150" t="n">
        <v>186934150</v>
      </c>
      <c r="I150" t="n">
        <v>196575150</v>
      </c>
      <c r="J150" t="n">
        <v>6450000</v>
      </c>
      <c r="K150" t="n">
        <v>0</v>
      </c>
      <c r="L150" t="n">
        <v>3191000</v>
      </c>
      <c r="M150">
        <f>I150-(H150+J150-K150)- L150</f>
        <v/>
      </c>
      <c r="N150">
        <f>IF(M150=0,"Cuadrado",IF(M150&gt;0,"Faltante","Sobrante"))</f>
        <v/>
      </c>
      <c r="O150" t="inlineStr">
        <is>
          <t>El faltante $3.191.000 es cruzado con sobrante contabilizado el día 10/03/2026 ($1.290.000), el día 11/03/2026 ($1.901.000) el cual es reversado por la seccion el día 17/03/2026</t>
        </is>
      </c>
      <c r="P150" t="n">
        <v>71935844</v>
      </c>
    </row>
    <row r="151">
      <c r="A151" t="n">
        <v>674</v>
      </c>
      <c r="B151" t="n">
        <v>5200</v>
      </c>
      <c r="C151" t="inlineStr">
        <is>
          <t>BELLTECH</t>
        </is>
      </c>
      <c r="D151" t="inlineStr">
        <is>
          <t>BELLTECH</t>
        </is>
      </c>
      <c r="E151" s="3" t="n">
        <v>46098</v>
      </c>
      <c r="F151" s="3" t="n">
        <v>46097</v>
      </c>
      <c r="G151" t="inlineStr">
        <is>
          <t>09:30:00</t>
        </is>
      </c>
      <c r="H151" t="n">
        <v>99814250</v>
      </c>
      <c r="I151" t="n">
        <v>87980250</v>
      </c>
      <c r="J151" t="n">
        <v>2100000</v>
      </c>
      <c r="K151" t="n">
        <v>12934000</v>
      </c>
      <c r="L151" t="n">
        <v>-1000000</v>
      </c>
      <c r="M151">
        <f>I151-(H151+J151-K151)- L151</f>
        <v/>
      </c>
      <c r="N151">
        <f>IF(M151=0,"Cuadrado",IF(M151&gt;0,"Faltante","Sobrante"))</f>
        <v/>
      </c>
      <c r="O151" t="inlineStr">
        <is>
          <t>Cajero cuadrado, sin observación por parte de la sucursal</t>
        </is>
      </c>
      <c r="P151" t="n">
        <v>79813088</v>
      </c>
    </row>
    <row r="152">
      <c r="A152" t="n">
        <v>606</v>
      </c>
      <c r="B152" t="n">
        <v>5201</v>
      </c>
      <c r="C152" t="inlineStr">
        <is>
          <t>BELLTECH</t>
        </is>
      </c>
      <c r="D152" t="inlineStr">
        <is>
          <t>BELLTECH</t>
        </is>
      </c>
      <c r="E152" s="3" t="n">
        <v>46098</v>
      </c>
      <c r="F152" s="3" t="n">
        <v>46097</v>
      </c>
      <c r="G152" t="inlineStr">
        <is>
          <t>10:00:00</t>
        </is>
      </c>
      <c r="H152" t="n">
        <v>323399450</v>
      </c>
      <c r="I152" t="n">
        <v>330859450</v>
      </c>
      <c r="J152" t="n">
        <v>6460000</v>
      </c>
      <c r="K152" t="n">
        <v>0</v>
      </c>
      <c r="L152" t="n">
        <v>0</v>
      </c>
      <c r="M152">
        <f>I152-(H152+J152-K152)- L152</f>
        <v/>
      </c>
      <c r="N152">
        <f>IF(M152=0,"Cuadrado",IF(M152&gt;0,"Faltante","Sobrante"))</f>
        <v/>
      </c>
      <c r="P152" t="n">
        <v>33368879</v>
      </c>
    </row>
    <row r="153">
      <c r="A153" t="n">
        <v>455</v>
      </c>
      <c r="B153" t="n">
        <v>5206</v>
      </c>
      <c r="C153" t="inlineStr">
        <is>
          <t>BELLTECH</t>
        </is>
      </c>
      <c r="D153" t="inlineStr">
        <is>
          <t>BELLTECH</t>
        </is>
      </c>
      <c r="E153" s="3" t="n">
        <v>46098</v>
      </c>
      <c r="F153" s="3" t="n">
        <v>46097</v>
      </c>
      <c r="G153" t="inlineStr">
        <is>
          <t>09:52:00</t>
        </is>
      </c>
      <c r="H153" t="n">
        <v>213364050</v>
      </c>
      <c r="I153" t="n">
        <v>206608550</v>
      </c>
      <c r="J153" t="n">
        <v>2300000</v>
      </c>
      <c r="K153" t="n">
        <v>5100000</v>
      </c>
      <c r="L153" t="n">
        <v>0</v>
      </c>
      <c r="M153">
        <f>I153-(H153+J153-K153)- L153</f>
        <v/>
      </c>
      <c r="N153">
        <f>IF(M153=0,"Cuadrado",IF(M153&gt;0,"Faltante","Sobrante"))</f>
        <v/>
      </c>
      <c r="P153" t="n">
        <v>1083896352</v>
      </c>
    </row>
    <row r="154">
      <c r="A154" t="n">
        <v>74</v>
      </c>
      <c r="B154" t="n">
        <v>6215</v>
      </c>
      <c r="C154" t="inlineStr">
        <is>
          <t>DIEBOLD</t>
        </is>
      </c>
      <c r="D154" t="inlineStr">
        <is>
          <t>DIEBOLD</t>
        </is>
      </c>
      <c r="E154" s="3" t="n">
        <v>46098</v>
      </c>
      <c r="F154" s="3" t="n">
        <v>46097</v>
      </c>
      <c r="G154" t="inlineStr">
        <is>
          <t>08:47:00</t>
        </is>
      </c>
      <c r="H154" t="n">
        <v>169971500</v>
      </c>
      <c r="I154" t="n">
        <v>171321500</v>
      </c>
      <c r="J154" t="n">
        <v>0</v>
      </c>
      <c r="K154" t="n">
        <v>0</v>
      </c>
      <c r="L154" t="n">
        <v>1350000</v>
      </c>
      <c r="M154">
        <f>I154-(H154+J154-K154)- L154</f>
        <v/>
      </c>
      <c r="N154">
        <f>IF(M154=0,"Cuadrado",IF(M154&gt;0,"Faltante","Sobrante"))</f>
        <v/>
      </c>
      <c r="O154" t="inlineStr">
        <is>
          <t>El faltante $1.350.000 es cruzado con sobrante contabilizado el día 12/03/2026 ($1.350.000) el cual es reversado por la seccion el día 17/03/2026</t>
        </is>
      </c>
      <c r="P154" t="n">
        <v>59314706</v>
      </c>
    </row>
    <row r="155">
      <c r="A155" t="n">
        <v>236</v>
      </c>
      <c r="B155" t="n">
        <v>6242</v>
      </c>
      <c r="C155" t="inlineStr">
        <is>
          <t>BELLTECH</t>
        </is>
      </c>
      <c r="D155" t="inlineStr">
        <is>
          <t>BELLTECH</t>
        </is>
      </c>
      <c r="E155" s="3" t="n">
        <v>46098</v>
      </c>
      <c r="F155" s="3" t="n">
        <v>46097</v>
      </c>
      <c r="G155" t="inlineStr">
        <is>
          <t>10:37:00</t>
        </is>
      </c>
      <c r="H155" t="n">
        <v>72648050</v>
      </c>
      <c r="I155" t="n">
        <v>159590050</v>
      </c>
      <c r="J155" t="n">
        <v>16730000</v>
      </c>
      <c r="K155" t="n">
        <v>19365000</v>
      </c>
      <c r="L155" t="n">
        <v>89577000</v>
      </c>
      <c r="M155">
        <f>I155-(H155+J155-K155)- L155</f>
        <v/>
      </c>
      <c r="N155">
        <f>IF(M155=0,"Cuadrado",IF(M155&gt;0,"Faltante","Sobrante"))</f>
        <v/>
      </c>
      <c r="O155" t="inlineStr">
        <is>
          <t>El faltante $20.090.000 es cruzado con sobrante contabilizado el día 09/03/2026 ($20.090.000) el cual es reversado por la seccion el día 17/03/2026</t>
        </is>
      </c>
      <c r="P155" t="n">
        <v>71369714</v>
      </c>
    </row>
    <row r="156">
      <c r="A156" t="n">
        <v>317</v>
      </c>
      <c r="B156" t="n">
        <v>6613</v>
      </c>
      <c r="C156" t="inlineStr">
        <is>
          <t>DIEBOLD</t>
        </is>
      </c>
      <c r="D156" t="inlineStr">
        <is>
          <t>DIEBOLD</t>
        </is>
      </c>
      <c r="E156" s="3" t="n">
        <v>46098</v>
      </c>
      <c r="F156" s="3" t="n">
        <v>46097</v>
      </c>
      <c r="G156" t="inlineStr">
        <is>
          <t>08:01:00</t>
        </is>
      </c>
      <c r="H156" t="n">
        <v>143558200</v>
      </c>
      <c r="I156" t="n">
        <v>138106100</v>
      </c>
      <c r="J156" t="n">
        <v>0</v>
      </c>
      <c r="K156" t="n">
        <v>0</v>
      </c>
      <c r="L156" t="n">
        <v>0</v>
      </c>
      <c r="M156">
        <f>I156-(H156+J156-K156)- L156</f>
        <v/>
      </c>
      <c r="N156">
        <f>IF(M156=0,"Cuadrado",IF(M156&gt;0,"Faltante","Sobrante"))</f>
        <v/>
      </c>
      <c r="P156" t="n">
        <v>1116796671</v>
      </c>
    </row>
    <row r="157">
      <c r="A157" t="n">
        <v>442</v>
      </c>
      <c r="B157" t="n">
        <v>8888</v>
      </c>
      <c r="C157" t="inlineStr">
        <is>
          <t>BELLTECH</t>
        </is>
      </c>
      <c r="D157" t="inlineStr">
        <is>
          <t>BELLTECH</t>
        </is>
      </c>
      <c r="E157" s="3" t="n">
        <v>46098</v>
      </c>
      <c r="F157" s="3" t="n">
        <v>46097</v>
      </c>
      <c r="G157" t="inlineStr">
        <is>
          <t>10:03:00</t>
        </is>
      </c>
      <c r="H157" t="n">
        <v>484830150</v>
      </c>
      <c r="I157" t="n">
        <v>459028150</v>
      </c>
      <c r="J157" t="n">
        <v>4460000</v>
      </c>
      <c r="K157" t="n">
        <v>20262000</v>
      </c>
      <c r="L157" t="n">
        <v>0</v>
      </c>
      <c r="M157">
        <f>I157-(H157+J157-K157)- L157</f>
        <v/>
      </c>
      <c r="N157">
        <f>IF(M157=0,"Cuadrado",IF(M157&gt;0,"Faltante","Sobrante"))</f>
        <v/>
      </c>
      <c r="P157" t="n">
        <v>1140853558</v>
      </c>
    </row>
    <row r="158">
      <c r="A158" t="n">
        <v>959</v>
      </c>
      <c r="B158" t="n">
        <v>9265</v>
      </c>
      <c r="C158" t="inlineStr">
        <is>
          <t>DIEBOLD</t>
        </is>
      </c>
      <c r="D158" t="inlineStr">
        <is>
          <t>DIEBOLD</t>
        </is>
      </c>
      <c r="E158" s="3" t="n">
        <v>46098</v>
      </c>
      <c r="F158" s="3" t="n">
        <v>46097</v>
      </c>
      <c r="G158" t="inlineStr">
        <is>
          <t>09:08:00</t>
        </is>
      </c>
      <c r="H158" t="n">
        <v>49949000</v>
      </c>
      <c r="I158" t="n">
        <v>49469000</v>
      </c>
      <c r="J158" t="n">
        <v>0</v>
      </c>
      <c r="K158" t="n">
        <v>0</v>
      </c>
      <c r="L158" t="n">
        <v>0</v>
      </c>
      <c r="M158">
        <f>I158-(H158+J158-K158)- L158</f>
        <v/>
      </c>
      <c r="N158">
        <f>IF(M158=0,"Cuadrado",IF(M158&gt;0,"Faltante","Sobrante"))</f>
        <v/>
      </c>
      <c r="P158" t="n">
        <v>1028002263</v>
      </c>
    </row>
    <row r="159">
      <c r="A159" t="n">
        <v>383</v>
      </c>
      <c r="B159" t="n">
        <v>5194</v>
      </c>
      <c r="C159" t="inlineStr">
        <is>
          <t>BELLTECH</t>
        </is>
      </c>
      <c r="D159" t="inlineStr">
        <is>
          <t>BELLTECH</t>
        </is>
      </c>
      <c r="E159" s="3" t="n">
        <v>46098</v>
      </c>
      <c r="F159" s="3" t="n">
        <v>46097</v>
      </c>
      <c r="G159" t="inlineStr">
        <is>
          <t>09:10:00</t>
        </is>
      </c>
      <c r="H159" t="n">
        <v>157011300</v>
      </c>
      <c r="I159" t="n">
        <v>155912300</v>
      </c>
      <c r="J159" t="n">
        <v>6600000</v>
      </c>
      <c r="K159" t="n">
        <v>7699000</v>
      </c>
      <c r="L159" t="n">
        <v>0</v>
      </c>
      <c r="M159">
        <f>I159-(H159+J159-K159)- L159</f>
        <v/>
      </c>
      <c r="N159">
        <f>IF(M159=0,"Cuadrado",IF(M159&gt;0,"Faltante","Sobrante"))</f>
        <v/>
      </c>
      <c r="O159" t="inlineStr">
        <is>
          <t>El faltante $2.700.000 es cruzado con sobrante contabilizado el día 16/03/2026 ($2.700.000) el cual es reversado por la seccion el día 17/03/2026</t>
        </is>
      </c>
      <c r="P159" t="n">
        <v>1073160492</v>
      </c>
    </row>
    <row r="160">
      <c r="A160" t="n">
        <v>728</v>
      </c>
      <c r="B160" t="n">
        <v>8586</v>
      </c>
      <c r="C160" t="inlineStr">
        <is>
          <t>BELLTECH</t>
        </is>
      </c>
      <c r="D160" t="inlineStr">
        <is>
          <t>BELLTECH</t>
        </is>
      </c>
      <c r="E160" s="3" t="n">
        <v>46098</v>
      </c>
      <c r="F160" s="3" t="n">
        <v>46097</v>
      </c>
      <c r="G160" t="inlineStr">
        <is>
          <t>08:59:00</t>
        </is>
      </c>
      <c r="H160" t="n">
        <v>46232850</v>
      </c>
      <c r="I160" t="n">
        <v>52632850</v>
      </c>
      <c r="J160" t="n">
        <v>6400000</v>
      </c>
      <c r="K160" t="n">
        <v>0</v>
      </c>
      <c r="L160" t="n">
        <v>0</v>
      </c>
      <c r="M160">
        <f>I160-(H160+J160-K160)- L160</f>
        <v/>
      </c>
      <c r="N160">
        <f>IF(M160=0,"Cuadrado",IF(M160&gt;0,"Faltante","Sobrante"))</f>
        <v/>
      </c>
      <c r="O160" t="inlineStr">
        <is>
          <t>Cajero cuadrado, sin observación por parte de la sucursal</t>
        </is>
      </c>
      <c r="P160" t="n">
        <v>1112783690</v>
      </c>
    </row>
    <row r="161">
      <c r="A161" t="n">
        <v>728</v>
      </c>
      <c r="B161" t="n">
        <v>8587</v>
      </c>
      <c r="C161" t="inlineStr">
        <is>
          <t>BELLTECH</t>
        </is>
      </c>
      <c r="D161" t="inlineStr">
        <is>
          <t>BELLTECH</t>
        </is>
      </c>
      <c r="E161" s="3" t="n">
        <v>46098</v>
      </c>
      <c r="F161" s="3" t="n">
        <v>46097</v>
      </c>
      <c r="G161" t="inlineStr">
        <is>
          <t>09:17:00</t>
        </is>
      </c>
      <c r="H161" t="n">
        <v>168973150</v>
      </c>
      <c r="I161" t="n">
        <v>170863150</v>
      </c>
      <c r="J161" t="n">
        <v>5110000</v>
      </c>
      <c r="K161" t="n">
        <v>3220000</v>
      </c>
      <c r="L161" t="n">
        <v>0</v>
      </c>
      <c r="M161">
        <f>I161-(H161+J161-K161)- L161</f>
        <v/>
      </c>
      <c r="N161">
        <f>IF(M161=0,"Cuadrado",IF(M161&gt;0,"Faltante","Sobrante"))</f>
        <v/>
      </c>
      <c r="O161" t="inlineStr">
        <is>
          <t>Cajero cuadrado, sin observación por parte de la sucursal</t>
        </is>
      </c>
      <c r="P161" t="n">
        <v>1112783690</v>
      </c>
    </row>
    <row r="162">
      <c r="A162" t="n">
        <v>890</v>
      </c>
      <c r="B162" t="n">
        <v>9584</v>
      </c>
      <c r="C162" t="inlineStr">
        <is>
          <t>BELLTECH</t>
        </is>
      </c>
      <c r="D162" t="inlineStr">
        <is>
          <t>BELLTECH</t>
        </is>
      </c>
      <c r="E162" s="3" t="n">
        <v>46098</v>
      </c>
      <c r="F162" s="3" t="n">
        <v>46097</v>
      </c>
      <c r="G162" t="inlineStr">
        <is>
          <t>08:53:00</t>
        </is>
      </c>
      <c r="H162" t="n">
        <v>69398800</v>
      </c>
      <c r="I162" t="n">
        <v>50518800</v>
      </c>
      <c r="J162" t="n">
        <v>3670000</v>
      </c>
      <c r="K162" t="n">
        <v>22550000</v>
      </c>
      <c r="L162" t="n">
        <v>0</v>
      </c>
      <c r="M162">
        <f>I162-(H162+J162-K162)- L162</f>
        <v/>
      </c>
      <c r="N162">
        <f>IF(M162=0,"Cuadrado",IF(M162&gt;0,"Faltante","Sobrante"))</f>
        <v/>
      </c>
      <c r="O162" t="inlineStr">
        <is>
          <t>Cajero cuadrado, sin observación por parte de la sucursal</t>
        </is>
      </c>
      <c r="P162" t="n">
        <v>1053835867</v>
      </c>
    </row>
    <row r="163">
      <c r="A163" t="n">
        <v>348</v>
      </c>
      <c r="B163" t="n">
        <v>192</v>
      </c>
      <c r="C163" t="inlineStr">
        <is>
          <t>BELLTECH</t>
        </is>
      </c>
      <c r="D163" t="inlineStr">
        <is>
          <t>BELLTECH</t>
        </is>
      </c>
      <c r="E163" s="3" t="n">
        <v>46097</v>
      </c>
      <c r="F163" s="3" t="n">
        <v>46094</v>
      </c>
      <c r="G163" t="inlineStr">
        <is>
          <t>16:22:00</t>
        </is>
      </c>
      <c r="H163" t="n">
        <v>331471800</v>
      </c>
      <c r="I163" t="n">
        <v>237963800</v>
      </c>
      <c r="J163" t="n">
        <v>16150000</v>
      </c>
      <c r="K163" t="n">
        <v>105999950</v>
      </c>
      <c r="M163">
        <f>I163-(H163+J163-K163)- L163</f>
        <v/>
      </c>
      <c r="N163">
        <f>IF(M163=0,"Cuadrado",IF(M163&gt;0,"Faltante","Sobrante"))</f>
        <v/>
      </c>
      <c r="P163" t="n">
        <v>1123633014</v>
      </c>
    </row>
    <row r="164">
      <c r="A164" t="n">
        <v>879</v>
      </c>
      <c r="B164" t="n">
        <v>5045</v>
      </c>
      <c r="C164" t="inlineStr">
        <is>
          <t>BELLTECH</t>
        </is>
      </c>
      <c r="D164" t="inlineStr">
        <is>
          <t>BELLTECH</t>
        </is>
      </c>
      <c r="E164" s="3" t="n">
        <v>46097</v>
      </c>
      <c r="F164" s="3" t="n">
        <v>46094</v>
      </c>
      <c r="G164" t="inlineStr">
        <is>
          <t>15:36:00</t>
        </is>
      </c>
      <c r="H164" t="n">
        <v>135333700</v>
      </c>
      <c r="I164" t="n">
        <v>60514700</v>
      </c>
      <c r="J164" t="n">
        <v>10220000</v>
      </c>
      <c r="K164" t="n">
        <v>199399000</v>
      </c>
      <c r="M164">
        <f>I164-(H164+J164-K164)- L164</f>
        <v/>
      </c>
      <c r="N164">
        <f>IF(M164=0,"Cuadrado",IF(M164&gt;0,"Faltante","Sobrante"))</f>
        <v/>
      </c>
      <c r="O164" t="inlineStr">
        <is>
          <t>Cajero cuadrado, sin observación por parte de la sucursal</t>
        </is>
      </c>
      <c r="P164" t="n">
        <v>1085303632</v>
      </c>
    </row>
    <row r="165">
      <c r="A165" t="n">
        <v>769</v>
      </c>
      <c r="B165" t="n">
        <v>5051</v>
      </c>
      <c r="C165" t="inlineStr">
        <is>
          <t>BELLTECH</t>
        </is>
      </c>
      <c r="D165" t="inlineStr">
        <is>
          <t>BELLTECH</t>
        </is>
      </c>
      <c r="E165" s="3" t="n">
        <v>46097</v>
      </c>
      <c r="F165" s="3" t="n">
        <v>46094</v>
      </c>
      <c r="G165" t="inlineStr">
        <is>
          <t>10:43:00</t>
        </is>
      </c>
      <c r="H165" t="n">
        <v>135121800</v>
      </c>
      <c r="I165" t="n">
        <v>94259800</v>
      </c>
      <c r="J165" t="n">
        <v>890000</v>
      </c>
      <c r="K165" t="n">
        <v>41872000</v>
      </c>
      <c r="M165">
        <f>I165-(H165+J165-K165)- L165</f>
        <v/>
      </c>
      <c r="N165">
        <f>IF(M165=0,"Cuadrado",IF(M165&gt;0,"Faltante","Sobrante"))</f>
        <v/>
      </c>
      <c r="O165" t="inlineStr">
        <is>
          <t>El faltante $610.000 es cruzado con sobrante contabilizado el día 13/03/2026 ($490.000), el día 11/03/2026 ($120.000) el cual es reversado por la seccion el día 16/03/2026</t>
        </is>
      </c>
      <c r="P165" t="n">
        <v>1129580385</v>
      </c>
    </row>
    <row r="166">
      <c r="A166" t="n">
        <v>24</v>
      </c>
      <c r="B166" t="n">
        <v>5066</v>
      </c>
      <c r="C166" t="inlineStr">
        <is>
          <t>BELLTECH</t>
        </is>
      </c>
      <c r="D166" t="inlineStr">
        <is>
          <t>BELLTECH</t>
        </is>
      </c>
      <c r="E166" s="3" t="n">
        <v>46097</v>
      </c>
      <c r="F166" s="3" t="n">
        <v>46094</v>
      </c>
      <c r="G166" t="inlineStr">
        <is>
          <t>12:46:00</t>
        </is>
      </c>
      <c r="H166" t="n">
        <v>207331300</v>
      </c>
      <c r="I166" t="n">
        <v>172009900</v>
      </c>
      <c r="J166" t="n">
        <v>18130000</v>
      </c>
      <c r="K166" t="n">
        <v>53976400</v>
      </c>
      <c r="M166">
        <f>I166-(H166+J166-K166)- L166</f>
        <v/>
      </c>
      <c r="N166">
        <f>IF(M166=0,"Cuadrado",IF(M166&gt;0,"Faltante","Sobrante"))</f>
        <v/>
      </c>
      <c r="P166" t="n">
        <v>39447263</v>
      </c>
    </row>
    <row r="167">
      <c r="A167" t="n">
        <v>789</v>
      </c>
      <c r="B167" t="n">
        <v>5118</v>
      </c>
      <c r="C167" t="inlineStr">
        <is>
          <t>BELLTECH</t>
        </is>
      </c>
      <c r="D167" t="inlineStr">
        <is>
          <t>BELLTECH</t>
        </is>
      </c>
      <c r="E167" s="3" t="n">
        <v>46097</v>
      </c>
      <c r="F167" s="3" t="n">
        <v>46094</v>
      </c>
      <c r="G167" t="inlineStr">
        <is>
          <t>15:01:00</t>
        </is>
      </c>
      <c r="H167" t="n">
        <v>268698800</v>
      </c>
      <c r="I167" t="n">
        <v>141932800</v>
      </c>
      <c r="J167" t="n">
        <v>25990000</v>
      </c>
      <c r="K167" t="n">
        <v>142716000</v>
      </c>
      <c r="M167">
        <f>I167-(H167+J167-K167)- L167</f>
        <v/>
      </c>
      <c r="N167">
        <f>IF(M167=0,"Cuadrado",IF(M167&gt;0,"Faltante","Sobrante"))</f>
        <v/>
      </c>
      <c r="P167" t="n">
        <v>1102835683</v>
      </c>
    </row>
    <row r="168">
      <c r="A168" t="n">
        <v>667</v>
      </c>
      <c r="B168" t="n">
        <v>5167</v>
      </c>
      <c r="C168" t="inlineStr">
        <is>
          <t>BELLTECH</t>
        </is>
      </c>
      <c r="D168" t="inlineStr">
        <is>
          <t>BELLTECH</t>
        </is>
      </c>
      <c r="E168" s="3" t="n">
        <v>46097</v>
      </c>
      <c r="F168" s="3" t="n">
        <v>46093</v>
      </c>
      <c r="G168" t="inlineStr">
        <is>
          <t>08:18:00</t>
        </is>
      </c>
      <c r="H168" t="n">
        <v>323195550</v>
      </c>
      <c r="I168" t="n">
        <v>323415550</v>
      </c>
      <c r="J168" t="n">
        <v>0</v>
      </c>
      <c r="K168" t="n">
        <v>0</v>
      </c>
      <c r="M168">
        <f>I168-(H168+J168-K168)- L168</f>
        <v/>
      </c>
      <c r="N168">
        <f>IF(M168=0,"Cuadrado",IF(M168&gt;0,"Faltante","Sobrante"))</f>
        <v/>
      </c>
      <c r="O168" t="inlineStr">
        <is>
          <t>El faltante $220.000 es cruzado con sobrante contabilizado el día 11/03/2026 ($220.000) el cual es reversado por la seccion el día 16/03/2026</t>
        </is>
      </c>
      <c r="P168" t="n">
        <v>79953058</v>
      </c>
    </row>
    <row r="169">
      <c r="A169" t="n">
        <v>698</v>
      </c>
      <c r="B169" t="n">
        <v>5187</v>
      </c>
      <c r="C169" t="inlineStr">
        <is>
          <t>BELLTECH</t>
        </is>
      </c>
      <c r="D169" t="inlineStr">
        <is>
          <t>BELLTECH</t>
        </is>
      </c>
      <c r="E169" s="3" t="n">
        <v>46097</v>
      </c>
      <c r="F169" s="3" t="n">
        <v>46094</v>
      </c>
      <c r="G169" t="inlineStr">
        <is>
          <t>10:31:00</t>
        </is>
      </c>
      <c r="H169" t="n">
        <v>190586250</v>
      </c>
      <c r="I169" t="n">
        <v>189606750</v>
      </c>
      <c r="J169" t="n">
        <v>1820000</v>
      </c>
      <c r="K169" t="n">
        <v>2800000</v>
      </c>
      <c r="M169">
        <f>I169-(H169+J169-K169)- L169</f>
        <v/>
      </c>
      <c r="N169">
        <f>IF(M169=0,"Cuadrado",IF(M169&gt;0,"Faltante","Sobrante"))</f>
        <v/>
      </c>
      <c r="P169" t="n">
        <v>80177355</v>
      </c>
    </row>
    <row r="170">
      <c r="A170" t="n">
        <v>674</v>
      </c>
      <c r="B170" t="n">
        <v>5200</v>
      </c>
      <c r="C170" t="inlineStr">
        <is>
          <t>BELLTECH</t>
        </is>
      </c>
      <c r="D170" t="inlineStr">
        <is>
          <t>BELLTECH</t>
        </is>
      </c>
      <c r="E170" s="3" t="n">
        <v>46097</v>
      </c>
      <c r="F170" s="3" t="n">
        <v>46094</v>
      </c>
      <c r="G170" t="inlineStr">
        <is>
          <t>11:38:00</t>
        </is>
      </c>
      <c r="H170" t="n">
        <v>116721250</v>
      </c>
      <c r="I170" t="n">
        <v>110741250</v>
      </c>
      <c r="J170" t="n">
        <v>3960000</v>
      </c>
      <c r="K170" t="n">
        <v>9650000</v>
      </c>
      <c r="M170">
        <f>I170-(H170+J170-K170)- L170</f>
        <v/>
      </c>
      <c r="N170">
        <f>IF(M170=0,"Cuadrado",IF(M170&gt;0,"Faltante","Sobrante"))</f>
        <v/>
      </c>
      <c r="P170" t="n">
        <v>5200</v>
      </c>
    </row>
    <row r="171">
      <c r="A171" t="n">
        <v>178</v>
      </c>
      <c r="B171" t="n">
        <v>6218</v>
      </c>
      <c r="C171" t="inlineStr">
        <is>
          <t>BELLTECH</t>
        </is>
      </c>
      <c r="D171" t="inlineStr">
        <is>
          <t>BELLTECH</t>
        </is>
      </c>
      <c r="E171" s="3" t="n">
        <v>46097</v>
      </c>
      <c r="F171" s="3" t="n">
        <v>46094</v>
      </c>
      <c r="G171" t="inlineStr">
        <is>
          <t>09:25:00</t>
        </is>
      </c>
      <c r="H171" t="n">
        <v>289070150</v>
      </c>
      <c r="I171" t="n">
        <v>284740150</v>
      </c>
      <c r="J171" t="n">
        <v>4000000</v>
      </c>
      <c r="K171" t="n">
        <v>8400000</v>
      </c>
      <c r="M171">
        <f>I171-(H171+J171-K171)- L171</f>
        <v/>
      </c>
      <c r="N171">
        <f>IF(M171=0,"Cuadrado",IF(M171&gt;0,"Faltante","Sobrante"))</f>
        <v/>
      </c>
      <c r="O171" t="inlineStr">
        <is>
          <t>El faltante $170.000 es cruzado con sobrante contabilizado el día 13/03/2026 ($100.000), el día 11/03/2026 ($20.000), el día 10/03/2026 ($50.000) el cual es reversado por la seccion el día 16/03/2026</t>
        </is>
      </c>
      <c r="P171" t="n">
        <v>79516051</v>
      </c>
    </row>
    <row r="172">
      <c r="A172" t="n">
        <v>78</v>
      </c>
      <c r="B172" t="n">
        <v>6246</v>
      </c>
      <c r="C172" t="inlineStr">
        <is>
          <t>BELLTECH</t>
        </is>
      </c>
      <c r="D172" t="inlineStr">
        <is>
          <t>BELLTECH</t>
        </is>
      </c>
      <c r="E172" s="3" t="n">
        <v>46097</v>
      </c>
      <c r="F172" s="3" t="n">
        <v>46094</v>
      </c>
      <c r="G172" t="inlineStr">
        <is>
          <t>13:51:00</t>
        </is>
      </c>
      <c r="H172" t="n">
        <v>216413850</v>
      </c>
      <c r="I172" t="n">
        <v>183337250</v>
      </c>
      <c r="J172" t="n">
        <v>13610000</v>
      </c>
      <c r="K172" t="n">
        <v>53106600</v>
      </c>
      <c r="M172">
        <f>I172-(H172+J172-K172)- L172</f>
        <v/>
      </c>
      <c r="N172">
        <f>IF(M172=0,"Cuadrado",IF(M172&gt;0,"Faltante","Sobrante"))</f>
        <v/>
      </c>
      <c r="P172" t="n">
        <v>1098657131</v>
      </c>
    </row>
    <row r="173">
      <c r="A173" t="n">
        <v>337</v>
      </c>
      <c r="B173" t="n">
        <v>6253</v>
      </c>
      <c r="C173" t="inlineStr">
        <is>
          <t>BELLTECH</t>
        </is>
      </c>
      <c r="D173" t="inlineStr">
        <is>
          <t>BELLTECH</t>
        </is>
      </c>
      <c r="E173" s="3" t="n">
        <v>46097</v>
      </c>
      <c r="F173" s="3" t="n">
        <v>46094</v>
      </c>
      <c r="G173" t="inlineStr">
        <is>
          <t>11:07:00</t>
        </is>
      </c>
      <c r="H173" t="n">
        <v>183608600</v>
      </c>
      <c r="I173" t="n">
        <v>217906300</v>
      </c>
      <c r="J173" t="n">
        <v>22440000</v>
      </c>
      <c r="K173" t="n">
        <v>15243300</v>
      </c>
      <c r="M173">
        <f>I173-(H173+J173-K173)- L173</f>
        <v/>
      </c>
      <c r="N173">
        <f>IF(M173=0,"Cuadrado",IF(M173&gt;0,"Faltante","Sobrante"))</f>
        <v/>
      </c>
      <c r="O173" t="inlineStr">
        <is>
          <t>Gestión manual - Revisar por el personal encargado</t>
        </is>
      </c>
      <c r="P173" t="n">
        <v>80386330</v>
      </c>
    </row>
    <row r="174">
      <c r="A174" t="n">
        <v>348</v>
      </c>
      <c r="B174" t="n">
        <v>6724</v>
      </c>
      <c r="C174" t="inlineStr">
        <is>
          <t>DIEBOLD</t>
        </is>
      </c>
      <c r="D174" t="inlineStr">
        <is>
          <t>DIEBOLD</t>
        </is>
      </c>
      <c r="E174" s="3" t="n">
        <v>46097</v>
      </c>
      <c r="F174" s="3" t="n">
        <v>46094</v>
      </c>
      <c r="G174" t="inlineStr">
        <is>
          <t>09:59:00</t>
        </is>
      </c>
      <c r="H174" t="n">
        <v>206070900</v>
      </c>
      <c r="I174" t="n">
        <v>172242100</v>
      </c>
      <c r="J174" t="n">
        <v>2370000</v>
      </c>
      <c r="K174" t="n">
        <v>36080400</v>
      </c>
      <c r="M174">
        <f>I174-(H174+J174-K174)- L174</f>
        <v/>
      </c>
      <c r="N174">
        <f>IF(M174=0,"Cuadrado",IF(M174&gt;0,"Faltante","Sobrante"))</f>
        <v/>
      </c>
      <c r="O174" t="inlineStr">
        <is>
          <t>El faltante $1.798.000 es cruzado con sobrante contabilizado el día 13/03/2026 ($1.798.000) el cual es reversado por la seccion el día 16/03/2026</t>
        </is>
      </c>
      <c r="P174" t="n">
        <v>1123633014</v>
      </c>
    </row>
    <row r="175">
      <c r="A175" t="n">
        <v>741</v>
      </c>
      <c r="B175" t="n">
        <v>6843</v>
      </c>
      <c r="C175" t="inlineStr">
        <is>
          <t>DIEBOLD</t>
        </is>
      </c>
      <c r="D175" t="inlineStr">
        <is>
          <t>DIEBOLD</t>
        </is>
      </c>
      <c r="E175" s="3" t="n">
        <v>46097</v>
      </c>
      <c r="F175" s="3" t="n">
        <v>46094</v>
      </c>
      <c r="G175" t="inlineStr">
        <is>
          <t>10:32:00</t>
        </is>
      </c>
      <c r="H175" t="n">
        <v>173666500</v>
      </c>
      <c r="I175" t="n">
        <v>185201500</v>
      </c>
      <c r="J175" t="n">
        <v>13390000</v>
      </c>
      <c r="K175" t="n">
        <v>1460000</v>
      </c>
      <c r="M175">
        <f>I175-(H175+J175-K175)- L175</f>
        <v/>
      </c>
      <c r="N175">
        <f>IF(M175=0,"Cuadrado",IF(M175&gt;0,"Faltante","Sobrante"))</f>
        <v/>
      </c>
      <c r="P175" t="n">
        <v>1130637714</v>
      </c>
    </row>
    <row r="176">
      <c r="A176" t="n">
        <v>385</v>
      </c>
      <c r="B176" t="n">
        <v>7139</v>
      </c>
      <c r="C176" t="inlineStr">
        <is>
          <t>BELLTECH</t>
        </is>
      </c>
      <c r="D176" t="inlineStr">
        <is>
          <t>BELLTECH</t>
        </is>
      </c>
      <c r="E176" s="3" t="n">
        <v>46097</v>
      </c>
      <c r="F176" s="3" t="n">
        <v>46094</v>
      </c>
      <c r="G176" t="inlineStr">
        <is>
          <t>15:45:00</t>
        </is>
      </c>
      <c r="H176" t="n">
        <v>164563250</v>
      </c>
      <c r="I176" t="n">
        <v>161822250</v>
      </c>
      <c r="J176" t="n">
        <v>38310000</v>
      </c>
      <c r="K176" t="n">
        <v>46141000</v>
      </c>
      <c r="M176">
        <f>I176-(H176+J176-K176)- L176</f>
        <v/>
      </c>
      <c r="N176">
        <f>IF(M176=0,"Cuadrado",IF(M176&gt;0,"Faltante","Sobrante"))</f>
        <v/>
      </c>
      <c r="P176" t="n">
        <v>1077970238</v>
      </c>
    </row>
    <row r="177">
      <c r="A177" t="n">
        <v>389</v>
      </c>
      <c r="B177" t="n">
        <v>7327</v>
      </c>
      <c r="C177" t="inlineStr">
        <is>
          <t>BELLTECH</t>
        </is>
      </c>
      <c r="D177" t="inlineStr">
        <is>
          <t>BELLTECH</t>
        </is>
      </c>
      <c r="E177" s="3" t="n">
        <v>46097</v>
      </c>
      <c r="F177" s="3" t="n">
        <v>46094</v>
      </c>
      <c r="G177" t="inlineStr">
        <is>
          <t>08:45:00</t>
        </is>
      </c>
      <c r="H177" t="n">
        <v>167849800</v>
      </c>
      <c r="I177" t="n">
        <v>170587550</v>
      </c>
      <c r="J177" t="n">
        <v>2720000</v>
      </c>
      <c r="K177" t="n">
        <v>0</v>
      </c>
      <c r="M177">
        <f>I177-(H177+J177-K177)- L177</f>
        <v/>
      </c>
      <c r="N177">
        <f>IF(M177=0,"Cuadrado",IF(M177&gt;0,"Faltante","Sobrante"))</f>
        <v/>
      </c>
      <c r="P177" t="n">
        <v>14319846</v>
      </c>
    </row>
    <row r="178">
      <c r="A178" t="n">
        <v>453</v>
      </c>
      <c r="B178" t="n">
        <v>8018</v>
      </c>
      <c r="C178" t="inlineStr">
        <is>
          <t>BELLTECH</t>
        </is>
      </c>
      <c r="D178" t="inlineStr">
        <is>
          <t>BELLTECH</t>
        </is>
      </c>
      <c r="E178" s="3" t="n">
        <v>46097</v>
      </c>
      <c r="F178" s="3" t="n">
        <v>46094</v>
      </c>
      <c r="G178" t="inlineStr">
        <is>
          <t>08:06:00</t>
        </is>
      </c>
      <c r="H178" t="n">
        <v>398032150</v>
      </c>
      <c r="I178" t="n">
        <v>411702150</v>
      </c>
      <c r="J178" t="n">
        <v>620000</v>
      </c>
      <c r="K178" t="n">
        <v>2100000</v>
      </c>
      <c r="M178">
        <f>I178-(H178+J178-K178)- L178</f>
        <v/>
      </c>
      <c r="N178">
        <f>IF(M178=0,"Cuadrado",IF(M178&gt;0,"Faltante","Sobrante"))</f>
        <v/>
      </c>
      <c r="O178" t="inlineStr">
        <is>
          <t>El faltante $15.150.000 es cruzado con sobrante contabilizado el día 04/03/2026 ($15.150.000) el cual es reversado por la seccion el día 16/03/2026</t>
        </is>
      </c>
      <c r="P178" t="n">
        <v>1083897578</v>
      </c>
    </row>
    <row r="179">
      <c r="A179" t="n">
        <v>453</v>
      </c>
      <c r="B179" t="n">
        <v>8019</v>
      </c>
      <c r="C179" t="inlineStr">
        <is>
          <t>BELLTECH</t>
        </is>
      </c>
      <c r="D179" t="inlineStr">
        <is>
          <t>BELLTECH</t>
        </is>
      </c>
      <c r="E179" s="3" t="n">
        <v>46097</v>
      </c>
      <c r="F179" s="3" t="n">
        <v>46094</v>
      </c>
      <c r="G179" t="inlineStr">
        <is>
          <t>08:09:00</t>
        </is>
      </c>
      <c r="H179" t="n">
        <v>214523100</v>
      </c>
      <c r="I179" t="n">
        <v>218440600</v>
      </c>
      <c r="J179" t="n">
        <v>0</v>
      </c>
      <c r="K179" t="n">
        <v>0</v>
      </c>
      <c r="M179">
        <f>I179-(H179+J179-K179)- L179</f>
        <v/>
      </c>
      <c r="N179">
        <f>IF(M179=0,"Cuadrado",IF(M179&gt;0,"Faltante","Sobrante"))</f>
        <v/>
      </c>
      <c r="O179" t="inlineStr">
        <is>
          <t>El faltante $3.917.500 es cruzado con sobrante contabilizado el día 10/03/2026 ($1.995.000), el día 06/03/2026 ($1.276.000), el día 05/03/2026 ($646.500) el cual es reversado por la seccion el día 16/03/2026</t>
        </is>
      </c>
      <c r="P179" t="n">
        <v>1083897578</v>
      </c>
    </row>
    <row r="180">
      <c r="A180" t="n">
        <v>556</v>
      </c>
      <c r="B180" t="n">
        <v>8333</v>
      </c>
      <c r="C180" t="inlineStr">
        <is>
          <t>BELLTECH</t>
        </is>
      </c>
      <c r="D180" t="inlineStr">
        <is>
          <t>BELLTECH</t>
        </is>
      </c>
      <c r="E180" s="3" t="n">
        <v>46097</v>
      </c>
      <c r="F180" s="3" t="n">
        <v>46094</v>
      </c>
      <c r="G180" t="inlineStr">
        <is>
          <t>10:08:00</t>
        </is>
      </c>
      <c r="H180" t="n">
        <v>335832450</v>
      </c>
      <c r="I180" t="n">
        <v>326064500</v>
      </c>
      <c r="J180" t="n">
        <v>6820000</v>
      </c>
      <c r="K180" t="n">
        <v>16583500</v>
      </c>
      <c r="M180">
        <f>I180-(H180+J180-K180)- L180</f>
        <v/>
      </c>
      <c r="N180">
        <f>IF(M180=0,"Cuadrado",IF(M180&gt;0,"Faltante","Sobrante"))</f>
        <v/>
      </c>
      <c r="P180" t="n">
        <v>39450196</v>
      </c>
    </row>
    <row r="181">
      <c r="A181" t="n">
        <v>769</v>
      </c>
      <c r="B181" t="n">
        <v>8679</v>
      </c>
      <c r="C181" t="inlineStr">
        <is>
          <t>BELLTECH</t>
        </is>
      </c>
      <c r="D181" t="inlineStr">
        <is>
          <t>BELLTECH</t>
        </is>
      </c>
      <c r="E181" s="3" t="n">
        <v>46097</v>
      </c>
      <c r="F181" s="3" t="n">
        <v>46094</v>
      </c>
      <c r="G181" t="inlineStr">
        <is>
          <t>11:09:00</t>
        </is>
      </c>
      <c r="H181" t="n">
        <v>87502300</v>
      </c>
      <c r="I181" t="n">
        <v>65809200</v>
      </c>
      <c r="J181" t="n">
        <v>7140000</v>
      </c>
      <c r="K181" t="n">
        <v>18893100</v>
      </c>
      <c r="M181">
        <f>I181-(H181+J181-K181)- L181</f>
        <v/>
      </c>
      <c r="N181">
        <f>IF(M181=0,"Cuadrado",IF(M181&gt;0,"Faltante","Sobrante"))</f>
        <v/>
      </c>
      <c r="P181" t="n">
        <v>1129580385</v>
      </c>
    </row>
    <row r="182">
      <c r="A182" t="n">
        <v>60</v>
      </c>
      <c r="B182" t="n">
        <v>8727</v>
      </c>
      <c r="C182" t="inlineStr">
        <is>
          <t>BELLTECH</t>
        </is>
      </c>
      <c r="D182" t="inlineStr">
        <is>
          <t>BELLTECH</t>
        </is>
      </c>
      <c r="E182" s="3" t="n">
        <v>46097</v>
      </c>
      <c r="F182" s="3" t="n">
        <v>46094</v>
      </c>
      <c r="G182" t="inlineStr">
        <is>
          <t>15:04:00</t>
        </is>
      </c>
      <c r="H182" t="n">
        <v>105704050</v>
      </c>
      <c r="I182" t="n">
        <v>243171450</v>
      </c>
      <c r="J182" t="n">
        <v>27980000</v>
      </c>
      <c r="K182" t="n">
        <v>40699600</v>
      </c>
      <c r="M182">
        <f>I182-(H182+J182-K182)- L182</f>
        <v/>
      </c>
      <c r="N182">
        <f>IF(M182=0,"Cuadrado",IF(M182&gt;0,"Faltante","Sobrante"))</f>
        <v/>
      </c>
      <c r="O182" t="inlineStr">
        <is>
          <t>El faltante $55.000 es cruzado con sobrante contabilizado el día 11/03/2026 ($50.000), el día 10/03/2026 ($3.600), el día 06/03/2026 ($1.400) el cual es reversado por la seccion el día 16/03/2026</t>
        </is>
      </c>
      <c r="P182" t="n">
        <v>14697128</v>
      </c>
    </row>
    <row r="183">
      <c r="A183" t="n">
        <v>60</v>
      </c>
      <c r="B183" t="n">
        <v>8729</v>
      </c>
      <c r="C183" t="inlineStr">
        <is>
          <t>BELLTECH</t>
        </is>
      </c>
      <c r="D183" t="inlineStr">
        <is>
          <t>BELLTECH</t>
        </is>
      </c>
      <c r="E183" s="3" t="n">
        <v>46097</v>
      </c>
      <c r="F183" s="3" t="n">
        <v>46094</v>
      </c>
      <c r="G183" t="inlineStr">
        <is>
          <t>10:59:00</t>
        </is>
      </c>
      <c r="H183" t="n">
        <v>112531100</v>
      </c>
      <c r="I183" t="n">
        <v>-37079900</v>
      </c>
      <c r="J183" t="n">
        <v>9960000</v>
      </c>
      <c r="K183" t="n">
        <v>10484000</v>
      </c>
      <c r="M183">
        <f>I183-(H183+J183-K183)- L183</f>
        <v/>
      </c>
      <c r="N183">
        <f>IF(M183=0,"Cuadrado",IF(M183&gt;0,"Faltante","Sobrante"))</f>
        <v/>
      </c>
      <c r="P183" t="n">
        <v>14697128</v>
      </c>
    </row>
    <row r="184">
      <c r="A184" t="n">
        <v>33</v>
      </c>
      <c r="B184" t="n">
        <v>8861</v>
      </c>
      <c r="C184" t="inlineStr">
        <is>
          <t>BELLTECH</t>
        </is>
      </c>
      <c r="D184" t="inlineStr">
        <is>
          <t>BELLTECH</t>
        </is>
      </c>
      <c r="E184" s="3" t="n">
        <v>46097</v>
      </c>
      <c r="F184" s="3" t="n">
        <v>46094</v>
      </c>
      <c r="G184" t="inlineStr">
        <is>
          <t>14:36:00</t>
        </is>
      </c>
      <c r="H184" t="n">
        <v>241416650</v>
      </c>
      <c r="I184" t="n">
        <v>252694650</v>
      </c>
      <c r="J184" t="n">
        <v>26940000</v>
      </c>
      <c r="K184" t="n">
        <v>28477000</v>
      </c>
      <c r="M184">
        <f>I184-(H184+J184-K184)- L184</f>
        <v/>
      </c>
      <c r="N184">
        <f>IF(M184=0,"Cuadrado",IF(M184&gt;0,"Faltante","Sobrante"))</f>
        <v/>
      </c>
      <c r="O184" t="inlineStr">
        <is>
          <t>El faltante $12.815.000 es cruzado con sobrante contabilizado el día 11/03/2026 ($12.815.000) el cual es reversado por la seccion el día 16/03/2026</t>
        </is>
      </c>
      <c r="P184" t="n">
        <v>79659379</v>
      </c>
    </row>
    <row r="185">
      <c r="A185" t="n">
        <v>225</v>
      </c>
      <c r="B185" t="n">
        <v>8868</v>
      </c>
      <c r="C185" t="inlineStr">
        <is>
          <t>BELLTECH</t>
        </is>
      </c>
      <c r="D185" t="inlineStr">
        <is>
          <t>BELLTECH</t>
        </is>
      </c>
      <c r="E185" s="3" t="n">
        <v>46097</v>
      </c>
      <c r="F185" s="3" t="n">
        <v>46094</v>
      </c>
      <c r="G185" t="inlineStr">
        <is>
          <t>10:38:00</t>
        </is>
      </c>
      <c r="H185" t="n">
        <v>149615950</v>
      </c>
      <c r="I185" t="n">
        <v>141645950</v>
      </c>
      <c r="J185" t="n">
        <v>7470000</v>
      </c>
      <c r="K185" t="n">
        <v>3970000</v>
      </c>
      <c r="M185">
        <f>I185-(H185+J185-K185)- L185</f>
        <v/>
      </c>
      <c r="N185">
        <f>IF(M185=0,"Cuadrado",IF(M185&gt;0,"Faltante","Sobrante"))</f>
        <v/>
      </c>
      <c r="P185" t="n">
        <v>80212698</v>
      </c>
    </row>
    <row r="186">
      <c r="A186" t="n">
        <v>225</v>
      </c>
      <c r="B186" t="n">
        <v>8869</v>
      </c>
      <c r="C186" t="inlineStr">
        <is>
          <t>BELLTECH</t>
        </is>
      </c>
      <c r="D186" t="inlineStr">
        <is>
          <t>BELLTECH</t>
        </is>
      </c>
      <c r="E186" s="3" t="n">
        <v>46097</v>
      </c>
      <c r="F186" s="3" t="n">
        <v>46094</v>
      </c>
      <c r="G186" t="inlineStr">
        <is>
          <t>10:24:00</t>
        </is>
      </c>
      <c r="H186" t="n">
        <v>265457950</v>
      </c>
      <c r="I186" t="n">
        <v>230207950</v>
      </c>
      <c r="J186" t="n">
        <v>19880000</v>
      </c>
      <c r="K186" t="n">
        <v>55430000</v>
      </c>
      <c r="M186">
        <f>I186-(H186+J186-K186)- L186</f>
        <v/>
      </c>
      <c r="N186">
        <f>IF(M186=0,"Cuadrado",IF(M186&gt;0,"Faltante","Sobrante"))</f>
        <v/>
      </c>
      <c r="O186" t="inlineStr">
        <is>
          <t>El faltante $1.180.000 es cruzado con sobrante contabilizado el día 13/03/2026 ($880.000), el día 12/03/2026 ($300.000) el cual es reversado por la seccion el día 16/03/2026</t>
        </is>
      </c>
      <c r="P186" t="n">
        <v>80212698</v>
      </c>
    </row>
    <row r="187">
      <c r="A187" t="n">
        <v>457</v>
      </c>
      <c r="B187" t="n">
        <v>9004</v>
      </c>
      <c r="C187" t="inlineStr">
        <is>
          <t>BELLTECH</t>
        </is>
      </c>
      <c r="D187" t="inlineStr">
        <is>
          <t>BELLTECH</t>
        </is>
      </c>
      <c r="E187" s="3" t="n">
        <v>46097</v>
      </c>
      <c r="F187" s="3" t="n">
        <v>46094</v>
      </c>
      <c r="G187" t="inlineStr">
        <is>
          <t>09:20:00</t>
        </is>
      </c>
      <c r="H187" t="n">
        <v>289891700</v>
      </c>
      <c r="I187" t="n">
        <v>281371500</v>
      </c>
      <c r="J187" t="n">
        <v>1330000</v>
      </c>
      <c r="K187" t="n">
        <v>9950000</v>
      </c>
      <c r="M187">
        <f>I187-(H187+J187-K187)- L187</f>
        <v/>
      </c>
      <c r="N187">
        <f>IF(M187=0,"Cuadrado",IF(M187&gt;0,"Faltante","Sobrante"))</f>
        <v/>
      </c>
      <c r="P187" t="n">
        <v>33750644</v>
      </c>
    </row>
    <row r="188">
      <c r="A188" t="n">
        <v>348</v>
      </c>
      <c r="B188" t="n">
        <v>9009</v>
      </c>
      <c r="C188" t="inlineStr">
        <is>
          <t>BELLTECH</t>
        </is>
      </c>
      <c r="D188" t="inlineStr">
        <is>
          <t>BELLTECH</t>
        </is>
      </c>
      <c r="E188" s="3" t="n">
        <v>46097</v>
      </c>
      <c r="F188" s="3" t="n">
        <v>46094</v>
      </c>
      <c r="G188" t="inlineStr">
        <is>
          <t>16:08:00</t>
        </is>
      </c>
      <c r="H188" t="n">
        <v>31607400</v>
      </c>
      <c r="I188" t="n">
        <v>25017400</v>
      </c>
      <c r="J188" t="n">
        <v>0</v>
      </c>
      <c r="K188" t="n">
        <v>0</v>
      </c>
      <c r="M188">
        <f>I188-(H188+J188-K188)- L188</f>
        <v/>
      </c>
      <c r="N188">
        <f>IF(M188=0,"Cuadrado",IF(M188&gt;0,"Faltante","Sobrante"))</f>
        <v/>
      </c>
      <c r="P188" t="n">
        <v>1123633014</v>
      </c>
    </row>
    <row r="189">
      <c r="A189" t="n">
        <v>467</v>
      </c>
      <c r="B189" t="n">
        <v>9051</v>
      </c>
      <c r="C189" t="inlineStr">
        <is>
          <t>BELLTECH</t>
        </is>
      </c>
      <c r="D189" t="inlineStr">
        <is>
          <t>BELLTECH</t>
        </is>
      </c>
      <c r="E189" s="3" t="n">
        <v>46097</v>
      </c>
      <c r="F189" s="3" t="n">
        <v>46094</v>
      </c>
      <c r="G189" t="inlineStr">
        <is>
          <t>13:27:00</t>
        </is>
      </c>
      <c r="H189" t="n">
        <v>197423150</v>
      </c>
      <c r="I189" t="n">
        <v>111167050</v>
      </c>
      <c r="J189" t="n">
        <v>23350000</v>
      </c>
      <c r="K189" t="n">
        <v>33723000</v>
      </c>
      <c r="M189">
        <f>I189-(H189+J189-K189)- L189</f>
        <v/>
      </c>
      <c r="N189">
        <f>IF(M189=0,"Cuadrado",IF(M189&gt;0,"Faltante","Sobrante"))</f>
        <v/>
      </c>
      <c r="P189" t="n">
        <v>52539189</v>
      </c>
    </row>
    <row r="190">
      <c r="A190" t="n">
        <v>467</v>
      </c>
      <c r="B190" t="n">
        <v>9052</v>
      </c>
      <c r="C190" t="inlineStr">
        <is>
          <t>BELLTECH</t>
        </is>
      </c>
      <c r="D190" t="inlineStr">
        <is>
          <t>BELLTECH</t>
        </is>
      </c>
      <c r="E190" s="3" t="n">
        <v>46097</v>
      </c>
      <c r="F190" s="3" t="n">
        <v>46094</v>
      </c>
      <c r="G190" t="inlineStr">
        <is>
          <t>13:51:00</t>
        </is>
      </c>
      <c r="H190" t="n">
        <v>180243200</v>
      </c>
      <c r="I190" t="n">
        <v>174904050</v>
      </c>
      <c r="J190" t="n">
        <v>12240000</v>
      </c>
      <c r="K190" t="n">
        <v>16331000</v>
      </c>
      <c r="M190">
        <f>I190-(H190+J190-K190)- L190</f>
        <v/>
      </c>
      <c r="N190">
        <f>IF(M190=0,"Cuadrado",IF(M190&gt;0,"Faltante","Sobrante"))</f>
        <v/>
      </c>
      <c r="P190" t="n">
        <v>52539189</v>
      </c>
    </row>
    <row r="191">
      <c r="A191" t="n">
        <v>551</v>
      </c>
      <c r="B191" t="n">
        <v>9643</v>
      </c>
      <c r="C191" t="inlineStr">
        <is>
          <t>BELLTECH</t>
        </is>
      </c>
      <c r="D191" t="inlineStr">
        <is>
          <t>BELLTECH</t>
        </is>
      </c>
      <c r="E191" s="3" t="n">
        <v>46097</v>
      </c>
      <c r="F191" s="3" t="n">
        <v>46094</v>
      </c>
      <c r="G191" t="inlineStr">
        <is>
          <t>12:05:00</t>
        </is>
      </c>
      <c r="H191" t="n">
        <v>317417400</v>
      </c>
      <c r="I191" t="n">
        <v>275536300</v>
      </c>
      <c r="J191" t="n">
        <v>11140000</v>
      </c>
      <c r="K191" t="n">
        <v>53010000</v>
      </c>
      <c r="M191">
        <f>I191-(H191+J191-K191)- L191</f>
        <v/>
      </c>
      <c r="N191">
        <f>IF(M191=0,"Cuadrado",IF(M191&gt;0,"Faltante","Sobrante"))</f>
        <v/>
      </c>
      <c r="P191" t="n">
        <v>1152213498</v>
      </c>
    </row>
    <row r="192">
      <c r="A192" t="n">
        <v>516</v>
      </c>
      <c r="B192" t="n">
        <v>9729</v>
      </c>
      <c r="C192" t="inlineStr">
        <is>
          <t>BELLTECH</t>
        </is>
      </c>
      <c r="D192" t="inlineStr">
        <is>
          <t>BELLTECH</t>
        </is>
      </c>
      <c r="E192" s="3" t="n">
        <v>46097</v>
      </c>
      <c r="F192" s="3" t="n">
        <v>46094</v>
      </c>
      <c r="G192" t="inlineStr">
        <is>
          <t>09:29:00</t>
        </is>
      </c>
      <c r="H192" t="n">
        <v>114949850</v>
      </c>
      <c r="I192" t="n">
        <v>112262150</v>
      </c>
      <c r="J192" t="n">
        <v>14140000</v>
      </c>
      <c r="K192" t="n">
        <v>20370000</v>
      </c>
      <c r="M192">
        <f>I192-(H192+J192-K192)- L192</f>
        <v/>
      </c>
      <c r="N192">
        <f>IF(M192=0,"Cuadrado",IF(M192&gt;0,"Faltante","Sobrante"))</f>
        <v/>
      </c>
      <c r="P192" t="n">
        <v>57292451</v>
      </c>
    </row>
    <row r="193">
      <c r="A193" t="n">
        <v>511</v>
      </c>
      <c r="B193" t="n">
        <v>5122</v>
      </c>
      <c r="C193" t="inlineStr">
        <is>
          <t>BELLTECH</t>
        </is>
      </c>
      <c r="D193" t="inlineStr">
        <is>
          <t>BELLTECH</t>
        </is>
      </c>
      <c r="E193" s="3" t="n">
        <v>46097</v>
      </c>
      <c r="F193" s="3" t="n">
        <v>46094</v>
      </c>
      <c r="G193" t="inlineStr">
        <is>
          <t>09:11:00</t>
        </is>
      </c>
      <c r="H193" t="n">
        <v>283207050</v>
      </c>
      <c r="I193" t="n">
        <v>284982050</v>
      </c>
      <c r="J193" t="n">
        <v>9670000</v>
      </c>
      <c r="K193" t="n">
        <v>7895000</v>
      </c>
      <c r="M193">
        <f>I193-(H193+J193-K193)- L193</f>
        <v/>
      </c>
      <c r="N193">
        <f>IF(M193=0,"Cuadrado",IF(M193&gt;0,"Faltante","Sobrante"))</f>
        <v/>
      </c>
      <c r="O193" t="inlineStr">
        <is>
          <t>Cajero cuadrado, sin observación por parte de la sucursal</t>
        </is>
      </c>
      <c r="P193" t="n">
        <v>1152438348</v>
      </c>
    </row>
    <row r="194">
      <c r="A194" t="n">
        <v>300</v>
      </c>
      <c r="B194" t="n">
        <v>5139</v>
      </c>
      <c r="C194" t="inlineStr">
        <is>
          <t>BELLTECH</t>
        </is>
      </c>
      <c r="D194" t="inlineStr">
        <is>
          <t>BELLTECH</t>
        </is>
      </c>
      <c r="E194" s="3" t="n">
        <v>46097</v>
      </c>
      <c r="F194" s="3" t="n">
        <v>46094</v>
      </c>
      <c r="G194" t="inlineStr">
        <is>
          <t>11:59:00</t>
        </is>
      </c>
      <c r="H194" t="n">
        <v>281699650</v>
      </c>
      <c r="I194" t="n">
        <v>268433650</v>
      </c>
      <c r="J194" t="n">
        <v>15500000</v>
      </c>
      <c r="K194" t="n">
        <v>28766000</v>
      </c>
      <c r="M194">
        <f>I194-(H194+J194-K194)- L194</f>
        <v/>
      </c>
      <c r="N194">
        <f>IF(M194=0,"Cuadrado",IF(M194&gt;0,"Faltante","Sobrante"))</f>
        <v/>
      </c>
      <c r="O194" t="inlineStr">
        <is>
          <t>Cajero cuadrado, sin observación por parte de la sucursal</t>
        </is>
      </c>
      <c r="P194" t="n">
        <v>53097567</v>
      </c>
    </row>
    <row r="195">
      <c r="A195" t="n">
        <v>718</v>
      </c>
      <c r="B195" t="n">
        <v>6248</v>
      </c>
      <c r="C195" t="inlineStr">
        <is>
          <t>BELLTECH</t>
        </is>
      </c>
      <c r="D195" t="inlineStr">
        <is>
          <t>BELLTECH</t>
        </is>
      </c>
      <c r="E195" s="3" t="n">
        <v>46097</v>
      </c>
      <c r="F195" s="3" t="n">
        <v>46094</v>
      </c>
      <c r="G195" t="inlineStr">
        <is>
          <t>08:09:00</t>
        </is>
      </c>
      <c r="H195" t="n">
        <v>180929850</v>
      </c>
      <c r="I195" t="n">
        <v>174729850</v>
      </c>
      <c r="J195" t="n">
        <v>0</v>
      </c>
      <c r="K195" t="n">
        <v>6200000</v>
      </c>
      <c r="M195">
        <f>I195-(H195+J195-K195)- L195</f>
        <v/>
      </c>
      <c r="N195">
        <f>IF(M195=0,"Cuadrado",IF(M195&gt;0,"Faltante","Sobrante"))</f>
        <v/>
      </c>
      <c r="O195" t="inlineStr">
        <is>
          <t>Cajero cuadrado, sin observación por parte de la sucursal</t>
        </is>
      </c>
      <c r="P195" t="n">
        <v>1110458168</v>
      </c>
    </row>
    <row r="196">
      <c r="A196" t="n">
        <v>37</v>
      </c>
      <c r="B196" t="n">
        <v>6406</v>
      </c>
      <c r="C196" t="inlineStr">
        <is>
          <t>BELLTECH</t>
        </is>
      </c>
      <c r="D196" t="inlineStr">
        <is>
          <t>BELLTECH</t>
        </is>
      </c>
      <c r="E196" s="3" t="n">
        <v>46097</v>
      </c>
      <c r="F196" s="3" t="n">
        <v>46094</v>
      </c>
      <c r="G196" t="inlineStr">
        <is>
          <t>09:02:00</t>
        </is>
      </c>
      <c r="H196" t="n">
        <v>150351400</v>
      </c>
      <c r="I196" t="n">
        <v>150351400</v>
      </c>
      <c r="J196" t="n">
        <v>0</v>
      </c>
      <c r="K196" t="n">
        <v>0</v>
      </c>
      <c r="M196">
        <f>I196-(H196+J196-K196)- L196</f>
        <v/>
      </c>
      <c r="N196">
        <f>IF(M196=0,"Cuadrado",IF(M196&gt;0,"Faltante","Sobrante"))</f>
        <v/>
      </c>
      <c r="O196" t="inlineStr">
        <is>
          <t>Cajero cuadrado, sin observación por parte de la sucursal</t>
        </is>
      </c>
      <c r="P196" t="n">
        <v>1018444239</v>
      </c>
    </row>
    <row r="197">
      <c r="A197" t="n">
        <v>728</v>
      </c>
      <c r="B197" t="n">
        <v>8586</v>
      </c>
      <c r="C197" t="inlineStr">
        <is>
          <t>BELLTECH</t>
        </is>
      </c>
      <c r="D197" t="inlineStr">
        <is>
          <t>BELLTECH</t>
        </is>
      </c>
      <c r="E197" s="3" t="n">
        <v>46097</v>
      </c>
      <c r="F197" s="3" t="n">
        <v>46094</v>
      </c>
      <c r="G197" t="inlineStr">
        <is>
          <t>14:40:00</t>
        </is>
      </c>
      <c r="H197" t="n">
        <v>71611650</v>
      </c>
      <c r="I197" t="n">
        <v>97971650</v>
      </c>
      <c r="J197" t="n">
        <v>26360000</v>
      </c>
      <c r="K197" t="n">
        <v>0</v>
      </c>
      <c r="M197">
        <f>I197-(H197+J197-K197)- L197</f>
        <v/>
      </c>
      <c r="N197">
        <f>IF(M197=0,"Cuadrado",IF(M197&gt;0,"Faltante","Sobrante"))</f>
        <v/>
      </c>
      <c r="O197" t="inlineStr">
        <is>
          <t>Cajero cuadrado, sin observación por parte de la sucursal</t>
        </is>
      </c>
      <c r="P197" t="n">
        <v>1112783690</v>
      </c>
    </row>
    <row r="198">
      <c r="A198" t="n">
        <v>728</v>
      </c>
      <c r="B198" t="n">
        <v>8587</v>
      </c>
      <c r="C198" t="inlineStr">
        <is>
          <t>BELLTECH</t>
        </is>
      </c>
      <c r="D198" t="inlineStr">
        <is>
          <t>BELLTECH</t>
        </is>
      </c>
      <c r="E198" s="3" t="n">
        <v>46097</v>
      </c>
      <c r="F198" s="3" t="n">
        <v>46094</v>
      </c>
      <c r="G198" t="inlineStr">
        <is>
          <t>14:55:00</t>
        </is>
      </c>
      <c r="H198" t="n">
        <v>272030750</v>
      </c>
      <c r="I198" t="n">
        <v>146290750</v>
      </c>
      <c r="J198" t="n">
        <v>34040000</v>
      </c>
      <c r="K198" t="n">
        <v>159780000</v>
      </c>
      <c r="M198">
        <f>I198-(H198+J198-K198)- L198</f>
        <v/>
      </c>
      <c r="N198">
        <f>IF(M198=0,"Cuadrado",IF(M198&gt;0,"Faltante","Sobrante"))</f>
        <v/>
      </c>
      <c r="O198" t="inlineStr">
        <is>
          <t>Cajero cuadrado, sin observación por parte de la sucursal</t>
        </is>
      </c>
      <c r="P198" t="n">
        <v>1112783690</v>
      </c>
    </row>
    <row r="199">
      <c r="A199" t="n">
        <v>333</v>
      </c>
      <c r="B199" t="n">
        <v>442</v>
      </c>
      <c r="C199" t="inlineStr">
        <is>
          <t>DIEBOLD</t>
        </is>
      </c>
      <c r="D199" t="inlineStr">
        <is>
          <t>DIEBOLD</t>
        </is>
      </c>
      <c r="E199" s="3" t="n">
        <v>46094</v>
      </c>
      <c r="F199" s="3" t="n">
        <v>46093</v>
      </c>
      <c r="G199" t="inlineStr">
        <is>
          <t>15:19:00</t>
        </is>
      </c>
      <c r="H199" t="n">
        <v>121666050</v>
      </c>
      <c r="I199" t="n">
        <v>221716600</v>
      </c>
      <c r="J199" t="n">
        <v>13930000</v>
      </c>
      <c r="K199" t="n">
        <v>87218000</v>
      </c>
      <c r="L199" t="n">
        <v>171971000</v>
      </c>
      <c r="M199">
        <f>I199-(H199+J199-K199)- L199</f>
        <v/>
      </c>
      <c r="N199">
        <f>IF(M199=0,"Cuadrado",IF(M199&gt;0,"Faltante","Sobrante"))</f>
        <v/>
      </c>
      <c r="O199" t="inlineStr">
        <is>
          <t>La diferencia es contabilizada por la Gerencia De Autoservicios y Efectivo de manera centralizada a la cuenta de faltantes 168710093 el 13/03/2026, esta diferencia ingresa a proceso de investigación en el área para identificar a que corresponde.</t>
        </is>
      </c>
      <c r="P199" t="n">
        <v>1036606819</v>
      </c>
    </row>
    <row r="200">
      <c r="A200" t="n">
        <v>331</v>
      </c>
      <c r="B200" t="n">
        <v>574</v>
      </c>
      <c r="C200" t="inlineStr">
        <is>
          <t>BELLTECH</t>
        </is>
      </c>
      <c r="D200" t="inlineStr">
        <is>
          <t>BELLTECH</t>
        </is>
      </c>
      <c r="E200" s="3" t="n">
        <v>46094</v>
      </c>
      <c r="F200" s="3" t="n">
        <v>46093</v>
      </c>
      <c r="G200" t="inlineStr">
        <is>
          <t>10:31:00</t>
        </is>
      </c>
      <c r="H200" t="n">
        <v>172377600</v>
      </c>
      <c r="I200" t="n">
        <v>121317000</v>
      </c>
      <c r="J200" t="n">
        <v>9690000</v>
      </c>
      <c r="K200" t="n">
        <v>21919000</v>
      </c>
      <c r="M200">
        <f>I200-(H200+J200-K200)- L200</f>
        <v/>
      </c>
      <c r="N200">
        <f>IF(M200=0,"Cuadrado",IF(M200&gt;0,"Faltante","Sobrante"))</f>
        <v/>
      </c>
      <c r="O200" t="inlineStr">
        <is>
          <t>La diferencia es contabilizada por la Gerencia De Autoservicios y Efectivo de manera centralizada a la cuenta de sobrantes 279510020 el 13/03/2026</t>
        </is>
      </c>
      <c r="P200" t="n">
        <v>32244978</v>
      </c>
    </row>
    <row r="201">
      <c r="A201" t="n">
        <v>907</v>
      </c>
      <c r="B201" t="n">
        <v>4830</v>
      </c>
      <c r="C201" t="inlineStr">
        <is>
          <t>BELLTECH</t>
        </is>
      </c>
      <c r="D201" t="inlineStr">
        <is>
          <t>BELLTECH</t>
        </is>
      </c>
      <c r="E201" s="3" t="n">
        <v>46094</v>
      </c>
      <c r="F201" s="3" t="n">
        <v>46093</v>
      </c>
      <c r="G201" t="inlineStr">
        <is>
          <t>12:15:00</t>
        </is>
      </c>
      <c r="H201" t="n">
        <v>247178100</v>
      </c>
      <c r="I201" t="n">
        <v>153400650</v>
      </c>
      <c r="J201" t="n">
        <v>18240000</v>
      </c>
      <c r="K201" t="n">
        <v>114317450</v>
      </c>
      <c r="L201" t="n">
        <v>2300000</v>
      </c>
      <c r="M201">
        <f>I201-(H201+J201-K201)- L201</f>
        <v/>
      </c>
      <c r="N201">
        <f>IF(M201=0,"Cuadrado",IF(M201&gt;0,"Faltante","Sobrante"))</f>
        <v/>
      </c>
      <c r="O201" t="inlineStr">
        <is>
          <t>El faltante $2.300.000 es cruzado con sobrante contabilizado el día 04/03/2026 $1.170.000 y sobrante contabilizado el día 06/03/2026 $1.130.000 el cual es reversado por la seccion el día 13/03/2026</t>
        </is>
      </c>
      <c r="P201" t="n">
        <v>71339401</v>
      </c>
    </row>
    <row r="202">
      <c r="A202" t="n">
        <v>59</v>
      </c>
      <c r="B202" t="n">
        <v>5002</v>
      </c>
      <c r="C202" t="inlineStr">
        <is>
          <t>BELLTECH</t>
        </is>
      </c>
      <c r="D202" t="inlineStr">
        <is>
          <t>BELLTECH</t>
        </is>
      </c>
      <c r="E202" s="3" t="n">
        <v>46094</v>
      </c>
      <c r="F202" s="3" t="n">
        <v>46093</v>
      </c>
      <c r="G202" t="inlineStr">
        <is>
          <t>10:00:00</t>
        </is>
      </c>
      <c r="H202" t="n">
        <v>266439600</v>
      </c>
      <c r="I202" t="n">
        <v>274699650</v>
      </c>
      <c r="J202" t="n">
        <v>15350000</v>
      </c>
      <c r="K202" t="n">
        <v>340000</v>
      </c>
      <c r="M202">
        <f>I202-(H202+J202-K202)- L202</f>
        <v/>
      </c>
      <c r="N202">
        <f>IF(M202=0,"Cuadrado",IF(M202&gt;0,"Faltante","Sobrante"))</f>
        <v/>
      </c>
      <c r="O202" t="inlineStr">
        <is>
          <t>La diferencia es contabilizada por la Gerencia De Autoservicios y Efectivo de manera centralizada a la cuenta de sobrantes 279510020 el 13/03/2026</t>
        </is>
      </c>
      <c r="P202" t="n">
        <v>1060652821</v>
      </c>
    </row>
    <row r="203">
      <c r="A203" t="n">
        <v>907</v>
      </c>
      <c r="B203" t="n">
        <v>5019</v>
      </c>
      <c r="C203" t="inlineStr">
        <is>
          <t>BELLTECH</t>
        </is>
      </c>
      <c r="D203" t="inlineStr">
        <is>
          <t>BELLTECH</t>
        </is>
      </c>
      <c r="E203" s="3" t="n">
        <v>46094</v>
      </c>
      <c r="F203" s="3" t="n">
        <v>46093</v>
      </c>
      <c r="G203" t="inlineStr">
        <is>
          <t>10:46:00</t>
        </is>
      </c>
      <c r="H203" t="n">
        <v>251036450</v>
      </c>
      <c r="I203" t="n">
        <v>251376400</v>
      </c>
      <c r="J203" t="n">
        <v>14480000</v>
      </c>
      <c r="K203" t="n">
        <v>17090000</v>
      </c>
      <c r="L203" t="n">
        <v>2949950</v>
      </c>
      <c r="M203">
        <f>I203-(H203+J203-K203)- L203</f>
        <v/>
      </c>
      <c r="N203">
        <f>IF(M203=0,"Cuadrado",IF(M203&gt;0,"Faltante","Sobrante"))</f>
        <v/>
      </c>
      <c r="O203" t="inlineStr">
        <is>
          <t>El faltante $2.949.950 es cruzado con sobrante contabilizado el día 03/03/2026 $10.000, 04/03/2026 $1.340.000 y  11/03/2026 $1.599.950 el cual es reversado por la seccion el día 13/03/2026</t>
        </is>
      </c>
      <c r="P203" t="n">
        <v>71339401</v>
      </c>
    </row>
    <row r="204">
      <c r="A204" t="n">
        <v>882</v>
      </c>
      <c r="B204" t="n">
        <v>5020</v>
      </c>
      <c r="C204" t="inlineStr">
        <is>
          <t>BELLTECH</t>
        </is>
      </c>
      <c r="D204" t="inlineStr">
        <is>
          <t>BELLTECH</t>
        </is>
      </c>
      <c r="E204" s="3" t="n">
        <v>46094</v>
      </c>
      <c r="F204" s="3" t="n">
        <v>46093</v>
      </c>
      <c r="G204" t="inlineStr">
        <is>
          <t>09:47:00</t>
        </is>
      </c>
      <c r="H204" t="n">
        <v>182972850</v>
      </c>
      <c r="I204" t="n">
        <v>183721250</v>
      </c>
      <c r="J204" t="n">
        <v>8140000</v>
      </c>
      <c r="K204" t="n">
        <v>7189400</v>
      </c>
      <c r="M204">
        <f>I204-(H204+J204-K204)- L204</f>
        <v/>
      </c>
      <c r="N204">
        <f>IF(M204=0,"Cuadrado",IF(M204&gt;0,"Faltante","Sobrante"))</f>
        <v/>
      </c>
      <c r="O204" t="inlineStr">
        <is>
          <t>La diferencia es contabilizada por la Gerencia De Autoservicios y Efectivo de manera centralizada a la cuenta de sobrantes 279510020 el 13/03/2026</t>
        </is>
      </c>
      <c r="P204" t="n">
        <v>33369487</v>
      </c>
    </row>
    <row r="205">
      <c r="A205" t="n">
        <v>824</v>
      </c>
      <c r="B205" t="n">
        <v>5040</v>
      </c>
      <c r="C205" t="inlineStr">
        <is>
          <t>BELLTECH</t>
        </is>
      </c>
      <c r="D205" t="inlineStr">
        <is>
          <t>BELLTECH</t>
        </is>
      </c>
      <c r="E205" s="3" t="n">
        <v>46094</v>
      </c>
      <c r="F205" s="3" t="n">
        <v>46093</v>
      </c>
      <c r="G205" t="inlineStr">
        <is>
          <t>13:28:00</t>
        </is>
      </c>
      <c r="H205" t="n">
        <v>95376650</v>
      </c>
      <c r="I205" t="n">
        <v>219004650</v>
      </c>
      <c r="J205" t="n">
        <v>19940000</v>
      </c>
      <c r="K205" t="n">
        <v>40741000</v>
      </c>
      <c r="L205" t="n">
        <v>146629000</v>
      </c>
      <c r="M205">
        <f>I205-(H205+J205-K205)- L205</f>
        <v/>
      </c>
      <c r="N205">
        <f>IF(M205=0,"Cuadrado",IF(M205&gt;0,"Faltante","Sobrante"))</f>
        <v/>
      </c>
      <c r="O205" t="inlineStr">
        <is>
          <t>La diferencia es contabilizada por la Gerencia De Autoservicios y Efectivo de manera centralizada a la cuenta de sobrantes 279510020 el 13/03/2026</t>
        </is>
      </c>
      <c r="P205" t="n">
        <v>88259624</v>
      </c>
    </row>
    <row r="206">
      <c r="A206" t="n">
        <v>879</v>
      </c>
      <c r="B206" t="n">
        <v>5045</v>
      </c>
      <c r="C206" t="inlineStr">
        <is>
          <t>BELLTECH</t>
        </is>
      </c>
      <c r="D206" t="inlineStr">
        <is>
          <t>BELLTECH</t>
        </is>
      </c>
      <c r="E206" s="3" t="n">
        <v>46094</v>
      </c>
      <c r="F206" s="3" t="n">
        <v>46093</v>
      </c>
      <c r="G206" t="inlineStr">
        <is>
          <t>15:53:00</t>
        </is>
      </c>
      <c r="H206" t="n">
        <v>199026700</v>
      </c>
      <c r="I206" t="n">
        <v>285448950</v>
      </c>
      <c r="J206" t="n">
        <v>14230000</v>
      </c>
      <c r="K206" t="n">
        <v>208977750</v>
      </c>
      <c r="L206" t="n">
        <v>293070000</v>
      </c>
      <c r="M206">
        <f>I206-(H206+J206-K206)- L206</f>
        <v/>
      </c>
      <c r="N206">
        <f>IF(M206=0,"Cuadrado",IF(M206&gt;0,"Faltante","Sobrante"))</f>
        <v/>
      </c>
      <c r="O206" t="inlineStr">
        <is>
          <t>La diferencia es contabilizada por la Gerencia De Autoservicios y Efectivo de manera centralizada a la cuenta de sobrantes 279510020 el 13/03/2026</t>
        </is>
      </c>
      <c r="P206" t="n">
        <v>1085303632</v>
      </c>
    </row>
    <row r="207">
      <c r="A207" t="n">
        <v>723</v>
      </c>
      <c r="B207" t="n">
        <v>5046</v>
      </c>
      <c r="C207" t="inlineStr">
        <is>
          <t>BELLTECH</t>
        </is>
      </c>
      <c r="D207" t="inlineStr">
        <is>
          <t>BELLTECH</t>
        </is>
      </c>
      <c r="E207" s="3" t="n">
        <v>46094</v>
      </c>
      <c r="F207" s="3" t="n">
        <v>46093</v>
      </c>
      <c r="G207" t="inlineStr">
        <is>
          <t>10:42:00</t>
        </is>
      </c>
      <c r="H207" t="n">
        <v>97589500</v>
      </c>
      <c r="I207" t="n">
        <v>-28651950</v>
      </c>
      <c r="J207" t="n">
        <v>11550000</v>
      </c>
      <c r="K207" t="n">
        <v>66259000</v>
      </c>
      <c r="L207" t="n">
        <v>-20000000</v>
      </c>
      <c r="M207">
        <f>I207-(H207+J207-K207)- L207</f>
        <v/>
      </c>
      <c r="N207">
        <f>IF(M207=0,"Cuadrado",IF(M207&gt;0,"Faltante","Sobrante"))</f>
        <v/>
      </c>
      <c r="O207" t="inlineStr">
        <is>
          <t>La diferencia es contabilizada por la Gerencia De Autoservicios y Efectivo de manera centralizada a la cuenta de sobrantes 279510020 el 13/03/2026</t>
        </is>
      </c>
      <c r="P207" t="n">
        <v>1088273268</v>
      </c>
    </row>
    <row r="208">
      <c r="A208" t="n">
        <v>261</v>
      </c>
      <c r="B208" t="n">
        <v>5048</v>
      </c>
      <c r="C208" t="inlineStr">
        <is>
          <t>BELLTECH</t>
        </is>
      </c>
      <c r="D208" t="inlineStr">
        <is>
          <t>BELLTECH</t>
        </is>
      </c>
      <c r="E208" s="3" t="n">
        <v>46094</v>
      </c>
      <c r="F208" s="3" t="n">
        <v>46093</v>
      </c>
      <c r="G208" t="inlineStr">
        <is>
          <t>09:18:00</t>
        </is>
      </c>
      <c r="H208" t="n">
        <v>285540550</v>
      </c>
      <c r="I208" t="n">
        <v>281433550</v>
      </c>
      <c r="J208" t="n">
        <v>490000</v>
      </c>
      <c r="K208" t="n">
        <v>4587000</v>
      </c>
      <c r="M208">
        <f>I208-(H208+J208-K208)- L208</f>
        <v/>
      </c>
      <c r="N208">
        <f>IF(M208=0,"Cuadrado",IF(M208&gt;0,"Faltante","Sobrante"))</f>
        <v/>
      </c>
      <c r="O208" t="inlineStr">
        <is>
          <t>La diferencia es contabilizada por la Gerencia De Autoservicios y Efectivo de manera centralizada a la cuenta de sobrantes 279510020 el 13/03/2026</t>
        </is>
      </c>
      <c r="P208" t="n">
        <v>34327627</v>
      </c>
    </row>
    <row r="209">
      <c r="A209" t="n">
        <v>916</v>
      </c>
      <c r="B209" t="n">
        <v>5052</v>
      </c>
      <c r="C209" t="inlineStr">
        <is>
          <t>BELLTECH</t>
        </is>
      </c>
      <c r="D209" t="inlineStr">
        <is>
          <t>BELLTECH</t>
        </is>
      </c>
      <c r="E209" s="3" t="n">
        <v>46094</v>
      </c>
      <c r="F209" s="3" t="n">
        <v>46093</v>
      </c>
      <c r="G209" t="inlineStr">
        <is>
          <t>15:09:00</t>
        </is>
      </c>
      <c r="H209" t="n">
        <v>164187650</v>
      </c>
      <c r="I209" t="n">
        <v>164089650</v>
      </c>
      <c r="J209" t="n">
        <v>0</v>
      </c>
      <c r="K209" t="n">
        <v>0</v>
      </c>
      <c r="M209">
        <f>I209-(H209+J209-K209)- L209</f>
        <v/>
      </c>
      <c r="N209">
        <f>IF(M209=0,"Cuadrado",IF(M209&gt;0,"Faltante","Sobrante"))</f>
        <v/>
      </c>
      <c r="O209" t="inlineStr">
        <is>
          <t>La diferencia es contabilizada por la Gerencia De Autoservicios y Efectivo de manera centralizada a la cuenta de sobrantes 279510020 el 13/03/2026</t>
        </is>
      </c>
      <c r="P209" t="n">
        <v>1082887437</v>
      </c>
    </row>
    <row r="210">
      <c r="A210" t="n">
        <v>652</v>
      </c>
      <c r="B210" t="n">
        <v>5070</v>
      </c>
      <c r="C210" t="inlineStr">
        <is>
          <t>BELLTECH</t>
        </is>
      </c>
      <c r="D210" t="inlineStr">
        <is>
          <t>BELLTECH</t>
        </is>
      </c>
      <c r="E210" s="3" t="n">
        <v>46094</v>
      </c>
      <c r="F210" s="3" t="n">
        <v>46093</v>
      </c>
      <c r="G210" t="inlineStr">
        <is>
          <t>14:05:00</t>
        </is>
      </c>
      <c r="H210" t="n">
        <v>169534650</v>
      </c>
      <c r="I210" t="n">
        <v>168891300</v>
      </c>
      <c r="J210" t="n">
        <v>30440000</v>
      </c>
      <c r="K210" t="n">
        <v>31824600</v>
      </c>
      <c r="M210">
        <f>I210-(H210+J210-K210)- L210</f>
        <v/>
      </c>
      <c r="N210">
        <f>IF(M210=0,"Cuadrado",IF(M210&gt;0,"Faltante","Sobrante"))</f>
        <v/>
      </c>
      <c r="O210" t="inlineStr">
        <is>
          <t>ACLARAR DIFERENCIA Y REPETIR EL ARQUEO</t>
        </is>
      </c>
      <c r="P210" t="n">
        <v>1010190714</v>
      </c>
    </row>
    <row r="211">
      <c r="A211" t="n">
        <v>265</v>
      </c>
      <c r="B211" t="n">
        <v>5083</v>
      </c>
      <c r="C211" t="inlineStr">
        <is>
          <t>BELLTECH</t>
        </is>
      </c>
      <c r="D211" t="inlineStr">
        <is>
          <t>BELLTECH</t>
        </is>
      </c>
      <c r="E211" s="3" t="n">
        <v>46094</v>
      </c>
      <c r="F211" s="3" t="n">
        <v>46093</v>
      </c>
      <c r="G211" t="inlineStr">
        <is>
          <t>10:28:00</t>
        </is>
      </c>
      <c r="H211" t="n">
        <v>168718750</v>
      </c>
      <c r="I211" t="n">
        <v>163720750</v>
      </c>
      <c r="J211" t="n">
        <v>10140000</v>
      </c>
      <c r="K211" t="n">
        <v>15135000</v>
      </c>
      <c r="M211">
        <f>I211-(H211+J211-K211)- L211</f>
        <v/>
      </c>
      <c r="N211">
        <f>IF(M211=0,"Cuadrado",IF(M211&gt;0,"Faltante","Sobrante"))</f>
        <v/>
      </c>
      <c r="O211" t="inlineStr">
        <is>
          <t>La diferencia es contabilizada por la Gerencia De Autoservicios y Efectivo de manera centralizada a la cuenta de sobrantes 279510020 el 13/03/2026</t>
        </is>
      </c>
      <c r="P211" t="n">
        <v>1107081130</v>
      </c>
    </row>
    <row r="212">
      <c r="A212" t="n">
        <v>197</v>
      </c>
      <c r="B212" t="n">
        <v>5084</v>
      </c>
      <c r="C212" t="inlineStr">
        <is>
          <t>BELLTECH</t>
        </is>
      </c>
      <c r="D212" t="inlineStr">
        <is>
          <t>BELLTECH</t>
        </is>
      </c>
      <c r="E212" s="3" t="n">
        <v>46094</v>
      </c>
      <c r="F212" s="3" t="n">
        <v>46093</v>
      </c>
      <c r="G212" t="inlineStr">
        <is>
          <t>14:58:00</t>
        </is>
      </c>
      <c r="H212" t="n">
        <v>126202900</v>
      </c>
      <c r="I212" t="n">
        <v>335703700</v>
      </c>
      <c r="J212" t="n">
        <v>8820000</v>
      </c>
      <c r="K212" t="n">
        <v>123940200</v>
      </c>
      <c r="L212" t="n">
        <v>326401000</v>
      </c>
      <c r="M212">
        <f>I212-(H212+J212-K212)- L212</f>
        <v/>
      </c>
      <c r="N212">
        <f>IF(M212=0,"Cuadrado",IF(M212&gt;0,"Faltante","Sobrante"))</f>
        <v/>
      </c>
      <c r="O212" t="inlineStr">
        <is>
          <t>La diferencia es contabilizada por la Gerencia De Autoservicios y Efectivo de manera centralizada a la cuenta de sobrantes 279510020 el 13/03/2026</t>
        </is>
      </c>
      <c r="P212" t="n">
        <v>1065652660</v>
      </c>
    </row>
    <row r="213">
      <c r="A213" t="n">
        <v>634</v>
      </c>
      <c r="B213" t="n">
        <v>5087</v>
      </c>
      <c r="C213" t="inlineStr">
        <is>
          <t>BELLTECH</t>
        </is>
      </c>
      <c r="D213" t="inlineStr">
        <is>
          <t>BELLTECH</t>
        </is>
      </c>
      <c r="E213" s="3" t="n">
        <v>46094</v>
      </c>
      <c r="F213" s="3" t="n">
        <v>46093</v>
      </c>
      <c r="G213" t="inlineStr">
        <is>
          <t>11:53:00</t>
        </is>
      </c>
      <c r="H213" t="n">
        <v>184957000</v>
      </c>
      <c r="I213" t="n">
        <v>200857000</v>
      </c>
      <c r="J213" t="n">
        <v>19380000</v>
      </c>
      <c r="K213" t="n">
        <v>6550000</v>
      </c>
      <c r="L213" t="n">
        <v>3070000</v>
      </c>
      <c r="M213">
        <f>I213-(H213+J213-K213)- L213</f>
        <v/>
      </c>
      <c r="N213">
        <f>IF(M213=0,"Cuadrado",IF(M213&gt;0,"Faltante","Sobrante"))</f>
        <v/>
      </c>
      <c r="O213" t="inlineStr">
        <is>
          <t>El faltante $5.270.000 es cruzado con sobrante contabilizado el día 10/03/2026 $1.920.000, sobrante contabilizado el día 11/03/2026 $1.150.000 y sobrante contabilizado el día 12/03/2026 $2.200.000 el cual es reversado por la seccion el día 13/03/2026</t>
        </is>
      </c>
      <c r="P213" t="n">
        <v>1032424944</v>
      </c>
    </row>
    <row r="214">
      <c r="A214" t="n">
        <v>88</v>
      </c>
      <c r="B214" t="n">
        <v>5111</v>
      </c>
      <c r="C214" t="inlineStr">
        <is>
          <t>BELLTECH</t>
        </is>
      </c>
      <c r="D214" t="inlineStr">
        <is>
          <t>BELLTECH</t>
        </is>
      </c>
      <c r="E214" s="3" t="n">
        <v>46094</v>
      </c>
      <c r="F214" s="3" t="n">
        <v>46093</v>
      </c>
      <c r="G214" t="inlineStr">
        <is>
          <t>09:07:40</t>
        </is>
      </c>
      <c r="H214" t="n">
        <v>373087100</v>
      </c>
      <c r="I214" t="n">
        <v>381382100</v>
      </c>
      <c r="J214" t="n">
        <v>8090000</v>
      </c>
      <c r="K214" t="n">
        <v>0</v>
      </c>
      <c r="M214">
        <f>I214-(H214+J214-K214)- L214</f>
        <v/>
      </c>
      <c r="N214">
        <f>IF(M214=0,"Cuadrado",IF(M214&gt;0,"Faltante","Sobrante"))</f>
        <v/>
      </c>
      <c r="O214" t="inlineStr">
        <is>
          <t>REPITIERON ARQUEO</t>
        </is>
      </c>
      <c r="P214" t="n">
        <v>27697484</v>
      </c>
    </row>
    <row r="215">
      <c r="A215" t="n">
        <v>291</v>
      </c>
      <c r="B215" t="n">
        <v>5114</v>
      </c>
      <c r="C215" t="inlineStr">
        <is>
          <t>BELLTECH</t>
        </is>
      </c>
      <c r="D215" t="inlineStr">
        <is>
          <t>BELLTECH</t>
        </is>
      </c>
      <c r="E215" s="3" t="n">
        <v>46094</v>
      </c>
      <c r="F215" s="3" t="n">
        <v>46093</v>
      </c>
      <c r="G215" t="inlineStr">
        <is>
          <t>09:40:00</t>
        </is>
      </c>
      <c r="H215" t="n">
        <v>117934000</v>
      </c>
      <c r="I215" t="n">
        <v>120999000</v>
      </c>
      <c r="J215" t="n">
        <v>9680000</v>
      </c>
      <c r="K215" t="n">
        <v>4609000</v>
      </c>
      <c r="L215" t="n">
        <v>-6000</v>
      </c>
      <c r="M215">
        <f>I215-(H215+J215-K215)- L215</f>
        <v/>
      </c>
      <c r="N215">
        <f>IF(M215=0,"Cuadrado",IF(M215&gt;0,"Faltante","Sobrante"))</f>
        <v/>
      </c>
      <c r="O215" t="inlineStr">
        <is>
          <t>La diferencia es contabilizada por la Gerencia De Autoservicios y Efectivo de manera centralizada a la cuenta de sobrantes 279510020 el 13/03/2026</t>
        </is>
      </c>
      <c r="P215" t="n">
        <v>1095930956</v>
      </c>
    </row>
    <row r="216">
      <c r="A216" t="n">
        <v>76</v>
      </c>
      <c r="B216" t="n">
        <v>5126</v>
      </c>
      <c r="C216" t="inlineStr">
        <is>
          <t>BELLTECH</t>
        </is>
      </c>
      <c r="D216" t="inlineStr">
        <is>
          <t>BELLTECH</t>
        </is>
      </c>
      <c r="E216" s="3" t="n">
        <v>46094</v>
      </c>
      <c r="F216" s="3" t="n">
        <v>46093</v>
      </c>
      <c r="G216" t="inlineStr">
        <is>
          <t>15:33:00</t>
        </is>
      </c>
      <c r="H216" t="n">
        <v>98635700</v>
      </c>
      <c r="I216" t="n">
        <v>106975700</v>
      </c>
      <c r="J216" t="n">
        <v>24850000</v>
      </c>
      <c r="K216" t="n">
        <v>16853000</v>
      </c>
      <c r="L216" t="n">
        <v>343000</v>
      </c>
      <c r="M216">
        <f>I216-(H216+J216-K216)- L216</f>
        <v/>
      </c>
      <c r="N216">
        <f>IF(M216=0,"Cuadrado",IF(M216&gt;0,"Faltante","Sobrante"))</f>
        <v/>
      </c>
      <c r="O216" t="inlineStr">
        <is>
          <t>Cajero cuadrado, sin observación por parte de la sucursal</t>
        </is>
      </c>
      <c r="P216" t="n">
        <v>7688705</v>
      </c>
    </row>
    <row r="217">
      <c r="A217" t="n">
        <v>829</v>
      </c>
      <c r="B217" t="n">
        <v>5137</v>
      </c>
      <c r="C217" t="inlineStr">
        <is>
          <t>BELLTECH</t>
        </is>
      </c>
      <c r="D217" t="inlineStr">
        <is>
          <t>BELLTECH</t>
        </is>
      </c>
      <c r="E217" s="3" t="n">
        <v>46094</v>
      </c>
      <c r="F217" s="3" t="n">
        <v>46093</v>
      </c>
      <c r="G217" t="inlineStr">
        <is>
          <t>08:40:00</t>
        </is>
      </c>
      <c r="H217" t="n">
        <v>167145500</v>
      </c>
      <c r="I217" t="n">
        <v>139165000</v>
      </c>
      <c r="J217" t="n">
        <v>1290000</v>
      </c>
      <c r="K217" t="n">
        <v>17770000</v>
      </c>
      <c r="L217" t="n">
        <v>-3910500</v>
      </c>
      <c r="M217">
        <f>I217-(H217+J217-K217)- L217</f>
        <v/>
      </c>
      <c r="N217">
        <f>IF(M217=0,"Cuadrado",IF(M217&gt;0,"Faltante","Sobrante"))</f>
        <v/>
      </c>
      <c r="O217" t="inlineStr">
        <is>
          <t>La diferencia es contabilizada por la Gerencia De Autoservicios y Efectivo de manera centralizada a la cuenta de sobrantes 279510020 el 13/03/2026</t>
        </is>
      </c>
      <c r="P217" t="n">
        <v>31306454</v>
      </c>
    </row>
    <row r="218">
      <c r="A218" t="n">
        <v>258</v>
      </c>
      <c r="B218" t="n">
        <v>5155</v>
      </c>
      <c r="C218" t="inlineStr">
        <is>
          <t>BELLTECH</t>
        </is>
      </c>
      <c r="D218" t="inlineStr">
        <is>
          <t>BELLTECH</t>
        </is>
      </c>
      <c r="E218" s="3" t="n">
        <v>46094</v>
      </c>
      <c r="F218" s="3" t="n">
        <v>46093</v>
      </c>
      <c r="G218" t="inlineStr">
        <is>
          <t>16:19:00</t>
        </is>
      </c>
      <c r="H218" t="n">
        <v>219171850</v>
      </c>
      <c r="I218" t="n">
        <v>213369650</v>
      </c>
      <c r="J218" t="n">
        <v>0</v>
      </c>
      <c r="K218" t="n">
        <v>0</v>
      </c>
      <c r="M218">
        <f>I218-(H218+J218-K218)- L218</f>
        <v/>
      </c>
      <c r="N218">
        <f>IF(M218=0,"Cuadrado",IF(M218&gt;0,"Faltante","Sobrante"))</f>
        <v/>
      </c>
      <c r="O218" t="inlineStr">
        <is>
          <t>La diferencia es contabilizada por la Gerencia De Autoservicios y Efectivo de manera centralizada a la cuenta de sobrantes 279510020 el 13/03/2026</t>
        </is>
      </c>
      <c r="P218" t="n">
        <v>1049625867</v>
      </c>
    </row>
    <row r="219">
      <c r="A219" t="n">
        <v>70</v>
      </c>
      <c r="B219" t="n">
        <v>5164</v>
      </c>
      <c r="C219" t="inlineStr">
        <is>
          <t>BELLTECH</t>
        </is>
      </c>
      <c r="D219" t="inlineStr">
        <is>
          <t>BELLTECH</t>
        </is>
      </c>
      <c r="E219" s="3" t="n">
        <v>46094</v>
      </c>
      <c r="F219" s="3" t="n">
        <v>46093</v>
      </c>
      <c r="G219" t="inlineStr">
        <is>
          <t>15:17:00</t>
        </is>
      </c>
      <c r="H219" t="n">
        <v>61802150</v>
      </c>
      <c r="I219" t="n">
        <v>143882150</v>
      </c>
      <c r="J219" t="n">
        <v>10760000</v>
      </c>
      <c r="K219" t="n">
        <v>18060000</v>
      </c>
      <c r="L219" t="n">
        <v>93155000</v>
      </c>
      <c r="M219">
        <f>I219-(H219+J219-K219)- L219</f>
        <v/>
      </c>
      <c r="N219">
        <f>IF(M219=0,"Cuadrado",IF(M219&gt;0,"Faltante","Sobrante"))</f>
        <v/>
      </c>
      <c r="O219" t="inlineStr">
        <is>
          <t>La diferencia es contabilizada por la Gerencia De Autoservicios y Efectivo de manera centralizada a la cuenta de sobrantes 279510020 el 13/03/2026</t>
        </is>
      </c>
      <c r="P219" t="n">
        <v>1053770486</v>
      </c>
    </row>
    <row r="220">
      <c r="A220" t="n">
        <v>420</v>
      </c>
      <c r="B220" t="n">
        <v>5173</v>
      </c>
      <c r="C220" t="inlineStr">
        <is>
          <t>BELLTECH</t>
        </is>
      </c>
      <c r="D220" t="inlineStr">
        <is>
          <t>BELLTECH</t>
        </is>
      </c>
      <c r="E220" s="3" t="n">
        <v>46094</v>
      </c>
      <c r="F220" s="3" t="n">
        <v>46093</v>
      </c>
      <c r="G220" t="inlineStr">
        <is>
          <t>11:15:00</t>
        </is>
      </c>
      <c r="H220" t="n">
        <v>117980200</v>
      </c>
      <c r="I220" t="n">
        <v>115825200</v>
      </c>
      <c r="J220" t="n">
        <v>3370000</v>
      </c>
      <c r="K220" t="n">
        <v>3380000</v>
      </c>
      <c r="M220">
        <f>I220-(H220+J220-K220)- L220</f>
        <v/>
      </c>
      <c r="N220">
        <f>IF(M220=0,"Cuadrado",IF(M220&gt;0,"Faltante","Sobrante"))</f>
        <v/>
      </c>
      <c r="O220" t="inlineStr">
        <is>
          <t>La diferencia es contabilizada por la Gerencia De Autoservicios y Efectivo de manera centralizada a la cuenta de sobrantes 279510020 el 13/03/2026</t>
        </is>
      </c>
      <c r="P220" t="n">
        <v>1020436470</v>
      </c>
    </row>
    <row r="221">
      <c r="A221" t="n">
        <v>198</v>
      </c>
      <c r="B221" t="n">
        <v>5179</v>
      </c>
      <c r="C221" t="inlineStr">
        <is>
          <t>BELLTECH</t>
        </is>
      </c>
      <c r="D221" t="inlineStr">
        <is>
          <t>BELLTECH</t>
        </is>
      </c>
      <c r="E221" s="3" t="n">
        <v>46094</v>
      </c>
      <c r="F221" s="3" t="n">
        <v>46093</v>
      </c>
      <c r="G221" t="inlineStr">
        <is>
          <t>11:16:00</t>
        </is>
      </c>
      <c r="H221" t="n">
        <v>178003800</v>
      </c>
      <c r="I221" t="n">
        <v>185488800</v>
      </c>
      <c r="J221" t="n">
        <v>9620000</v>
      </c>
      <c r="K221" t="n">
        <v>8389950</v>
      </c>
      <c r="L221" t="n">
        <v>6254950</v>
      </c>
      <c r="M221">
        <f>I221-(H221+J221-K221)- L221</f>
        <v/>
      </c>
      <c r="N221">
        <f>IF(M221=0,"Cuadrado",IF(M221&gt;0,"Faltante","Sobrante"))</f>
        <v/>
      </c>
      <c r="O221" t="inlineStr">
        <is>
          <t>El faltante $379.950 es cruzado con sobrante contabilizado el día 04/03/2026 el cual es reversado por la seccion el día 13/03/2026</t>
        </is>
      </c>
      <c r="P221" t="n">
        <v>53031419</v>
      </c>
    </row>
    <row r="222">
      <c r="A222" t="n">
        <v>383</v>
      </c>
      <c r="B222" t="n">
        <v>5194</v>
      </c>
      <c r="C222" t="inlineStr">
        <is>
          <t>BELLTECH</t>
        </is>
      </c>
      <c r="D222" t="inlineStr">
        <is>
          <t>BELLTECH</t>
        </is>
      </c>
      <c r="E222" s="3" t="n">
        <v>46094</v>
      </c>
      <c r="F222" s="3" t="n">
        <v>46093</v>
      </c>
      <c r="G222" t="inlineStr">
        <is>
          <t>09:27:40</t>
        </is>
      </c>
      <c r="H222" t="n">
        <v>128733000</v>
      </c>
      <c r="I222" t="n">
        <v>9909000</v>
      </c>
      <c r="J222" t="n">
        <v>2550000</v>
      </c>
      <c r="K222" t="n">
        <v>5100000</v>
      </c>
      <c r="M222">
        <f>I222-(H222+J222-K222)- L222</f>
        <v/>
      </c>
      <c r="N222">
        <f>IF(M222=0,"Cuadrado",IF(M222&gt;0,"Faltante","Sobrante"))</f>
        <v/>
      </c>
      <c r="O222" t="inlineStr">
        <is>
          <t>La diferencia es contabilizada por la Gerencia De Autoservicios y Efectivo de manera centralizada a la cuenta de sobrantes 279510020 el 13/03/2026</t>
        </is>
      </c>
      <c r="P222" t="n">
        <v>1073160492</v>
      </c>
    </row>
    <row r="223">
      <c r="A223" t="n">
        <v>816</v>
      </c>
      <c r="B223" t="n">
        <v>5205</v>
      </c>
      <c r="C223" t="inlineStr">
        <is>
          <t>BELLTECH</t>
        </is>
      </c>
      <c r="D223" t="inlineStr">
        <is>
          <t>BELLTECH</t>
        </is>
      </c>
      <c r="E223" s="3" t="n">
        <v>46094</v>
      </c>
      <c r="F223" s="3" t="n">
        <v>46093</v>
      </c>
      <c r="G223" t="inlineStr">
        <is>
          <t>09:21:00</t>
        </is>
      </c>
      <c r="H223" t="n">
        <v>102244950</v>
      </c>
      <c r="I223" t="n">
        <v>86572850</v>
      </c>
      <c r="J223" t="n">
        <v>580000</v>
      </c>
      <c r="K223" t="n">
        <v>13500000</v>
      </c>
      <c r="M223">
        <f>I223-(H223+J223-K223)- L223</f>
        <v/>
      </c>
      <c r="N223">
        <f>IF(M223=0,"Cuadrado",IF(M223&gt;0,"Faltante","Sobrante"))</f>
        <v/>
      </c>
      <c r="O223" t="inlineStr">
        <is>
          <t>La diferencia es contabilizada por la Gerencia De Autoservicios y Efectivo de manera centralizada a la cuenta de sobrantes 279510020 el 13/03/2026</t>
        </is>
      </c>
      <c r="P223" t="n">
        <v>60396209</v>
      </c>
    </row>
    <row r="224">
      <c r="A224" t="n">
        <v>455</v>
      </c>
      <c r="B224" t="n">
        <v>5206</v>
      </c>
      <c r="C224" t="inlineStr">
        <is>
          <t>BELLTECH</t>
        </is>
      </c>
      <c r="D224" t="inlineStr">
        <is>
          <t>BELLTECH</t>
        </is>
      </c>
      <c r="E224" s="3" t="n">
        <v>46094</v>
      </c>
      <c r="F224" s="3" t="n">
        <v>46093</v>
      </c>
      <c r="G224" t="inlineStr">
        <is>
          <t>09:17:00</t>
        </is>
      </c>
      <c r="H224" t="n">
        <v>191508150</v>
      </c>
      <c r="I224" t="n">
        <v>173237600</v>
      </c>
      <c r="J224" t="n">
        <v>2070000</v>
      </c>
      <c r="K224" t="n">
        <v>17940000</v>
      </c>
      <c r="M224">
        <f>I224-(H224+J224-K224)- L224</f>
        <v/>
      </c>
      <c r="N224">
        <f>IF(M224=0,"Cuadrado",IF(M224&gt;0,"Faltante","Sobrante"))</f>
        <v/>
      </c>
      <c r="O224" t="inlineStr">
        <is>
          <t>La diferencia es contabilizada por la Gerencia De Autoservicios y Efectivo de manera centralizada a la cuenta de sobrantes 279510020 el 13/03/2026</t>
        </is>
      </c>
      <c r="P224" t="n">
        <v>1083896352</v>
      </c>
    </row>
    <row r="225">
      <c r="A225" t="n">
        <v>16</v>
      </c>
      <c r="B225" t="n">
        <v>5219</v>
      </c>
      <c r="C225" t="inlineStr">
        <is>
          <t>BELLTECH</t>
        </is>
      </c>
      <c r="D225" t="inlineStr">
        <is>
          <t>BELLTECH</t>
        </is>
      </c>
      <c r="E225" s="3" t="n">
        <v>46094</v>
      </c>
      <c r="F225" s="3" t="n">
        <v>46093</v>
      </c>
      <c r="G225" t="inlineStr">
        <is>
          <t>09:30:00</t>
        </is>
      </c>
      <c r="H225" t="n">
        <v>128031250</v>
      </c>
      <c r="I225" t="n">
        <v>134121400</v>
      </c>
      <c r="J225" t="n">
        <v>6440000</v>
      </c>
      <c r="K225" t="n">
        <v>13451000</v>
      </c>
      <c r="L225" t="n">
        <v>13101150</v>
      </c>
      <c r="M225">
        <f>I225-(H225+J225-K225)- L225</f>
        <v/>
      </c>
      <c r="N225">
        <f>IF(M225=0,"Cuadrado",IF(M225&gt;0,"Faltante","Sobrante"))</f>
        <v/>
      </c>
      <c r="O225" t="inlineStr">
        <is>
          <t>Cajero cuadrado, sin observación por parte de la sucursal</t>
        </is>
      </c>
      <c r="P225" t="n">
        <v>1128405320</v>
      </c>
    </row>
    <row r="226">
      <c r="A226" t="n">
        <v>844</v>
      </c>
      <c r="B226" t="n">
        <v>6169</v>
      </c>
      <c r="C226" t="inlineStr">
        <is>
          <t>BELLTECH</t>
        </is>
      </c>
      <c r="D226" t="inlineStr">
        <is>
          <t>BELLTECH</t>
        </is>
      </c>
      <c r="E226" s="3" t="n">
        <v>46094</v>
      </c>
      <c r="F226" s="3" t="n">
        <v>46093</v>
      </c>
      <c r="G226" t="inlineStr">
        <is>
          <t>11:32:00</t>
        </is>
      </c>
      <c r="H226" t="n">
        <v>60723800</v>
      </c>
      <c r="I226" t="n">
        <v>70080600</v>
      </c>
      <c r="J226" t="n">
        <v>34430000</v>
      </c>
      <c r="K226" t="n">
        <v>38075000</v>
      </c>
      <c r="L226" t="inlineStr">
        <is>
          <t>13,905,000</t>
        </is>
      </c>
      <c r="M226">
        <f>I226-(H226+J226-K226)- L226</f>
        <v/>
      </c>
      <c r="N226">
        <f>IF(M226=0,"Cuadrado",IF(M226&gt;0,"Faltante","Sobrante"))</f>
        <v/>
      </c>
      <c r="O226" t="inlineStr">
        <is>
          <t>La diferencia es contabilizada por la Gerencia De Autoservicios y Efectivo de manera centralizada a la cuenta de sobrantes 279510020 el 13/03/2026</t>
        </is>
      </c>
      <c r="P226" t="n">
        <v>1121898145</v>
      </c>
    </row>
    <row r="227">
      <c r="A227" t="n">
        <v>820</v>
      </c>
      <c r="B227" t="n">
        <v>6174</v>
      </c>
      <c r="C227" t="inlineStr">
        <is>
          <t>BELLTECH</t>
        </is>
      </c>
      <c r="D227" t="inlineStr">
        <is>
          <t>BELLTECH</t>
        </is>
      </c>
      <c r="E227" s="3" t="n">
        <v>46094</v>
      </c>
      <c r="F227" s="3" t="n">
        <v>46093</v>
      </c>
      <c r="G227" t="inlineStr">
        <is>
          <t>09:09:00</t>
        </is>
      </c>
      <c r="H227" t="n">
        <v>210582100</v>
      </c>
      <c r="I227" t="n">
        <v>230572200</v>
      </c>
      <c r="J227" t="n">
        <v>5340000</v>
      </c>
      <c r="K227" t="n">
        <v>2050000</v>
      </c>
      <c r="L227" t="n">
        <v>55699000</v>
      </c>
      <c r="M227">
        <f>I227-(H227+J227-K227)- L227</f>
        <v/>
      </c>
      <c r="N227">
        <f>IF(M227=0,"Cuadrado",IF(M227&gt;0,"Faltante","Sobrante"))</f>
        <v/>
      </c>
      <c r="O227" t="inlineStr">
        <is>
          <t>La diferencia es contabilizada por la Gerencia De Autoservicios y Efectivo de manera centralizada a la cuenta de sobrantes 279510020 el 13/03/2026</t>
        </is>
      </c>
      <c r="P227" t="n">
        <v>1090400247</v>
      </c>
    </row>
    <row r="228">
      <c r="A228" t="n">
        <v>688</v>
      </c>
      <c r="B228" t="n">
        <v>6209</v>
      </c>
      <c r="C228" t="inlineStr">
        <is>
          <t>DIEBOLD</t>
        </is>
      </c>
      <c r="D228" t="inlineStr">
        <is>
          <t>BELLTECH</t>
        </is>
      </c>
      <c r="E228" s="3" t="n">
        <v>46094</v>
      </c>
      <c r="F228" s="3" t="n">
        <v>46093</v>
      </c>
      <c r="G228" t="inlineStr">
        <is>
          <t>16:02:00</t>
        </is>
      </c>
      <c r="H228" t="n">
        <v>270578200</v>
      </c>
      <c r="I228" t="n">
        <v>223172200</v>
      </c>
      <c r="J228" t="n">
        <v>37190000</v>
      </c>
      <c r="K228" t="n">
        <v>69596000</v>
      </c>
      <c r="L228" t="n">
        <v>-15000000</v>
      </c>
      <c r="M228">
        <f>I228-(H228+J228-K228)- L228</f>
        <v/>
      </c>
      <c r="N228">
        <f>IF(M228=0,"Cuadrado",IF(M228&gt;0,"Faltante","Sobrante"))</f>
        <v/>
      </c>
      <c r="O228" t="inlineStr">
        <is>
          <t>Cajero cuadrado, sin observación por parte de la sucursal</t>
        </is>
      </c>
      <c r="P228" t="n">
        <v>1010183662</v>
      </c>
    </row>
    <row r="229">
      <c r="A229" t="n">
        <v>74</v>
      </c>
      <c r="B229" t="n">
        <v>6215</v>
      </c>
      <c r="C229" t="inlineStr">
        <is>
          <t>DIEBOLD</t>
        </is>
      </c>
      <c r="D229" t="inlineStr">
        <is>
          <t>DIEBOLD</t>
        </is>
      </c>
      <c r="E229" s="3" t="n">
        <v>46094</v>
      </c>
      <c r="F229" s="3" t="n">
        <v>46093</v>
      </c>
      <c r="G229" t="inlineStr">
        <is>
          <t>09:38:00</t>
        </is>
      </c>
      <c r="H229" t="n">
        <v>106897450</v>
      </c>
      <c r="I229" t="n">
        <v>88349450</v>
      </c>
      <c r="J229" t="n">
        <v>1000000</v>
      </c>
      <c r="K229" t="n">
        <v>15150000</v>
      </c>
      <c r="L229" t="n">
        <v>-1693000</v>
      </c>
      <c r="M229">
        <f>I229-(H229+J229-K229)- L229</f>
        <v/>
      </c>
      <c r="N229">
        <f>IF(M229=0,"Cuadrado",IF(M229&gt;0,"Faltante","Sobrante"))</f>
        <v/>
      </c>
      <c r="O229" t="inlineStr">
        <is>
          <t>La diferencia es contabilizada por la Gerencia De Autoservicios y Efectivo de manera centralizada a la cuenta de sobrantes 279510020 el 13/03/2026</t>
        </is>
      </c>
      <c r="P229" t="n">
        <v>59314706</v>
      </c>
    </row>
    <row r="230">
      <c r="A230" t="n">
        <v>236</v>
      </c>
      <c r="B230" t="n">
        <v>6242</v>
      </c>
      <c r="C230" t="inlineStr">
        <is>
          <t>BELLTECH</t>
        </is>
      </c>
      <c r="D230" t="inlineStr">
        <is>
          <t>BELLTECH</t>
        </is>
      </c>
      <c r="E230" s="3" t="n">
        <v>46094</v>
      </c>
      <c r="F230" s="3" t="n">
        <v>46093</v>
      </c>
      <c r="G230" t="inlineStr">
        <is>
          <t>00:00:00</t>
        </is>
      </c>
      <c r="H230" t="n">
        <v>210004600</v>
      </c>
      <c r="I230" t="n">
        <v>249923600</v>
      </c>
      <c r="J230" t="n">
        <v>0</v>
      </c>
      <c r="K230" t="n">
        <v>0</v>
      </c>
      <c r="M230">
        <f>I230-(H230+J230-K230)- L230</f>
        <v/>
      </c>
      <c r="N230">
        <f>IF(M230=0,"Cuadrado",IF(M230&gt;0,"Faltante","Sobrante"))</f>
        <v/>
      </c>
      <c r="O230" t="inlineStr">
        <is>
          <t>REPITIERON ARQUEO</t>
        </is>
      </c>
      <c r="P230" t="n">
        <v>71369714</v>
      </c>
    </row>
    <row r="231">
      <c r="A231" t="n">
        <v>79</v>
      </c>
      <c r="B231" t="n">
        <v>6245</v>
      </c>
      <c r="C231" t="inlineStr">
        <is>
          <t>BELLTECH</t>
        </is>
      </c>
      <c r="D231" t="inlineStr">
        <is>
          <t>BELLTECH</t>
        </is>
      </c>
      <c r="E231" s="3" t="n">
        <v>46094</v>
      </c>
      <c r="F231" s="3" t="n">
        <v>46093</v>
      </c>
      <c r="G231" t="inlineStr">
        <is>
          <t>08:18:00</t>
        </is>
      </c>
      <c r="H231" t="n">
        <v>3189950</v>
      </c>
      <c r="I231" t="n">
        <v>375845000</v>
      </c>
      <c r="J231" t="n">
        <v>0</v>
      </c>
      <c r="K231" t="n">
        <v>6025000</v>
      </c>
      <c r="L231" t="n">
        <v>383680000</v>
      </c>
      <c r="M231">
        <f>I231-(H231+J231-K231)- L231</f>
        <v/>
      </c>
      <c r="N231">
        <f>IF(M231=0,"Cuadrado",IF(M231&gt;0,"Faltante","Sobrante"))</f>
        <v/>
      </c>
      <c r="O231" t="inlineStr">
        <is>
          <t>La diferencia es contabilizada por la Gerencia De Autoservicios y Efectivo de manera centralizada a la cuenta de sobrantes 279510020 el 13/03/2026</t>
        </is>
      </c>
      <c r="P231" t="n">
        <v>79772242</v>
      </c>
    </row>
    <row r="232">
      <c r="A232" t="n">
        <v>78</v>
      </c>
      <c r="B232" t="n">
        <v>6246</v>
      </c>
      <c r="C232" t="inlineStr">
        <is>
          <t>BELLTECH</t>
        </is>
      </c>
      <c r="D232" t="inlineStr">
        <is>
          <t>BELLTECH</t>
        </is>
      </c>
      <c r="E232" s="3" t="n">
        <v>46094</v>
      </c>
      <c r="F232" s="3" t="n">
        <v>46093</v>
      </c>
      <c r="G232" t="inlineStr">
        <is>
          <t>08:08:00</t>
        </is>
      </c>
      <c r="H232" t="n">
        <v>240659850</v>
      </c>
      <c r="I232" t="n">
        <v>247209850</v>
      </c>
      <c r="J232" t="n">
        <v>990000</v>
      </c>
      <c r="K232" t="n">
        <v>0</v>
      </c>
      <c r="L232" t="n">
        <v>5560000</v>
      </c>
      <c r="M232">
        <f>I232-(H232+J232-K232)- L232</f>
        <v/>
      </c>
      <c r="N232">
        <f>IF(M232=0,"Cuadrado",IF(M232&gt;0,"Faltante","Sobrante"))</f>
        <v/>
      </c>
      <c r="O232" t="inlineStr">
        <is>
          <t>El faltante $6.820.000 es cruzado con sobrante contabilizado el día 10/03/2026 $2.590.000, sobrante contabilizado el día 11/03/2026 $2.970.000 y sobrante contabilizado el día 12/03/2026 $1.260.000 el cual es reversado por la seccion el día 13/03/2026</t>
        </is>
      </c>
      <c r="P232" t="n">
        <v>1098657131</v>
      </c>
    </row>
    <row r="233">
      <c r="A233" t="n">
        <v>524</v>
      </c>
      <c r="B233" t="n">
        <v>6336</v>
      </c>
      <c r="C233" t="inlineStr">
        <is>
          <t>BELLTECH</t>
        </is>
      </c>
      <c r="D233" t="inlineStr">
        <is>
          <t>BELLTECH</t>
        </is>
      </c>
      <c r="E233" s="3" t="n">
        <v>46094</v>
      </c>
      <c r="F233" s="3" t="n">
        <v>46093</v>
      </c>
      <c r="G233" t="inlineStr">
        <is>
          <t>14:14:00</t>
        </is>
      </c>
      <c r="H233" t="n">
        <v>28358950</v>
      </c>
      <c r="I233" t="n">
        <v>28462950</v>
      </c>
      <c r="J233" t="n">
        <v>500000</v>
      </c>
      <c r="K233" t="n">
        <v>400000</v>
      </c>
      <c r="M233">
        <f>I233-(H233+J233-K233)- L233</f>
        <v/>
      </c>
      <c r="N233">
        <f>IF(M233=0,"Cuadrado",IF(M233&gt;0,"Faltante","Sobrante"))</f>
        <v/>
      </c>
      <c r="O233" t="inlineStr">
        <is>
          <t>La diferencia es contabilizada por la Gerencia De Autoservicios y Efectivo de manera centralizada a la cuenta de faltantes 168710093 el 13/03/2026, esta diferencia ingresa a proceso de investigación en el área para identificar a que corresponde.</t>
        </is>
      </c>
      <c r="P233" t="n">
        <v>1004211532</v>
      </c>
    </row>
    <row r="234">
      <c r="A234" t="n">
        <v>237</v>
      </c>
      <c r="B234" t="n">
        <v>6467</v>
      </c>
      <c r="C234" t="inlineStr">
        <is>
          <t>BELLTECH</t>
        </is>
      </c>
      <c r="D234" t="inlineStr">
        <is>
          <t>BELLTECH</t>
        </is>
      </c>
      <c r="E234" s="3" t="n">
        <v>46094</v>
      </c>
      <c r="F234" s="3" t="n">
        <v>46093</v>
      </c>
      <c r="G234" t="inlineStr">
        <is>
          <t>09:23:00</t>
        </is>
      </c>
      <c r="H234" t="n">
        <v>116595550</v>
      </c>
      <c r="I234" t="n">
        <v>117060550</v>
      </c>
      <c r="J234" t="n">
        <v>710000</v>
      </c>
      <c r="K234" t="n">
        <v>400000</v>
      </c>
      <c r="L234" t="n">
        <v>155000</v>
      </c>
      <c r="M234">
        <f>I234-(H234+J234-K234)- L234</f>
        <v/>
      </c>
      <c r="N234">
        <f>IF(M234=0,"Cuadrado",IF(M234&gt;0,"Faltante","Sobrante"))</f>
        <v/>
      </c>
      <c r="O234" t="inlineStr">
        <is>
          <t>El faltante $155.000 es cruzado con sobrante contabilizado el día 10/03/2026 $20.000  y sobrante contabilizado el día 11/03/2026 $135.000 el cual es reversado por la seccion el día 13/03/2026</t>
        </is>
      </c>
      <c r="P234" t="n">
        <v>1016078081</v>
      </c>
    </row>
    <row r="235">
      <c r="A235" t="n">
        <v>352</v>
      </c>
      <c r="B235" t="n">
        <v>6618</v>
      </c>
      <c r="C235" t="inlineStr">
        <is>
          <t>BELLTECH</t>
        </is>
      </c>
      <c r="D235" t="inlineStr">
        <is>
          <t>BELLTECH</t>
        </is>
      </c>
      <c r="E235" s="3" t="n">
        <v>46094</v>
      </c>
      <c r="F235" s="3" t="n">
        <v>46093</v>
      </c>
      <c r="G235" t="inlineStr">
        <is>
          <t>15:54:00</t>
        </is>
      </c>
      <c r="H235" t="n">
        <v>252384600</v>
      </c>
      <c r="I235" t="n">
        <v>261196200</v>
      </c>
      <c r="J235" t="n">
        <v>42950000</v>
      </c>
      <c r="K235" t="n">
        <v>43885000</v>
      </c>
      <c r="L235" t="n">
        <v>9750600</v>
      </c>
      <c r="M235">
        <f>I235-(H235+J235-K235)- L235</f>
        <v/>
      </c>
      <c r="N235">
        <f>IF(M235=0,"Cuadrado",IF(M235&gt;0,"Faltante","Sobrante"))</f>
        <v/>
      </c>
      <c r="O235" t="inlineStr">
        <is>
          <t>La diferencia es contabilizada por la Gerencia De Autoservicios y Efectivo de manera centralizada a la cuenta de sobrantes 279510020 el 13/03/2026</t>
        </is>
      </c>
      <c r="P235" t="n">
        <v>28559006</v>
      </c>
    </row>
    <row r="236">
      <c r="A236" t="n">
        <v>138</v>
      </c>
      <c r="B236" t="n">
        <v>6628</v>
      </c>
      <c r="C236" t="inlineStr">
        <is>
          <t>DIEBOLD</t>
        </is>
      </c>
      <c r="D236" t="inlineStr">
        <is>
          <t>BELLTECH</t>
        </is>
      </c>
      <c r="E236" s="3" t="n">
        <v>46094</v>
      </c>
      <c r="F236" s="3" t="n">
        <v>46093</v>
      </c>
      <c r="G236" t="inlineStr">
        <is>
          <t>11:07:38</t>
        </is>
      </c>
      <c r="H236" t="n">
        <v>316378600</v>
      </c>
      <c r="I236" t="n">
        <v>316913600</v>
      </c>
      <c r="J236" t="n">
        <v>5900000</v>
      </c>
      <c r="K236" t="n">
        <v>5364000</v>
      </c>
      <c r="M236">
        <f>I236-(H236+J236-K236)- L236</f>
        <v/>
      </c>
      <c r="N236">
        <f>IF(M236=0,"Cuadrado",IF(M236&gt;0,"Faltante","Sobrante"))</f>
        <v/>
      </c>
      <c r="O236" t="inlineStr">
        <is>
          <t>La diferencia es contabilizada por la Gerencia De Autoservicios y Efectivo de manera centralizada a la cuenta de sobrantes 279510020 el 13/03/2026</t>
        </is>
      </c>
      <c r="P236" t="n">
        <v>1023884092</v>
      </c>
    </row>
    <row r="237">
      <c r="A237" t="n">
        <v>613</v>
      </c>
      <c r="B237" t="n">
        <v>6713</v>
      </c>
      <c r="C237" t="inlineStr">
        <is>
          <t>DIEBOLD</t>
        </is>
      </c>
      <c r="D237" t="inlineStr">
        <is>
          <t>DIEBOLD</t>
        </is>
      </c>
      <c r="E237" s="3" t="n">
        <v>46094</v>
      </c>
      <c r="F237" s="3" t="n">
        <v>46093</v>
      </c>
      <c r="G237" t="inlineStr">
        <is>
          <t>10:13:00</t>
        </is>
      </c>
      <c r="H237" t="n">
        <v>209794550</v>
      </c>
      <c r="I237" t="n">
        <v>209539550</v>
      </c>
      <c r="J237" t="n">
        <v>250000</v>
      </c>
      <c r="K237" t="n">
        <v>1302000</v>
      </c>
      <c r="L237" t="n">
        <v>797000</v>
      </c>
      <c r="M237">
        <f>I237-(H237+J237-K237)- L237</f>
        <v/>
      </c>
      <c r="N237">
        <f>IF(M237=0,"Cuadrado",IF(M237&gt;0,"Faltante","Sobrante"))</f>
        <v/>
      </c>
      <c r="O237" t="inlineStr">
        <is>
          <t>El faltante $797.000 es cruzado con sobrante contabilizado el día 04/03/2026 el cual es reversado por la seccion el día 13/03/2026</t>
        </is>
      </c>
      <c r="P237" t="n">
        <v>1040325060</v>
      </c>
    </row>
    <row r="238">
      <c r="A238" t="n">
        <v>20</v>
      </c>
      <c r="B238" t="n">
        <v>6839</v>
      </c>
      <c r="C238" t="inlineStr">
        <is>
          <t>BELLTECH</t>
        </is>
      </c>
      <c r="D238" t="inlineStr">
        <is>
          <t>BELLTECH</t>
        </is>
      </c>
      <c r="E238" s="3" t="n">
        <v>46094</v>
      </c>
      <c r="F238" s="3" t="n">
        <v>46093</v>
      </c>
      <c r="G238" t="inlineStr">
        <is>
          <t>11:23:00</t>
        </is>
      </c>
      <c r="H238" t="n">
        <v>22358800</v>
      </c>
      <c r="I238" t="n">
        <v>85371800</v>
      </c>
      <c r="J238" t="n">
        <v>51740000</v>
      </c>
      <c r="K238" t="n">
        <v>23245000</v>
      </c>
      <c r="L238" t="n">
        <v>33328000</v>
      </c>
      <c r="M238">
        <f>I238-(H238+J238-K238)- L238</f>
        <v/>
      </c>
      <c r="N238">
        <f>IF(M238=0,"Cuadrado",IF(M238&gt;0,"Faltante","Sobrante"))</f>
        <v/>
      </c>
      <c r="O238" t="inlineStr">
        <is>
          <t>ACLARAR DIFERENCIA Y REPETIR EL ARQUEO
El faltante $5.720.000 es cruzado con sobrante contabilizado el día 06/03/2026 $1.770.000, sobrante contabilizado el día 10/03/2026 $700.000, sobrante contabilizado el día 11/03/2026 $290.000 y sobrante contabilizado el día 12/03/2026 $1.770.000, el cual es reversado por la seccion el día 13/03/2026</t>
        </is>
      </c>
      <c r="P238" t="n">
        <v>91232943</v>
      </c>
    </row>
    <row r="239">
      <c r="A239" t="n">
        <v>536</v>
      </c>
      <c r="B239" t="n">
        <v>6927</v>
      </c>
      <c r="C239" t="inlineStr">
        <is>
          <t>DIEBOLD</t>
        </is>
      </c>
      <c r="D239" t="inlineStr">
        <is>
          <t>BELLTECH</t>
        </is>
      </c>
      <c r="E239" s="3" t="n">
        <v>46094</v>
      </c>
      <c r="F239" s="3" t="n">
        <v>46093</v>
      </c>
      <c r="G239" t="inlineStr">
        <is>
          <t>15:01:00</t>
        </is>
      </c>
      <c r="H239" t="n">
        <v>369829900</v>
      </c>
      <c r="I239" t="n">
        <v>315219000</v>
      </c>
      <c r="J239" t="n">
        <v>20580000</v>
      </c>
      <c r="K239" t="n">
        <v>76314900</v>
      </c>
      <c r="L239" t="n">
        <v>1124000</v>
      </c>
      <c r="M239">
        <f>I239-(H239+J239-K239)- L239</f>
        <v/>
      </c>
      <c r="N239">
        <f>IF(M239=0,"Cuadrado",IF(M239&gt;0,"Faltante","Sobrante"))</f>
        <v/>
      </c>
      <c r="O239" t="inlineStr">
        <is>
          <t>El faltante $1.124.000 es cruzado con sobrante contabilizado el día 06/03/2026 el cual es reversado por la seccion el día 13/03/2026</t>
        </is>
      </c>
      <c r="P239" t="n">
        <v>35891536</v>
      </c>
    </row>
    <row r="240">
      <c r="A240" t="n">
        <v>549</v>
      </c>
      <c r="B240" t="n">
        <v>7123</v>
      </c>
      <c r="C240" t="inlineStr">
        <is>
          <t>BELLTECH</t>
        </is>
      </c>
      <c r="D240" t="inlineStr">
        <is>
          <t>BELLTECH</t>
        </is>
      </c>
      <c r="E240" s="3" t="n">
        <v>46094</v>
      </c>
      <c r="F240" s="3" t="n">
        <v>46093</v>
      </c>
      <c r="G240" t="inlineStr">
        <is>
          <t>14:40:24</t>
        </is>
      </c>
      <c r="H240" t="n">
        <v>228423750</v>
      </c>
      <c r="I240" t="n">
        <v>281353750</v>
      </c>
      <c r="J240" t="n">
        <v>26110000</v>
      </c>
      <c r="K240" t="n">
        <v>12659000</v>
      </c>
      <c r="M240">
        <f>I240-(H240+J240-K240)- L240</f>
        <v/>
      </c>
      <c r="N240">
        <f>IF(M240=0,"Cuadrado",IF(M240&gt;0,"Faltante","Sobrante"))</f>
        <v/>
      </c>
      <c r="O240" t="inlineStr">
        <is>
          <t>ACLARAR DIFERENCIA Y REPETIR EL ARQUEO</t>
        </is>
      </c>
      <c r="P240" t="n">
        <v>39428454</v>
      </c>
    </row>
    <row r="241">
      <c r="A241" t="n">
        <v>385</v>
      </c>
      <c r="B241" t="n">
        <v>7139</v>
      </c>
      <c r="C241" t="inlineStr">
        <is>
          <t>BELLTECH</t>
        </is>
      </c>
      <c r="D241" t="inlineStr">
        <is>
          <t>BELLTECH</t>
        </is>
      </c>
      <c r="E241" s="3" t="n">
        <v>46094</v>
      </c>
      <c r="F241" s="3" t="n">
        <v>46093</v>
      </c>
      <c r="G241" t="inlineStr">
        <is>
          <t>09:31:00</t>
        </is>
      </c>
      <c r="H241" t="n">
        <v>224195550</v>
      </c>
      <c r="I241" t="n">
        <v>243190550</v>
      </c>
      <c r="J241" t="n">
        <v>12440000</v>
      </c>
      <c r="K241" t="n">
        <v>7160000</v>
      </c>
      <c r="L241" t="n">
        <v>13715000</v>
      </c>
      <c r="M241">
        <f>I241-(H241+J241-K241)- L241</f>
        <v/>
      </c>
      <c r="N241">
        <f>IF(M241=0,"Cuadrado",IF(M241&gt;0,"Faltante","Sobrante"))</f>
        <v/>
      </c>
      <c r="O241" t="inlineStr">
        <is>
          <t>El faltante $13.715.000 es cruzado con sobrante contabilizado el día 10/03/2026 el cual es reversado por la seccion el día 13/03/2026</t>
        </is>
      </c>
      <c r="P241" t="n">
        <v>1077970238</v>
      </c>
    </row>
    <row r="242">
      <c r="A242" t="n">
        <v>7</v>
      </c>
      <c r="B242" t="n">
        <v>7812</v>
      </c>
      <c r="C242" t="inlineStr">
        <is>
          <t>DIEBOLD</t>
        </is>
      </c>
      <c r="D242" t="inlineStr">
        <is>
          <t>DIEBOLD</t>
        </is>
      </c>
      <c r="E242" s="3" t="n">
        <v>46094</v>
      </c>
      <c r="F242" s="3" t="n">
        <v>46093</v>
      </c>
      <c r="G242" t="inlineStr">
        <is>
          <t>13:45:00</t>
        </is>
      </c>
      <c r="H242" t="n">
        <v>79467200</v>
      </c>
      <c r="I242" t="n">
        <v>72091200</v>
      </c>
      <c r="J242" t="n">
        <v>6330000</v>
      </c>
      <c r="K242" t="n">
        <v>24166000</v>
      </c>
      <c r="L242" t="inlineStr">
        <is>
          <t>9,750,000</t>
        </is>
      </c>
      <c r="M242">
        <f>I242-(H242+J242-K242)- L242</f>
        <v/>
      </c>
      <c r="N242">
        <f>IF(M242=0,"Cuadrado",IF(M242&gt;0,"Faltante","Sobrante"))</f>
        <v/>
      </c>
      <c r="O242" t="inlineStr">
        <is>
          <t>La diferencia es contabilizada por la Gerencia De Autoservicios y Efectivo de manera centralizada a la cuenta de faltantes 168710093 el 13/03/2026, esta diferencia ingresa a proceso de investigación en el área para identificar a que corresponde.</t>
        </is>
      </c>
      <c r="P242" t="n">
        <v>1020460907</v>
      </c>
    </row>
    <row r="243">
      <c r="A243" t="n">
        <v>693</v>
      </c>
      <c r="B243" t="n">
        <v>7979</v>
      </c>
      <c r="C243" t="inlineStr">
        <is>
          <t>BELLTECH</t>
        </is>
      </c>
      <c r="D243" t="inlineStr">
        <is>
          <t>BELLTECH</t>
        </is>
      </c>
      <c r="E243" s="3" t="n">
        <v>46094</v>
      </c>
      <c r="F243" s="3" t="n">
        <v>46093</v>
      </c>
      <c r="G243" t="inlineStr">
        <is>
          <t>14:22:00</t>
        </is>
      </c>
      <c r="H243" t="n">
        <v>191976900</v>
      </c>
      <c r="I243" t="n">
        <v>150361900</v>
      </c>
      <c r="J243" t="n">
        <v>5800000</v>
      </c>
      <c r="K243" t="n">
        <v>46785000</v>
      </c>
      <c r="L243" t="n">
        <v>-630000</v>
      </c>
      <c r="M243">
        <f>I243-(H243+J243-K243)- L243</f>
        <v/>
      </c>
      <c r="N243">
        <f>IF(M243=0,"Cuadrado",IF(M243&gt;0,"Faltante","Sobrante"))</f>
        <v/>
      </c>
      <c r="O243" t="inlineStr">
        <is>
          <t>Cajero cuadrado, sin observación por parte de la sucursal</t>
        </is>
      </c>
      <c r="P243" t="n">
        <v>98557134</v>
      </c>
    </row>
    <row r="244">
      <c r="A244" t="n">
        <v>554</v>
      </c>
      <c r="B244" t="n">
        <v>8294</v>
      </c>
      <c r="C244" t="inlineStr">
        <is>
          <t>BELLTECH</t>
        </is>
      </c>
      <c r="D244" t="inlineStr">
        <is>
          <t>BELLTECH</t>
        </is>
      </c>
      <c r="E244" s="3" t="n">
        <v>46094</v>
      </c>
      <c r="F244" s="3" t="n">
        <v>46093</v>
      </c>
      <c r="G244" t="inlineStr">
        <is>
          <t>09:13:00</t>
        </is>
      </c>
      <c r="H244" t="n">
        <v>325339250</v>
      </c>
      <c r="I244" t="n">
        <v>330089750</v>
      </c>
      <c r="J244" t="n">
        <v>1280000</v>
      </c>
      <c r="K244" t="n">
        <v>0</v>
      </c>
      <c r="L244" t="n">
        <v>3470500</v>
      </c>
      <c r="M244">
        <f>I244-(H244+J244-K244)- L244</f>
        <v/>
      </c>
      <c r="N244">
        <f>IF(M244=0,"Cuadrado",IF(M244&gt;0,"Faltante","Sobrante"))</f>
        <v/>
      </c>
      <c r="O244" t="inlineStr">
        <is>
          <t>El faltante $3.470.500 es cruzado con sobrante contabilizado el día 04/03/2026 $1.140.000 y sobrante contabilizado el día 10/03/2026 $2.330.500 el cual es reversado por la seccion el día 13/03/2026</t>
        </is>
      </c>
      <c r="P244" t="n">
        <v>1143151164</v>
      </c>
    </row>
    <row r="245">
      <c r="A245" t="n">
        <v>554</v>
      </c>
      <c r="B245" t="n">
        <v>8295</v>
      </c>
      <c r="C245" t="inlineStr">
        <is>
          <t>BELLTECH</t>
        </is>
      </c>
      <c r="D245" t="inlineStr">
        <is>
          <t>BELLTECH</t>
        </is>
      </c>
      <c r="E245" s="3" t="n">
        <v>46094</v>
      </c>
      <c r="F245" s="3" t="n">
        <v>46093</v>
      </c>
      <c r="G245" t="inlineStr">
        <is>
          <t>09:43:00</t>
        </is>
      </c>
      <c r="H245" t="n">
        <v>252268800</v>
      </c>
      <c r="I245" t="n">
        <v>229308450</v>
      </c>
      <c r="J245" t="n">
        <v>2050000</v>
      </c>
      <c r="K245" t="n">
        <v>24060000</v>
      </c>
      <c r="M245">
        <f>I245-(H245+J245-K245)- L245</f>
        <v/>
      </c>
      <c r="N245">
        <f>IF(M245=0,"Cuadrado",IF(M245&gt;0,"Faltante","Sobrante"))</f>
        <v/>
      </c>
      <c r="O245" t="inlineStr">
        <is>
          <t>La diferencia es contabilizada por la Gerencia De Autoservicios y Efectivo de manera centralizada a la cuenta de sobrantes 279510020 el 13/03/2026</t>
        </is>
      </c>
      <c r="P245" t="n">
        <v>1143151164</v>
      </c>
    </row>
    <row r="246">
      <c r="A246" t="n">
        <v>236</v>
      </c>
      <c r="B246" t="n">
        <v>8497</v>
      </c>
      <c r="C246" t="inlineStr">
        <is>
          <t>BELLTECH</t>
        </is>
      </c>
      <c r="D246" t="inlineStr">
        <is>
          <t>BELLTECH</t>
        </is>
      </c>
      <c r="E246" s="3" t="n">
        <v>46094</v>
      </c>
      <c r="F246" s="3" t="n">
        <v>46093</v>
      </c>
      <c r="G246" t="inlineStr">
        <is>
          <t>14:16:00</t>
        </is>
      </c>
      <c r="H246" t="n">
        <v>208888300</v>
      </c>
      <c r="I246" t="n">
        <v>166352300</v>
      </c>
      <c r="J246" t="n">
        <v>21070000</v>
      </c>
      <c r="K246" t="n">
        <v>59548000</v>
      </c>
      <c r="M246">
        <f>I246-(H246+J246-K246)- L246</f>
        <v/>
      </c>
      <c r="N246">
        <f>IF(M246=0,"Cuadrado",IF(M246&gt;0,"Faltante","Sobrante"))</f>
        <v/>
      </c>
      <c r="O246" t="inlineStr">
        <is>
          <t>La diferencia es contabilizada por la Gerencia De Autoservicios y Efectivo de manera centralizada a la cuenta de sobrantes 279510020 el 13/03/2026</t>
        </is>
      </c>
      <c r="P246" t="n">
        <v>71369714</v>
      </c>
    </row>
    <row r="247">
      <c r="A247" t="n">
        <v>78</v>
      </c>
      <c r="B247" t="n">
        <v>8594</v>
      </c>
      <c r="C247" t="inlineStr">
        <is>
          <t>BELLTECH</t>
        </is>
      </c>
      <c r="D247" t="inlineStr">
        <is>
          <t>BELLTECH</t>
        </is>
      </c>
      <c r="E247" s="3" t="n">
        <v>46094</v>
      </c>
      <c r="F247" s="3" t="n">
        <v>46093</v>
      </c>
      <c r="G247" t="inlineStr">
        <is>
          <t>08:59:00</t>
        </is>
      </c>
      <c r="H247" t="n">
        <v>194525150</v>
      </c>
      <c r="I247" t="n">
        <v>185085150</v>
      </c>
      <c r="J247" t="n">
        <v>510000</v>
      </c>
      <c r="K247" t="n">
        <v>12149950</v>
      </c>
      <c r="L247" t="n">
        <v>2199950</v>
      </c>
      <c r="M247">
        <f>I247-(H247+J247-K247)- L247</f>
        <v/>
      </c>
      <c r="N247">
        <f>IF(M247=0,"Cuadrado",IF(M247&gt;0,"Faltante","Sobrante"))</f>
        <v/>
      </c>
      <c r="O247" t="inlineStr">
        <is>
          <t>El faltante $2.409.950 es cruzado con sobrante contabilizado el día 10/03/2026 $2.202.000 y sobrante contabilizado el día 12/03/2026 $207.950 el cual es reversado por la seccion el día 13/03/2026</t>
        </is>
      </c>
      <c r="P247" t="n">
        <v>1098657131</v>
      </c>
    </row>
    <row r="248">
      <c r="A248" t="n">
        <v>866</v>
      </c>
      <c r="B248" t="n">
        <v>8662</v>
      </c>
      <c r="C248" t="inlineStr">
        <is>
          <t>BELLTECH</t>
        </is>
      </c>
      <c r="D248" t="inlineStr">
        <is>
          <t>BELLTECH</t>
        </is>
      </c>
      <c r="E248" s="3" t="n">
        <v>46094</v>
      </c>
      <c r="F248" s="3" t="n">
        <v>46093</v>
      </c>
      <c r="G248" t="inlineStr">
        <is>
          <t>09:17:00</t>
        </is>
      </c>
      <c r="H248" t="n">
        <v>268806450</v>
      </c>
      <c r="I248" t="n">
        <v>277320450</v>
      </c>
      <c r="J248" t="n">
        <v>9220000</v>
      </c>
      <c r="K248" t="n">
        <v>25000</v>
      </c>
      <c r="M248">
        <f>I248-(H248+J248-K248)- L248</f>
        <v/>
      </c>
      <c r="N248">
        <f>IF(M248=0,"Cuadrado",IF(M248&gt;0,"Faltante","Sobrante"))</f>
        <v/>
      </c>
      <c r="O248" t="inlineStr">
        <is>
          <t>La diferencia es contabilizada por la Gerencia De Autoservicios y Efectivo de manera centralizada a la cuenta de sobrantes 279510020 el 13/03/2026</t>
        </is>
      </c>
      <c r="P248" t="n">
        <v>1113674245</v>
      </c>
    </row>
    <row r="249">
      <c r="A249" t="n">
        <v>721</v>
      </c>
      <c r="B249" t="n">
        <v>8897</v>
      </c>
      <c r="C249" t="inlineStr">
        <is>
          <t>DIEBOLD</t>
        </is>
      </c>
      <c r="D249" t="inlineStr">
        <is>
          <t>DIEBOLD</t>
        </is>
      </c>
      <c r="E249" s="3" t="n">
        <v>46094</v>
      </c>
      <c r="F249" s="3" t="n">
        <v>46093</v>
      </c>
      <c r="G249" t="inlineStr">
        <is>
          <t>13:45:00</t>
        </is>
      </c>
      <c r="H249" t="n">
        <v>264876000</v>
      </c>
      <c r="I249" t="n">
        <v>249931500</v>
      </c>
      <c r="J249" t="n">
        <v>5030000</v>
      </c>
      <c r="K249" t="n">
        <v>20927000</v>
      </c>
      <c r="M249">
        <f>I249-(H249+J249-K249)- L249</f>
        <v/>
      </c>
      <c r="N249">
        <f>IF(M249=0,"Cuadrado",IF(M249&gt;0,"Faltante","Sobrante"))</f>
        <v/>
      </c>
      <c r="O249" t="inlineStr">
        <is>
          <t>La diferencia es contabilizada por la Gerencia De Autoservicios y Efectivo de manera centralizada a la cuenta de faltantes 168710093 el 13/03/2026, esta diferencia ingresa a proceso de investigación en el área para identificar a que corresponde.</t>
        </is>
      </c>
      <c r="P249" t="n">
        <v>1088262262</v>
      </c>
    </row>
    <row r="250">
      <c r="A250" t="n">
        <v>20</v>
      </c>
      <c r="B250" t="n">
        <v>8927</v>
      </c>
      <c r="C250" t="inlineStr">
        <is>
          <t>BELLTECH</t>
        </is>
      </c>
      <c r="D250" t="inlineStr">
        <is>
          <t>BELLTECH</t>
        </is>
      </c>
      <c r="E250" s="3" t="n">
        <v>46094</v>
      </c>
      <c r="F250" s="3" t="n">
        <v>46093</v>
      </c>
      <c r="G250" t="inlineStr">
        <is>
          <t>10:59:00</t>
        </is>
      </c>
      <c r="H250" t="n">
        <v>38107450</v>
      </c>
      <c r="I250" t="n">
        <v>45006550</v>
      </c>
      <c r="J250" t="n">
        <v>46590000</v>
      </c>
      <c r="K250" t="n">
        <v>10961900</v>
      </c>
      <c r="L250" t="n">
        <v>-27299000</v>
      </c>
      <c r="M250">
        <f>I250-(H250+J250-K250)- L250</f>
        <v/>
      </c>
      <c r="N250">
        <f>IF(M250=0,"Cuadrado",IF(M250&gt;0,"Faltante","Sobrante"))</f>
        <v/>
      </c>
      <c r="O250" t="inlineStr">
        <is>
          <t>La diferencia es contabilizada por la Gerencia De Autoservicios y Efectivo de manera centralizada a la cuenta de sobrantes 279510020 el 13/03/2026</t>
        </is>
      </c>
      <c r="P250" t="n">
        <v>91232943</v>
      </c>
    </row>
    <row r="251">
      <c r="A251" t="n">
        <v>536</v>
      </c>
      <c r="B251" t="n">
        <v>8988</v>
      </c>
      <c r="C251" t="inlineStr">
        <is>
          <t>DIEBOLD</t>
        </is>
      </c>
      <c r="D251" t="inlineStr">
        <is>
          <t>DIEBOLD</t>
        </is>
      </c>
      <c r="E251" s="3" t="n">
        <v>46094</v>
      </c>
      <c r="F251" s="3" t="n">
        <v>46093</v>
      </c>
      <c r="G251" t="inlineStr">
        <is>
          <t>14:09:00</t>
        </is>
      </c>
      <c r="H251" t="n">
        <v>221348850</v>
      </c>
      <c r="I251" t="n">
        <v>163462950</v>
      </c>
      <c r="J251" t="n">
        <v>26220000</v>
      </c>
      <c r="K251" t="n">
        <v>83992100</v>
      </c>
      <c r="M251">
        <f>I251-(H251+J251-K251)- L251</f>
        <v/>
      </c>
      <c r="N251">
        <f>IF(M251=0,"Cuadrado",IF(M251&gt;0,"Faltante","Sobrante"))</f>
        <v/>
      </c>
      <c r="O251" t="inlineStr">
        <is>
          <t>La diferencia es contabilizada por la Gerencia De Autoservicios y Efectivo de manera centralizada a la cuenta de sobrantes 279510020 el 13/03/2026</t>
        </is>
      </c>
      <c r="P251" t="n">
        <v>35891536</v>
      </c>
    </row>
    <row r="252">
      <c r="A252" t="n">
        <v>20</v>
      </c>
      <c r="B252" t="n">
        <v>9204</v>
      </c>
      <c r="C252" t="inlineStr">
        <is>
          <t>BELLTECH</t>
        </is>
      </c>
      <c r="D252" t="inlineStr">
        <is>
          <t>BELLTECH</t>
        </is>
      </c>
      <c r="E252" s="3" t="n">
        <v>46094</v>
      </c>
      <c r="F252" s="3" t="n">
        <v>46093</v>
      </c>
      <c r="G252" t="inlineStr">
        <is>
          <t>10:34:00</t>
        </is>
      </c>
      <c r="H252" t="n">
        <v>84670650</v>
      </c>
      <c r="I252" t="n">
        <v>23463350</v>
      </c>
      <c r="J252" t="n">
        <v>30000000</v>
      </c>
      <c r="K252" t="n">
        <v>12906000</v>
      </c>
      <c r="L252" t="n">
        <v>-78755000</v>
      </c>
      <c r="M252">
        <f>I252-(H252+J252-K252)- L252</f>
        <v/>
      </c>
      <c r="N252">
        <f>IF(M252=0,"Cuadrado",IF(M252&gt;0,"Faltante","Sobrante"))</f>
        <v/>
      </c>
      <c r="O252" t="inlineStr">
        <is>
          <t>ACLARAR DIFERENCIA Y REPETIR EL ARQUEO</t>
        </is>
      </c>
      <c r="P252" t="n">
        <v>91232943</v>
      </c>
    </row>
    <row r="253">
      <c r="A253" t="n">
        <v>845</v>
      </c>
      <c r="B253" t="n">
        <v>9232</v>
      </c>
      <c r="C253" t="inlineStr">
        <is>
          <t>BELLTECH</t>
        </is>
      </c>
      <c r="D253" t="inlineStr">
        <is>
          <t>BELLTECH</t>
        </is>
      </c>
      <c r="E253" s="3" t="n">
        <v>46094</v>
      </c>
      <c r="F253" s="3" t="n">
        <v>46093</v>
      </c>
      <c r="G253" t="inlineStr">
        <is>
          <t>15:40:00</t>
        </is>
      </c>
      <c r="H253" t="n">
        <v>22717200</v>
      </c>
      <c r="I253" t="n">
        <v>104947200</v>
      </c>
      <c r="J253" t="n">
        <v>23260000</v>
      </c>
      <c r="K253" t="n">
        <v>39110000</v>
      </c>
      <c r="L253" t="n">
        <v>98080000</v>
      </c>
      <c r="M253">
        <f>I253-(H253+J253-K253)- L253</f>
        <v/>
      </c>
      <c r="N253">
        <f>IF(M253=0,"Cuadrado",IF(M253&gt;0,"Faltante","Sobrante"))</f>
        <v/>
      </c>
      <c r="O253" t="inlineStr">
        <is>
          <t>Cajero cuadrado, sin observación por parte de la sucursal</t>
        </is>
      </c>
      <c r="P253" t="n">
        <v>1081413503</v>
      </c>
    </row>
    <row r="254">
      <c r="A254" t="n">
        <v>367</v>
      </c>
      <c r="B254" t="n">
        <v>9580</v>
      </c>
      <c r="C254" t="inlineStr">
        <is>
          <t>BELLTECH</t>
        </is>
      </c>
      <c r="D254" t="inlineStr">
        <is>
          <t>BELLTECH</t>
        </is>
      </c>
      <c r="E254" s="3" t="n">
        <v>46094</v>
      </c>
      <c r="F254" s="3" t="n">
        <v>46093</v>
      </c>
      <c r="G254" t="inlineStr">
        <is>
          <t>10:30:00</t>
        </is>
      </c>
      <c r="H254" t="n">
        <v>80296800</v>
      </c>
      <c r="I254" t="n">
        <v>90454800</v>
      </c>
      <c r="J254" t="n">
        <v>10350000</v>
      </c>
      <c r="K254" t="n">
        <v>102000</v>
      </c>
      <c r="M254">
        <f>I254-(H254+J254-K254)- L254</f>
        <v/>
      </c>
      <c r="N254">
        <f>IF(M254=0,"Cuadrado",IF(M254&gt;0,"Faltante","Sobrante"))</f>
        <v/>
      </c>
      <c r="O254" t="inlineStr">
        <is>
          <t>La diferencia es contabilizada por la Gerencia De Autoservicios y Efectivo de manera centralizada a la cuenta de sobrantes 279510020 el 13/03/2026</t>
        </is>
      </c>
      <c r="P254" t="n">
        <v>1120360426</v>
      </c>
    </row>
    <row r="255">
      <c r="A255" t="n">
        <v>229</v>
      </c>
      <c r="B255" t="n">
        <v>9605</v>
      </c>
      <c r="C255" t="inlineStr">
        <is>
          <t>BELLTECH</t>
        </is>
      </c>
      <c r="D255" t="inlineStr">
        <is>
          <t>BELLTECH</t>
        </is>
      </c>
      <c r="E255" s="3" t="n">
        <v>46094</v>
      </c>
      <c r="F255" s="3" t="n">
        <v>46093</v>
      </c>
      <c r="G255" t="inlineStr">
        <is>
          <t>16:25:00</t>
        </is>
      </c>
      <c r="H255" t="n">
        <v>150535100</v>
      </c>
      <c r="I255" t="n">
        <v>48733100</v>
      </c>
      <c r="J255" t="n">
        <v>26740000</v>
      </c>
      <c r="K255" t="n">
        <v>51602000</v>
      </c>
      <c r="M255">
        <f>I255-(H255+J255-K255)- L255</f>
        <v/>
      </c>
      <c r="N255">
        <f>IF(M255=0,"Cuadrado",IF(M255&gt;0,"Faltante","Sobrante"))</f>
        <v/>
      </c>
      <c r="O255" t="inlineStr">
        <is>
          <t>La diferencia es contabilizada por la Gerencia De Autoservicios y Efectivo de manera centralizada a la cuenta de sobrantes 279510020 el 13/03/2026</t>
        </is>
      </c>
      <c r="P255" t="n">
        <v>79653318</v>
      </c>
    </row>
    <row r="256">
      <c r="A256" t="n">
        <v>551</v>
      </c>
      <c r="B256" t="n">
        <v>9644</v>
      </c>
      <c r="C256" t="inlineStr">
        <is>
          <t>BELLTECH</t>
        </is>
      </c>
      <c r="D256" t="inlineStr">
        <is>
          <t>BELLTECH</t>
        </is>
      </c>
      <c r="E256" s="3" t="n">
        <v>46094</v>
      </c>
      <c r="F256" s="3" t="n">
        <v>46093</v>
      </c>
      <c r="G256" t="inlineStr">
        <is>
          <t>16:13:00</t>
        </is>
      </c>
      <c r="H256" t="n">
        <v>88807200</v>
      </c>
      <c r="I256" t="n">
        <v>62034200</v>
      </c>
      <c r="J256" t="n">
        <v>39040000</v>
      </c>
      <c r="K256" t="n">
        <v>50934000</v>
      </c>
      <c r="M256">
        <f>I256-(H256+J256-K256)- L256</f>
        <v/>
      </c>
      <c r="N256">
        <f>IF(M256=0,"Cuadrado",IF(M256&gt;0,"Faltante","Sobrante"))</f>
        <v/>
      </c>
      <c r="O256" t="inlineStr">
        <is>
          <t>La diferencia es contabilizada por la Gerencia De Autoservicios y Efectivo de manera centralizada a la cuenta de sobrantes 279510020 el 13/03/2026</t>
        </is>
      </c>
      <c r="P256" t="n">
        <v>1152213498</v>
      </c>
    </row>
    <row r="257">
      <c r="A257" t="n">
        <v>849</v>
      </c>
      <c r="B257" t="n">
        <v>9725</v>
      </c>
      <c r="C257" t="inlineStr">
        <is>
          <t>BELLTECH</t>
        </is>
      </c>
      <c r="D257" t="inlineStr">
        <is>
          <t>BELLTECH</t>
        </is>
      </c>
      <c r="E257" s="3" t="n">
        <v>46094</v>
      </c>
      <c r="F257" s="3" t="n">
        <v>46093</v>
      </c>
      <c r="G257" t="inlineStr">
        <is>
          <t>08:35:00</t>
        </is>
      </c>
      <c r="H257" t="n">
        <v>163977200</v>
      </c>
      <c r="I257" t="n">
        <v>162247200</v>
      </c>
      <c r="J257" t="n">
        <v>6300000</v>
      </c>
      <c r="K257" t="n">
        <v>8000000</v>
      </c>
      <c r="M257">
        <f>I257-(H257+J257-K257)- L257</f>
        <v/>
      </c>
      <c r="N257">
        <f>IF(M257=0,"Cuadrado",IF(M257&gt;0,"Faltante","Sobrante"))</f>
        <v/>
      </c>
      <c r="O257" t="inlineStr">
        <is>
          <t>La diferencia es contabilizada por la Gerencia De Autoservicios y Efectivo de manera centralizada a la cuenta de sobrantes 279510020 el 13/03/2026</t>
        </is>
      </c>
      <c r="P257" t="n">
        <v>86063461</v>
      </c>
    </row>
    <row r="258">
      <c r="A258" t="n">
        <v>499</v>
      </c>
      <c r="B258" t="n">
        <v>9811</v>
      </c>
      <c r="C258" t="inlineStr">
        <is>
          <t>BELLTECH</t>
        </is>
      </c>
      <c r="D258" t="inlineStr">
        <is>
          <t>BELLTECH</t>
        </is>
      </c>
      <c r="E258" s="3" t="n">
        <v>46094</v>
      </c>
      <c r="F258" s="3" t="n">
        <v>46093</v>
      </c>
      <c r="G258" t="inlineStr">
        <is>
          <t>15:24:00</t>
        </is>
      </c>
      <c r="H258" t="n">
        <v>80532100</v>
      </c>
      <c r="I258" t="n">
        <v>-15330600</v>
      </c>
      <c r="J258" t="n">
        <v>4320000</v>
      </c>
      <c r="K258" t="n">
        <v>83649950</v>
      </c>
      <c r="M258">
        <f>I258-(H258+J258-K258)- L258</f>
        <v/>
      </c>
      <c r="N258">
        <f>IF(M258=0,"Cuadrado",IF(M258&gt;0,"Faltante","Sobrante"))</f>
        <v/>
      </c>
      <c r="O258" t="inlineStr">
        <is>
          <t>La diferencia es contabilizada por la Gerencia De Autoservicios y Efectivo de manera centralizada a la cuenta de sobrantes 279510020 el 13/03/2026</t>
        </is>
      </c>
      <c r="P258" t="n">
        <v>71337474</v>
      </c>
    </row>
    <row r="259">
      <c r="A259" t="n">
        <v>377</v>
      </c>
      <c r="B259" t="n">
        <v>1508</v>
      </c>
      <c r="C259" t="inlineStr">
        <is>
          <t>DIEBOLD</t>
        </is>
      </c>
      <c r="D259" t="inlineStr">
        <is>
          <t>DIEBOLD</t>
        </is>
      </c>
      <c r="E259" s="3" t="n">
        <v>46094</v>
      </c>
      <c r="F259" s="3" t="n">
        <v>46093</v>
      </c>
      <c r="G259" t="inlineStr">
        <is>
          <t>09:31:00</t>
        </is>
      </c>
      <c r="H259" t="n">
        <v>134245200</v>
      </c>
      <c r="I259" t="n">
        <v>138635200</v>
      </c>
      <c r="J259" t="n">
        <v>5360000</v>
      </c>
      <c r="K259" t="n">
        <v>970000</v>
      </c>
      <c r="M259">
        <f>I259-(H259+J259-K259)- L259</f>
        <v/>
      </c>
      <c r="N259">
        <f>IF(M259=0,"Cuadrado",IF(M259&gt;0,"Faltante","Sobrante"))</f>
        <v/>
      </c>
      <c r="O259" t="inlineStr">
        <is>
          <t>Cajero cuadrado, sin observación por parte de la sucursal</t>
        </is>
      </c>
      <c r="P259" t="n">
        <v>71384768</v>
      </c>
    </row>
    <row r="260">
      <c r="A260" t="n">
        <v>333</v>
      </c>
      <c r="B260" t="n">
        <v>5076</v>
      </c>
      <c r="C260" t="inlineStr">
        <is>
          <t>BELLTECH</t>
        </is>
      </c>
      <c r="D260" t="inlineStr">
        <is>
          <t>BELLTECH</t>
        </is>
      </c>
      <c r="E260" s="3" t="n">
        <v>46094</v>
      </c>
      <c r="F260" s="3" t="n">
        <v>46093</v>
      </c>
      <c r="G260" t="inlineStr">
        <is>
          <t>15:37:00</t>
        </is>
      </c>
      <c r="H260" t="n">
        <v>257385600</v>
      </c>
      <c r="I260" t="n">
        <v>180594550</v>
      </c>
      <c r="J260" t="n">
        <v>12160000</v>
      </c>
      <c r="K260" t="n">
        <v>88951050</v>
      </c>
      <c r="M260">
        <f>I260-(H260+J260-K260)- L260</f>
        <v/>
      </c>
      <c r="N260">
        <f>IF(M260=0,"Cuadrado",IF(M260&gt;0,"Faltante","Sobrante"))</f>
        <v/>
      </c>
      <c r="O260" t="inlineStr">
        <is>
          <t>Cajero cuadrado, sin observación por parte de la sucursal</t>
        </is>
      </c>
      <c r="P260" t="n">
        <v>1036606819</v>
      </c>
    </row>
    <row r="261">
      <c r="A261" t="n">
        <v>115</v>
      </c>
      <c r="B261" t="n">
        <v>5080</v>
      </c>
      <c r="C261" t="inlineStr">
        <is>
          <t>BELLTECH</t>
        </is>
      </c>
      <c r="D261" t="inlineStr">
        <is>
          <t>BELLTECH</t>
        </is>
      </c>
      <c r="E261" s="3" t="n">
        <v>46094</v>
      </c>
      <c r="F261" s="3" t="n">
        <v>46093</v>
      </c>
      <c r="G261" t="inlineStr">
        <is>
          <t>08:46:00</t>
        </is>
      </c>
      <c r="H261" t="n">
        <v>116914600</v>
      </c>
      <c r="I261" t="n">
        <v>112384600</v>
      </c>
      <c r="J261" t="n">
        <v>100000</v>
      </c>
      <c r="K261" t="n">
        <v>4630000</v>
      </c>
      <c r="M261">
        <f>I261-(H261+J261-K261)- L261</f>
        <v/>
      </c>
      <c r="N261">
        <f>IF(M261=0,"Cuadrado",IF(M261&gt;0,"Faltante","Sobrante"))</f>
        <v/>
      </c>
      <c r="O261" t="inlineStr">
        <is>
          <t>Cajero cuadrado, sin observación por parte de la sucursal</t>
        </is>
      </c>
      <c r="P261" t="n">
        <v>42158306</v>
      </c>
    </row>
    <row r="262">
      <c r="A262" t="n">
        <v>743</v>
      </c>
      <c r="B262" t="n">
        <v>5106</v>
      </c>
      <c r="C262" t="inlineStr">
        <is>
          <t>BELLTECH</t>
        </is>
      </c>
      <c r="D262" t="inlineStr">
        <is>
          <t>BELLTECH</t>
        </is>
      </c>
      <c r="E262" s="3" t="n">
        <v>46094</v>
      </c>
      <c r="F262" s="3" t="n">
        <v>46093</v>
      </c>
      <c r="G262" t="inlineStr">
        <is>
          <t>10:56:00</t>
        </is>
      </c>
      <c r="H262" t="n">
        <v>92463350</v>
      </c>
      <c r="I262" t="n">
        <v>58595050</v>
      </c>
      <c r="J262" t="n">
        <v>8350000</v>
      </c>
      <c r="K262" t="n">
        <v>42218300</v>
      </c>
      <c r="M262">
        <f>I262-(H262+J262-K262)- L262</f>
        <v/>
      </c>
      <c r="N262">
        <f>IF(M262=0,"Cuadrado",IF(M262&gt;0,"Faltante","Sobrante"))</f>
        <v/>
      </c>
      <c r="O262" t="inlineStr">
        <is>
          <t>Cajero cuadrado, sin observación por parte de la sucursal</t>
        </is>
      </c>
      <c r="P262" t="n">
        <v>79887183</v>
      </c>
    </row>
    <row r="263">
      <c r="A263" t="n">
        <v>674</v>
      </c>
      <c r="B263" t="n">
        <v>5200</v>
      </c>
      <c r="C263" t="inlineStr">
        <is>
          <t>BELLTECH</t>
        </is>
      </c>
      <c r="D263" t="inlineStr">
        <is>
          <t>BELLTECH</t>
        </is>
      </c>
      <c r="E263" s="3" t="n">
        <v>46094</v>
      </c>
      <c r="F263" s="3" t="n">
        <v>46093</v>
      </c>
      <c r="G263" t="inlineStr">
        <is>
          <t>09:21:00</t>
        </is>
      </c>
      <c r="H263" t="n">
        <v>144812250</v>
      </c>
      <c r="I263" t="n">
        <v>148132250</v>
      </c>
      <c r="J263" t="n">
        <v>3420000</v>
      </c>
      <c r="K263" t="n">
        <v>100000</v>
      </c>
      <c r="L263" t="n">
        <v>0</v>
      </c>
      <c r="M263">
        <f>I263-(H263+J263-K263)- L263</f>
        <v/>
      </c>
      <c r="N263">
        <f>IF(M263=0,"Cuadrado",IF(M263&gt;0,"Faltante","Sobrante"))</f>
        <v/>
      </c>
      <c r="O263" t="inlineStr">
        <is>
          <t>El faltante $710.000 es cruzado con sobrante contabilizado el día 12/03/2026 el cual es reversado por la seccion el día 13/03/2026</t>
        </is>
      </c>
      <c r="P263" t="n">
        <v>79813088</v>
      </c>
    </row>
    <row r="264">
      <c r="A264" t="n">
        <v>606</v>
      </c>
      <c r="B264" t="n">
        <v>5201</v>
      </c>
      <c r="C264" t="inlineStr">
        <is>
          <t>BELLTECH</t>
        </is>
      </c>
      <c r="D264" t="inlineStr">
        <is>
          <t>BELLTECH</t>
        </is>
      </c>
      <c r="E264" s="3" t="n">
        <v>46094</v>
      </c>
      <c r="F264" s="3" t="n">
        <v>46093</v>
      </c>
      <c r="G264" t="inlineStr">
        <is>
          <t>11:15:00</t>
        </is>
      </c>
      <c r="H264" t="n">
        <v>350567400</v>
      </c>
      <c r="I264" t="n">
        <v>351577400</v>
      </c>
      <c r="J264" t="n">
        <v>1010000</v>
      </c>
      <c r="K264" t="n">
        <v>0</v>
      </c>
      <c r="M264">
        <f>I264-(H264+J264-K264)- L264</f>
        <v/>
      </c>
      <c r="N264">
        <f>IF(M264=0,"Cuadrado",IF(M264&gt;0,"Faltante","Sobrante"))</f>
        <v/>
      </c>
      <c r="O264" t="inlineStr">
        <is>
          <t>Cajero cuadrado, sin observación por parte de la sucursal</t>
        </is>
      </c>
      <c r="P264" t="n">
        <v>33368879</v>
      </c>
    </row>
    <row r="265">
      <c r="A265" t="n">
        <v>371</v>
      </c>
      <c r="B265" t="n">
        <v>6718</v>
      </c>
      <c r="C265" t="inlineStr">
        <is>
          <t>BELLTECH</t>
        </is>
      </c>
      <c r="D265" t="inlineStr">
        <is>
          <t>BELLTECH</t>
        </is>
      </c>
      <c r="E265" s="3" t="n">
        <v>46094</v>
      </c>
      <c r="F265" s="3" t="n">
        <v>46093</v>
      </c>
      <c r="G265" t="inlineStr">
        <is>
          <t>10:54:00</t>
        </is>
      </c>
      <c r="H265" t="n">
        <v>414348050</v>
      </c>
      <c r="I265" t="n">
        <v>257777150</v>
      </c>
      <c r="J265" t="n">
        <v>2650000</v>
      </c>
      <c r="K265" t="n">
        <v>159220900</v>
      </c>
      <c r="L265" t="n">
        <v>0</v>
      </c>
      <c r="M265">
        <f>I265-(H265+J265-K265)- L265</f>
        <v/>
      </c>
      <c r="N265">
        <f>IF(M265=0,"Cuadrado",IF(M265&gt;0,"Faltante","Sobrante"))</f>
        <v/>
      </c>
      <c r="O265" t="inlineStr">
        <is>
          <t>El faltante $3.180.000 es cruzado con sobrante contabilizado el día 12/03/2026 el cual es reversado por la seccion el día 13/03/2026</t>
        </is>
      </c>
      <c r="P265" t="n">
        <v>39279278</v>
      </c>
    </row>
    <row r="266">
      <c r="A266" t="n">
        <v>233</v>
      </c>
      <c r="B266" t="n">
        <v>7212</v>
      </c>
      <c r="C266" t="inlineStr">
        <is>
          <t>BELLTECH</t>
        </is>
      </c>
      <c r="D266" t="inlineStr">
        <is>
          <t>BELLTECH</t>
        </is>
      </c>
      <c r="E266" s="3" t="n">
        <v>46094</v>
      </c>
      <c r="F266" s="3" t="n">
        <v>46093</v>
      </c>
      <c r="G266" t="inlineStr">
        <is>
          <t>12:49:00</t>
        </is>
      </c>
      <c r="H266" t="n">
        <v>121284400</v>
      </c>
      <c r="I266" t="n">
        <v>129786400</v>
      </c>
      <c r="J266" t="n">
        <v>12440000</v>
      </c>
      <c r="K266" t="n">
        <v>3938000</v>
      </c>
      <c r="M266">
        <f>I266-(H266+J266-K266)- L266</f>
        <v/>
      </c>
      <c r="N266">
        <f>IF(M266=0,"Cuadrado",IF(M266&gt;0,"Faltante","Sobrante"))</f>
        <v/>
      </c>
      <c r="O266" t="inlineStr">
        <is>
          <t>Cajero cuadrado, sin observación por parte de la sucursal</t>
        </is>
      </c>
      <c r="P266" t="n">
        <v>80271480</v>
      </c>
    </row>
    <row r="267">
      <c r="A267" t="n">
        <v>848</v>
      </c>
      <c r="B267" t="n">
        <v>7374</v>
      </c>
      <c r="C267" t="inlineStr">
        <is>
          <t>DIEBOLD</t>
        </is>
      </c>
      <c r="D267" t="inlineStr">
        <is>
          <t>DIEBOLD</t>
        </is>
      </c>
      <c r="E267" s="3" t="n">
        <v>46094</v>
      </c>
      <c r="F267" s="3" t="n">
        <v>46093</v>
      </c>
      <c r="G267" t="inlineStr">
        <is>
          <t>09:25:00</t>
        </is>
      </c>
      <c r="H267" t="n">
        <v>121382500</v>
      </c>
      <c r="I267" t="n">
        <v>121982500</v>
      </c>
      <c r="J267" t="n">
        <v>1100000</v>
      </c>
      <c r="K267" t="n">
        <v>500000</v>
      </c>
      <c r="M267">
        <f>I267-(H267+J267-K267)- L267</f>
        <v/>
      </c>
      <c r="N267">
        <f>IF(M267=0,"Cuadrado",IF(M267&gt;0,"Faltante","Sobrante"))</f>
        <v/>
      </c>
      <c r="O267" t="inlineStr">
        <is>
          <t>Cajero cuadrado, sin observación por parte de la sucursal</t>
        </is>
      </c>
      <c r="P267" t="n">
        <v>29877107</v>
      </c>
    </row>
    <row r="268">
      <c r="A268" t="n">
        <v>728</v>
      </c>
      <c r="B268" t="n">
        <v>8586</v>
      </c>
      <c r="C268" t="inlineStr">
        <is>
          <t>BELLTECH</t>
        </is>
      </c>
      <c r="D268" t="inlineStr">
        <is>
          <t>BELLTECH</t>
        </is>
      </c>
      <c r="E268" s="3" t="n">
        <v>46094</v>
      </c>
      <c r="F268" s="3" t="n">
        <v>46093</v>
      </c>
      <c r="G268" t="inlineStr">
        <is>
          <t>09:49:00</t>
        </is>
      </c>
      <c r="H268" t="n">
        <v>402213650</v>
      </c>
      <c r="I268" t="n">
        <v>402213650</v>
      </c>
      <c r="J268" t="n">
        <v>0</v>
      </c>
      <c r="K268" t="n">
        <v>0</v>
      </c>
      <c r="M268">
        <f>I268-(H268+J268-K268)- L268</f>
        <v/>
      </c>
      <c r="N268">
        <f>IF(M268=0,"Cuadrado",IF(M268&gt;0,"Faltante","Sobrante"))</f>
        <v/>
      </c>
      <c r="O268" t="inlineStr">
        <is>
          <t>Cajero cuadrado, sin observación por parte de la sucursal</t>
        </is>
      </c>
      <c r="P268" t="n">
        <v>1112783690</v>
      </c>
    </row>
    <row r="269">
      <c r="A269" t="n">
        <v>728</v>
      </c>
      <c r="B269" t="n">
        <v>8587</v>
      </c>
      <c r="C269" t="inlineStr">
        <is>
          <t>BELLTECH</t>
        </is>
      </c>
      <c r="D269" t="inlineStr">
        <is>
          <t>BELLTECH</t>
        </is>
      </c>
      <c r="E269" s="3" t="n">
        <v>46094</v>
      </c>
      <c r="F269" s="3" t="n">
        <v>46093</v>
      </c>
      <c r="G269" t="inlineStr">
        <is>
          <t>10:22:00</t>
        </is>
      </c>
      <c r="H269" t="n">
        <v>186042750</v>
      </c>
      <c r="I269" t="n">
        <v>186692750</v>
      </c>
      <c r="J269" t="n">
        <v>650000</v>
      </c>
      <c r="K269" t="n">
        <v>0</v>
      </c>
      <c r="M269">
        <f>I269-(H269+J269-K269)- L269</f>
        <v/>
      </c>
      <c r="N269">
        <f>IF(M269=0,"Cuadrado",IF(M269&gt;0,"Faltante","Sobrante"))</f>
        <v/>
      </c>
      <c r="O269" t="inlineStr">
        <is>
          <t>Cajero cuadrado, sin observación por parte de la sucursal</t>
        </is>
      </c>
      <c r="P269" t="n">
        <v>1112783690</v>
      </c>
    </row>
    <row r="270">
      <c r="A270" t="n">
        <v>451</v>
      </c>
      <c r="B270" t="n">
        <v>9434</v>
      </c>
      <c r="C270" t="inlineStr">
        <is>
          <t>BELLTECH</t>
        </is>
      </c>
      <c r="D270" t="inlineStr">
        <is>
          <t>BELLTECH</t>
        </is>
      </c>
      <c r="E270" s="3" t="n">
        <v>46094</v>
      </c>
      <c r="F270" s="3" t="n">
        <v>46093</v>
      </c>
      <c r="G270" t="inlineStr">
        <is>
          <t>08:34:00</t>
        </is>
      </c>
      <c r="H270" t="n">
        <v>27158350</v>
      </c>
      <c r="I270" t="n">
        <v>40528350</v>
      </c>
      <c r="J270" t="n">
        <v>13370000</v>
      </c>
      <c r="K270" t="n">
        <v>0</v>
      </c>
      <c r="M270">
        <f>I270-(H270+J270-K270)- L270</f>
        <v/>
      </c>
      <c r="N270">
        <f>IF(M270=0,"Cuadrado",IF(M270&gt;0,"Faltante","Sobrante"))</f>
        <v/>
      </c>
      <c r="O270" t="inlineStr">
        <is>
          <t>Cajero cuadrado, sin observación por parte de la sucursal</t>
        </is>
      </c>
      <c r="P270" t="n">
        <v>1123206969</v>
      </c>
    </row>
    <row r="271">
      <c r="A271" t="n">
        <v>876</v>
      </c>
      <c r="B271" t="n">
        <v>9682</v>
      </c>
      <c r="C271" t="inlineStr">
        <is>
          <t>BELLTECH</t>
        </is>
      </c>
      <c r="D271" t="inlineStr">
        <is>
          <t>BELLTECH</t>
        </is>
      </c>
      <c r="E271" s="3" t="n">
        <v>46094</v>
      </c>
      <c r="F271" s="3" t="n">
        <v>46093</v>
      </c>
      <c r="G271" t="inlineStr">
        <is>
          <t>10:18:00</t>
        </is>
      </c>
      <c r="H271" t="n">
        <v>133251450</v>
      </c>
      <c r="I271" t="n">
        <v>108061450</v>
      </c>
      <c r="J271" t="n">
        <v>9460000</v>
      </c>
      <c r="K271" t="n">
        <v>34650000</v>
      </c>
      <c r="M271">
        <f>I271-(H271+J271-K271)- L271</f>
        <v/>
      </c>
      <c r="N271">
        <f>IF(M271=0,"Cuadrado",IF(M271&gt;0,"Faltante","Sobrante"))</f>
        <v/>
      </c>
      <c r="O271" t="inlineStr">
        <is>
          <t>Cajero cuadrado, sin observación por parte de la sucursal</t>
        </is>
      </c>
      <c r="P271" t="n">
        <v>1002032451</v>
      </c>
    </row>
    <row r="272">
      <c r="A272" t="n">
        <v>287</v>
      </c>
      <c r="B272" t="n">
        <v>907</v>
      </c>
      <c r="C272" t="inlineStr">
        <is>
          <t>DIEBOLD</t>
        </is>
      </c>
      <c r="D272" t="inlineStr">
        <is>
          <t>DIEBOLD</t>
        </is>
      </c>
      <c r="E272" s="3" t="n">
        <v>46093</v>
      </c>
      <c r="F272" s="3" t="n">
        <v>46092</v>
      </c>
      <c r="G272" t="inlineStr">
        <is>
          <t>11:29:00</t>
        </is>
      </c>
      <c r="H272" t="n">
        <v>166877150</v>
      </c>
      <c r="I272" t="n">
        <v>156296250</v>
      </c>
      <c r="J272" t="n">
        <v>19840000</v>
      </c>
      <c r="K272" t="n">
        <v>23116000</v>
      </c>
      <c r="M272">
        <f>I272-(H272+J272-K272)- L272</f>
        <v/>
      </c>
      <c r="N272">
        <f>IF(M272=0,"Cuadrado",IF(M272&gt;0,"Faltante","Sobrante"))</f>
        <v/>
      </c>
      <c r="O272" t="inlineStr">
        <is>
          <t>EN ESPERA DE ACLARAR, HOY SE GRABA DOS REMANENTES DEL 23 DE FEB</t>
        </is>
      </c>
      <c r="P272" t="n">
        <v>13566403</v>
      </c>
    </row>
    <row r="273">
      <c r="A273" t="n">
        <v>481</v>
      </c>
      <c r="B273" t="n">
        <v>1011</v>
      </c>
      <c r="C273" t="inlineStr">
        <is>
          <t>BELLTECH</t>
        </is>
      </c>
      <c r="D273" t="inlineStr">
        <is>
          <t>BELLTECH</t>
        </is>
      </c>
      <c r="E273" s="3" t="n">
        <v>46093</v>
      </c>
      <c r="F273" s="3" t="n">
        <v>46092</v>
      </c>
      <c r="G273" t="inlineStr">
        <is>
          <t>10:09:00</t>
        </is>
      </c>
      <c r="H273" t="n">
        <v>294327300</v>
      </c>
      <c r="I273" t="n">
        <v>277987300</v>
      </c>
      <c r="J273" t="n">
        <v>3520000</v>
      </c>
      <c r="K273" t="n">
        <v>11080000</v>
      </c>
      <c r="M273">
        <f>I273-(H273+J273-K273)- L273</f>
        <v/>
      </c>
      <c r="N273">
        <f>IF(M273=0,"Cuadrado",IF(M273&gt;0,"Faltante","Sobrante"))</f>
        <v/>
      </c>
      <c r="O273" t="inlineStr">
        <is>
          <t>La diferencia es contabilizada por la Gerencia De Autoservicios y Efectivo de manera centralizada a la cuenta de sobrantes 279510020 el 12/03/2026</t>
        </is>
      </c>
      <c r="P273" t="n">
        <v>1143439387</v>
      </c>
    </row>
    <row r="274">
      <c r="A274" t="n">
        <v>795</v>
      </c>
      <c r="B274" t="n">
        <v>1027</v>
      </c>
      <c r="C274" t="inlineStr">
        <is>
          <t>BELLTECH</t>
        </is>
      </c>
      <c r="D274" t="inlineStr">
        <is>
          <t>BELLTECH</t>
        </is>
      </c>
      <c r="E274" s="3" t="n">
        <v>46093</v>
      </c>
      <c r="F274" s="3" t="n">
        <v>46092</v>
      </c>
      <c r="G274" t="inlineStr">
        <is>
          <t>09:31:00</t>
        </is>
      </c>
      <c r="H274" t="n">
        <v>240081000</v>
      </c>
      <c r="I274" t="n">
        <v>240733000</v>
      </c>
      <c r="J274" t="n">
        <v>5760000</v>
      </c>
      <c r="K274" t="n">
        <v>5100000</v>
      </c>
      <c r="M274">
        <f>I274-(H274+J274-K274)- L274</f>
        <v/>
      </c>
      <c r="N274">
        <f>IF(M274=0,"Cuadrado",IF(M274&gt;0,"Faltante","Sobrante"))</f>
        <v/>
      </c>
      <c r="O274" t="inlineStr">
        <is>
          <t>La diferencia es contabilizada por la Gerencia De Autoservicios y Efectivo de manera centralizada a la cuenta de sobrantes 279510020 el 12/03/2026</t>
        </is>
      </c>
      <c r="P274" t="n">
        <v>91274094</v>
      </c>
    </row>
    <row r="275">
      <c r="A275" t="n">
        <v>795</v>
      </c>
      <c r="B275" t="n">
        <v>1028</v>
      </c>
      <c r="C275" t="inlineStr">
        <is>
          <t>BELLTECH</t>
        </is>
      </c>
      <c r="D275" t="inlineStr">
        <is>
          <t>BELLTECH</t>
        </is>
      </c>
      <c r="E275" s="3" t="n">
        <v>46093</v>
      </c>
      <c r="F275" s="3" t="n">
        <v>46092</v>
      </c>
      <c r="G275" t="inlineStr">
        <is>
          <t>09:21:36</t>
        </is>
      </c>
      <c r="H275" t="n">
        <v>191401850</v>
      </c>
      <c r="I275" t="n">
        <v>183691850</v>
      </c>
      <c r="J275" t="n">
        <v>500000</v>
      </c>
      <c r="K275" t="n">
        <v>1906000</v>
      </c>
      <c r="M275">
        <f>I275-(H275+J275-K275)- L275</f>
        <v/>
      </c>
      <c r="N275">
        <f>IF(M275=0,"Cuadrado",IF(M275&gt;0,"Faltante","Sobrante"))</f>
        <v/>
      </c>
      <c r="O275" t="inlineStr">
        <is>
          <t>La diferencia es contabilizada por la Gerencia De Autoservicios y Efectivo de manera centralizada a la cuenta de sobrantes 279510020 el 12/03/2026</t>
        </is>
      </c>
      <c r="P275" t="n">
        <v>91274094</v>
      </c>
    </row>
    <row r="276">
      <c r="A276" t="n">
        <v>745</v>
      </c>
      <c r="B276" t="n">
        <v>1477</v>
      </c>
      <c r="C276" t="inlineStr">
        <is>
          <t>BELLTECH</t>
        </is>
      </c>
      <c r="D276" t="inlineStr">
        <is>
          <t>BELLTECH</t>
        </is>
      </c>
      <c r="E276" s="3" t="n">
        <v>46093</v>
      </c>
      <c r="F276" s="3" t="n">
        <v>46092</v>
      </c>
      <c r="G276" t="inlineStr">
        <is>
          <t>14:53:00</t>
        </is>
      </c>
      <c r="H276" t="n">
        <v>100915000</v>
      </c>
      <c r="I276" t="n">
        <v>86865150</v>
      </c>
      <c r="J276" t="n">
        <v>13520000</v>
      </c>
      <c r="K276" t="n">
        <v>27116000</v>
      </c>
      <c r="M276">
        <f>I276-(H276+J276-K276)- L276</f>
        <v/>
      </c>
      <c r="N276">
        <f>IF(M276=0,"Cuadrado",IF(M276&gt;0,"Faltante","Sobrante"))</f>
        <v/>
      </c>
      <c r="O276" t="inlineStr">
        <is>
          <t>La diferencia es contabilizada por la Gerencia De Autoservicios y Efectivo de manera centralizada a la cuenta de sobrantes 279510020 el 12/03/2026</t>
        </is>
      </c>
      <c r="P276" t="n">
        <v>94543241</v>
      </c>
    </row>
    <row r="277">
      <c r="A277" t="n">
        <v>777</v>
      </c>
      <c r="B277" t="n">
        <v>4868</v>
      </c>
      <c r="C277" t="inlineStr">
        <is>
          <t>DIEBOLD</t>
        </is>
      </c>
      <c r="D277" t="inlineStr">
        <is>
          <t>DIEBOLD</t>
        </is>
      </c>
      <c r="E277" s="3" t="n">
        <v>46093</v>
      </c>
      <c r="F277" s="3" t="n">
        <v>46092</v>
      </c>
      <c r="G277" t="inlineStr">
        <is>
          <t>10:00:00</t>
        </is>
      </c>
      <c r="H277" t="n">
        <v>62648950</v>
      </c>
      <c r="I277" t="n">
        <v>50010950</v>
      </c>
      <c r="J277" t="n">
        <v>2860000</v>
      </c>
      <c r="K277" t="n">
        <v>15783000</v>
      </c>
      <c r="L277" t="n">
        <v>377000</v>
      </c>
      <c r="M277">
        <f>I277-(H277+J277-K277)- L277</f>
        <v/>
      </c>
      <c r="N277">
        <f>IF(M277=0,"Cuadrado",IF(M277&gt;0,"Faltante","Sobrante"))</f>
        <v/>
      </c>
      <c r="O277" t="inlineStr">
        <is>
          <t>La diferencia es contabilizada por la Gerencia De Autoservicios y Efectivo de manera centralizada a la cuenta de sobrantes 279510020 el 12/03/2026</t>
        </is>
      </c>
      <c r="P277" t="n">
        <v>1192816639</v>
      </c>
    </row>
    <row r="278">
      <c r="A278" t="n">
        <v>6</v>
      </c>
      <c r="B278" t="n">
        <v>5001</v>
      </c>
      <c r="C278" t="inlineStr">
        <is>
          <t>BELLTECH</t>
        </is>
      </c>
      <c r="D278" t="inlineStr">
        <is>
          <t>BELLTECH</t>
        </is>
      </c>
      <c r="E278" s="3" t="n">
        <v>46093</v>
      </c>
      <c r="F278" s="3" t="n">
        <v>46092</v>
      </c>
      <c r="G278" t="inlineStr">
        <is>
          <t>10:20:00</t>
        </is>
      </c>
      <c r="H278" t="n">
        <v>228798100</v>
      </c>
      <c r="I278" t="n">
        <v>171991100</v>
      </c>
      <c r="J278" t="n">
        <v>15970000</v>
      </c>
      <c r="K278" t="n">
        <v>1202000</v>
      </c>
      <c r="L278" t="n">
        <v>-66000000</v>
      </c>
      <c r="M278">
        <f>I278-(H278+J278-K278)- L278</f>
        <v/>
      </c>
      <c r="N278">
        <f>IF(M278=0,"Cuadrado",IF(M278&gt;0,"Faltante","Sobrante"))</f>
        <v/>
      </c>
      <c r="O278" t="inlineStr">
        <is>
          <t>La diferencia es contabilizada por la Gerencia De Autoservicios y Efectivo de manera centralizada a la cuenta de sobrantes 279510020 el 12/03/2026</t>
        </is>
      </c>
      <c r="P278" t="n">
        <v>71336970</v>
      </c>
    </row>
    <row r="279">
      <c r="A279" t="n">
        <v>361</v>
      </c>
      <c r="B279" t="n">
        <v>5005</v>
      </c>
      <c r="C279" t="inlineStr">
        <is>
          <t>BELLTECH</t>
        </is>
      </c>
      <c r="D279" t="inlineStr">
        <is>
          <t>BELLTECH</t>
        </is>
      </c>
      <c r="E279" s="3" t="n">
        <v>46093</v>
      </c>
      <c r="F279" s="3" t="n">
        <v>46092</v>
      </c>
      <c r="G279" t="inlineStr">
        <is>
          <t>11:22:00</t>
        </is>
      </c>
      <c r="H279" t="n">
        <v>170671300</v>
      </c>
      <c r="I279" t="n">
        <v>118993650</v>
      </c>
      <c r="J279" t="n">
        <v>8930000</v>
      </c>
      <c r="K279" t="n">
        <v>19931000</v>
      </c>
      <c r="M279">
        <f>I279-(H279+J279-K279)- L279</f>
        <v/>
      </c>
      <c r="N279">
        <f>IF(M279=0,"Cuadrado",IF(M279&gt;0,"Faltante","Sobrante"))</f>
        <v/>
      </c>
      <c r="O279" t="inlineStr">
        <is>
          <t>La diferencia es contabilizada por la Gerencia De Autoservicios y Efectivo de manera centralizada a la cuenta de sobrantes 279510020 el 12/03/2026</t>
        </is>
      </c>
      <c r="P279" t="n">
        <v>79819397</v>
      </c>
    </row>
    <row r="280">
      <c r="A280" t="n">
        <v>777</v>
      </c>
      <c r="B280" t="n">
        <v>5009</v>
      </c>
      <c r="C280" t="inlineStr">
        <is>
          <t>BELLTECH</t>
        </is>
      </c>
      <c r="D280" t="inlineStr">
        <is>
          <t>BELLTECH</t>
        </is>
      </c>
      <c r="E280" s="3" t="n">
        <v>46093</v>
      </c>
      <c r="F280" s="3" t="n">
        <v>46092</v>
      </c>
      <c r="G280" t="inlineStr">
        <is>
          <t>10:41:00</t>
        </is>
      </c>
      <c r="H280" t="n">
        <v>195305050</v>
      </c>
      <c r="I280" t="n">
        <v>106085050</v>
      </c>
      <c r="J280" t="n">
        <v>9250000</v>
      </c>
      <c r="K280" t="n">
        <v>99200000</v>
      </c>
      <c r="L280" t="n">
        <v>738000</v>
      </c>
      <c r="M280">
        <f>I280-(H280+J280-K280)- L280</f>
        <v/>
      </c>
      <c r="N280">
        <f>IF(M280=0,"Cuadrado",IF(M280&gt;0,"Faltante","Sobrante"))</f>
        <v/>
      </c>
      <c r="O280" t="inlineStr">
        <is>
          <t>La diferencia es contabilizada por la Gerencia De Autoservicios y Efectivo de manera centralizada a la cuenta de sobrantes 279510020 el 12/03/2026</t>
        </is>
      </c>
      <c r="P280" t="n">
        <v>1192816639</v>
      </c>
    </row>
    <row r="281">
      <c r="A281" t="n">
        <v>277</v>
      </c>
      <c r="B281" t="n">
        <v>5021</v>
      </c>
      <c r="C281" t="inlineStr">
        <is>
          <t>BELLTECH</t>
        </is>
      </c>
      <c r="D281" t="inlineStr">
        <is>
          <t>BELLTECH</t>
        </is>
      </c>
      <c r="E281" s="3" t="n">
        <v>46093</v>
      </c>
      <c r="F281" s="3" t="n">
        <v>46092</v>
      </c>
      <c r="G281" t="inlineStr">
        <is>
          <t>11:09:00</t>
        </is>
      </c>
      <c r="H281" t="n">
        <v>189501350</v>
      </c>
      <c r="I281" t="n">
        <v>199140350</v>
      </c>
      <c r="J281" t="n">
        <v>11260000</v>
      </c>
      <c r="K281" t="n">
        <v>3531000</v>
      </c>
      <c r="L281" t="n">
        <v>1910000</v>
      </c>
      <c r="M281">
        <f>I281-(H281+J281-K281)- L281</f>
        <v/>
      </c>
      <c r="N281">
        <f>IF(M281=0,"Cuadrado",IF(M281&gt;0,"Faltante","Sobrante"))</f>
        <v/>
      </c>
      <c r="O281" t="inlineStr">
        <is>
          <t>Cajero cuadrado, sin observación por parte de la sucursal</t>
        </is>
      </c>
      <c r="P281" t="n">
        <v>32184677</v>
      </c>
    </row>
    <row r="282">
      <c r="A282" t="n">
        <v>723</v>
      </c>
      <c r="B282" t="n">
        <v>5046</v>
      </c>
      <c r="C282" t="inlineStr">
        <is>
          <t>BELLTECH</t>
        </is>
      </c>
      <c r="D282" t="inlineStr">
        <is>
          <t>BELLTECH</t>
        </is>
      </c>
      <c r="E282" s="3" t="n">
        <v>46093</v>
      </c>
      <c r="F282" s="3" t="n">
        <v>46092</v>
      </c>
      <c r="G282" t="inlineStr">
        <is>
          <t>17:29:00</t>
        </is>
      </c>
      <c r="H282" t="n">
        <v>138407500</v>
      </c>
      <c r="I282" t="n">
        <v>141531050</v>
      </c>
      <c r="J282" t="n">
        <v>35550000</v>
      </c>
      <c r="K282" t="n">
        <v>140174000</v>
      </c>
      <c r="L282" t="n">
        <v>179280000</v>
      </c>
      <c r="M282">
        <f>I282-(H282+J282-K282)- L282</f>
        <v/>
      </c>
      <c r="N282">
        <f>IF(M282=0,"Cuadrado",IF(M282&gt;0,"Faltante","Sobrante"))</f>
        <v/>
      </c>
      <c r="O282" t="inlineStr">
        <is>
          <t>REPITIERON ARQUEO</t>
        </is>
      </c>
      <c r="P282" t="n">
        <v>1088273268</v>
      </c>
    </row>
    <row r="283">
      <c r="A283" t="n">
        <v>769</v>
      </c>
      <c r="B283" t="n">
        <v>5051</v>
      </c>
      <c r="C283" t="inlineStr">
        <is>
          <t>BELLTECH</t>
        </is>
      </c>
      <c r="D283" t="inlineStr">
        <is>
          <t>BELLTECH</t>
        </is>
      </c>
      <c r="E283" s="3" t="n">
        <v>46093</v>
      </c>
      <c r="F283" s="3" t="n">
        <v>46092</v>
      </c>
      <c r="G283" t="inlineStr">
        <is>
          <t>10:33:00</t>
        </is>
      </c>
      <c r="H283" t="n">
        <v>123936300</v>
      </c>
      <c r="I283" t="n">
        <v>118732300</v>
      </c>
      <c r="J283" t="n">
        <v>2250000</v>
      </c>
      <c r="K283" t="n">
        <v>15806900</v>
      </c>
      <c r="L283" t="n">
        <v>-1030000</v>
      </c>
      <c r="M283">
        <f>I283-(H283+J283-K283)- L283</f>
        <v/>
      </c>
      <c r="N283">
        <f>IF(M283=0,"Cuadrado",IF(M283&gt;0,"Faltante","Sobrante"))</f>
        <v/>
      </c>
      <c r="O283" t="inlineStr">
        <is>
          <t>REPITIERON ARQUEO</t>
        </is>
      </c>
      <c r="P283" t="n">
        <v>1129580385</v>
      </c>
    </row>
    <row r="284">
      <c r="A284" t="n">
        <v>19</v>
      </c>
      <c r="B284" t="n">
        <v>5078</v>
      </c>
      <c r="C284" t="inlineStr">
        <is>
          <t>BELLTECH</t>
        </is>
      </c>
      <c r="D284" t="inlineStr">
        <is>
          <t>BELLTECH</t>
        </is>
      </c>
      <c r="E284" s="3" t="n">
        <v>46093</v>
      </c>
      <c r="F284" s="3" t="n">
        <v>46092</v>
      </c>
      <c r="G284" t="inlineStr">
        <is>
          <t>11:00:00</t>
        </is>
      </c>
      <c r="H284" t="n">
        <v>86922350</v>
      </c>
      <c r="I284" t="n">
        <v>70087350</v>
      </c>
      <c r="J284" t="n">
        <v>9160000</v>
      </c>
      <c r="K284" t="n">
        <v>24901000</v>
      </c>
      <c r="M284">
        <f>I284-(H284+J284-K284)- L284</f>
        <v/>
      </c>
      <c r="N284">
        <f>IF(M284=0,"Cuadrado",IF(M284&gt;0,"Faltante","Sobrante"))</f>
        <v/>
      </c>
      <c r="O284" t="inlineStr">
        <is>
          <t>La diferencia es contabilizada por la Gerencia De Autoservicios y Efectivo de manera centralizada a la cuenta de sobrantes 279510020 el 12/03/2026</t>
        </is>
      </c>
      <c r="P284" t="n">
        <v>43588535</v>
      </c>
    </row>
    <row r="285">
      <c r="A285" t="n">
        <v>291</v>
      </c>
      <c r="B285" t="n">
        <v>5114</v>
      </c>
      <c r="C285" t="inlineStr">
        <is>
          <t>BELLTECH</t>
        </is>
      </c>
      <c r="D285" t="inlineStr">
        <is>
          <t>BELLTECH</t>
        </is>
      </c>
      <c r="E285" s="3" t="n">
        <v>46093</v>
      </c>
      <c r="F285" s="3" t="n">
        <v>46092</v>
      </c>
      <c r="G285" t="inlineStr">
        <is>
          <t>10:20:00</t>
        </is>
      </c>
      <c r="H285" t="n">
        <v>311523400</v>
      </c>
      <c r="I285" t="n">
        <v>311907400</v>
      </c>
      <c r="J285" t="n">
        <v>10370000</v>
      </c>
      <c r="K285" t="n">
        <v>9980000</v>
      </c>
      <c r="M285">
        <f>I285-(H285+J285-K285)- L285</f>
        <v/>
      </c>
      <c r="N285">
        <f>IF(M285=0,"Cuadrado",IF(M285&gt;0,"Faltante","Sobrante"))</f>
        <v/>
      </c>
      <c r="O285" t="inlineStr">
        <is>
          <t>La diferencia es contabilizada por la Gerencia De Autoservicios y Efectivo de manera centralizada a la cuenta de sobrantes 279510020 el 12/03/2026</t>
        </is>
      </c>
      <c r="P285" t="n">
        <v>1095930956</v>
      </c>
    </row>
    <row r="286">
      <c r="A286" t="n">
        <v>91</v>
      </c>
      <c r="B286" t="n">
        <v>5148</v>
      </c>
      <c r="C286" t="inlineStr">
        <is>
          <t>BELLTECH</t>
        </is>
      </c>
      <c r="D286" t="inlineStr">
        <is>
          <t>BELLTECH</t>
        </is>
      </c>
      <c r="E286" s="3" t="n">
        <v>46093</v>
      </c>
      <c r="F286" s="3" t="n">
        <v>46092</v>
      </c>
      <c r="G286" t="inlineStr">
        <is>
          <t>10:16:00</t>
        </is>
      </c>
      <c r="H286" t="n">
        <v>474899700</v>
      </c>
      <c r="I286" t="n">
        <v>452386550</v>
      </c>
      <c r="J286" t="n">
        <v>3360000</v>
      </c>
      <c r="K286" t="n">
        <v>15000000</v>
      </c>
      <c r="M286">
        <f>I286-(H286+J286-K286)- L286</f>
        <v/>
      </c>
      <c r="N286">
        <f>IF(M286=0,"Cuadrado",IF(M286&gt;0,"Faltante","Sobrante"))</f>
        <v/>
      </c>
      <c r="O286" t="inlineStr">
        <is>
          <t>La diferencia es contabilizada por la Gerencia De Autoservicios y Efectivo de manera centralizada a la cuenta de sobrantes 279510020 el 12/03/2026</t>
        </is>
      </c>
      <c r="P286" t="n">
        <v>1067844638</v>
      </c>
    </row>
    <row r="287">
      <c r="A287" t="n">
        <v>806</v>
      </c>
      <c r="B287" t="n">
        <v>5156</v>
      </c>
      <c r="C287" t="inlineStr">
        <is>
          <t>BELLTECH</t>
        </is>
      </c>
      <c r="D287" t="inlineStr">
        <is>
          <t>BELLTECH</t>
        </is>
      </c>
      <c r="E287" s="3" t="n">
        <v>46093</v>
      </c>
      <c r="F287" s="3" t="n">
        <v>46092</v>
      </c>
      <c r="G287" t="inlineStr">
        <is>
          <t>13:06:00</t>
        </is>
      </c>
      <c r="H287" t="n">
        <v>59166300</v>
      </c>
      <c r="I287" t="n">
        <v>64432300</v>
      </c>
      <c r="J287" t="n">
        <v>12750000</v>
      </c>
      <c r="K287" t="n">
        <v>3308000</v>
      </c>
      <c r="M287">
        <f>I287-(H287+J287-K287)- L287</f>
        <v/>
      </c>
      <c r="N287">
        <f>IF(M287=0,"Cuadrado",IF(M287&gt;0,"Faltante","Sobrante"))</f>
        <v/>
      </c>
      <c r="O287" t="inlineStr">
        <is>
          <t>La diferencia es contabilizada por la Gerencia De Autoservicios y Efectivo de manera centralizada a la cuenta de sobrantes 279510020 el 12/03/2026</t>
        </is>
      </c>
      <c r="P287" t="n">
        <v>7335993</v>
      </c>
    </row>
    <row r="288">
      <c r="A288" t="n">
        <v>750</v>
      </c>
      <c r="B288" t="n">
        <v>5157</v>
      </c>
      <c r="C288" t="inlineStr">
        <is>
          <t>BELLTECH</t>
        </is>
      </c>
      <c r="D288" t="inlineStr">
        <is>
          <t>BELLTECH</t>
        </is>
      </c>
      <c r="E288" s="3" t="n">
        <v>46093</v>
      </c>
      <c r="F288" s="3" t="n">
        <v>46092</v>
      </c>
      <c r="G288" t="inlineStr">
        <is>
          <t>08:22:50</t>
        </is>
      </c>
      <c r="H288" t="n">
        <v>156805850</v>
      </c>
      <c r="I288" t="n">
        <v>145853050</v>
      </c>
      <c r="J288" t="n">
        <v>4880000</v>
      </c>
      <c r="K288" t="n">
        <v>20922800</v>
      </c>
      <c r="L288" t="n">
        <v>1929550</v>
      </c>
      <c r="M288">
        <f>I288-(H288+J288-K288)- L288</f>
        <v/>
      </c>
      <c r="N288">
        <f>IF(M288=0,"Cuadrado",IF(M288&gt;0,"Faltante","Sobrante"))</f>
        <v/>
      </c>
      <c r="O288" t="inlineStr">
        <is>
          <t>La diferencia es contabilizada por la Gerencia De Autoservicios y Efectivo de manera centralizada a la cuenta de faltantes 168710093 el 12/03/2026, esta diferencia ingresa a proceso de investigación en el área para identificar a que corresponde.
El faltante $1.929.550 es cruzado con sobrante contabilizado el día 10/03/2026 el cual es reversado por la seccion el día 12/03/2026</t>
        </is>
      </c>
      <c r="P288" t="n">
        <v>31529631</v>
      </c>
    </row>
    <row r="289">
      <c r="A289" t="n">
        <v>253</v>
      </c>
      <c r="B289" t="n">
        <v>5176</v>
      </c>
      <c r="C289" t="inlineStr">
        <is>
          <t>BELLTECH</t>
        </is>
      </c>
      <c r="D289" t="inlineStr">
        <is>
          <t>BELLTECH</t>
        </is>
      </c>
      <c r="E289" s="3" t="n">
        <v>46093</v>
      </c>
      <c r="F289" s="3" t="n">
        <v>46092</v>
      </c>
      <c r="G289" t="inlineStr">
        <is>
          <t>08:43:00</t>
        </is>
      </c>
      <c r="H289" t="n">
        <v>247521750</v>
      </c>
      <c r="I289" t="n">
        <v>234089750</v>
      </c>
      <c r="J289" t="n">
        <v>0</v>
      </c>
      <c r="K289" t="n">
        <v>4490000</v>
      </c>
      <c r="L289" t="n">
        <v>-6902000</v>
      </c>
      <c r="M289">
        <f>I289-(H289+J289-K289)- L289</f>
        <v/>
      </c>
      <c r="N289">
        <f>IF(M289=0,"Cuadrado",IF(M289&gt;0,"Faltante","Sobrante"))</f>
        <v/>
      </c>
      <c r="O289" t="inlineStr">
        <is>
          <t>La diferencia es contabilizada por la Gerencia De Autoservicios y Efectivo de manera centralizada a la cuenta de sobrantes 279510020 el 12/03/2026</t>
        </is>
      </c>
      <c r="P289" t="n">
        <v>1017241432</v>
      </c>
    </row>
    <row r="290">
      <c r="A290" t="n">
        <v>198</v>
      </c>
      <c r="B290" t="n">
        <v>5179</v>
      </c>
      <c r="C290" t="inlineStr">
        <is>
          <t>BELLTECH</t>
        </is>
      </c>
      <c r="D290" t="inlineStr">
        <is>
          <t>BELLTECH</t>
        </is>
      </c>
      <c r="E290" s="3" t="n">
        <v>46093</v>
      </c>
      <c r="F290" s="3" t="n">
        <v>46092</v>
      </c>
      <c r="G290" t="inlineStr">
        <is>
          <t>09:28:00</t>
        </is>
      </c>
      <c r="H290" t="n">
        <v>161929700</v>
      </c>
      <c r="I290" t="n">
        <v>173903700</v>
      </c>
      <c r="J290" t="n">
        <v>6300000</v>
      </c>
      <c r="K290" t="n">
        <v>201000</v>
      </c>
      <c r="L290" t="n">
        <v>5875000</v>
      </c>
      <c r="M290">
        <f>I290-(H290+J290-K290)- L290</f>
        <v/>
      </c>
      <c r="N290">
        <f>IF(M290=0,"Cuadrado",IF(M290&gt;0,"Faltante","Sobrante"))</f>
        <v/>
      </c>
      <c r="O290" t="inlineStr">
        <is>
          <t>El faltante $5.875.000 es cruzado con sobrante contabilizado el día 04/03/2026 el cual es reversado por la seccion el día 12/03/2026</t>
        </is>
      </c>
      <c r="P290" t="n">
        <v>53031419</v>
      </c>
    </row>
    <row r="291">
      <c r="A291" t="n">
        <v>664</v>
      </c>
      <c r="B291" t="n">
        <v>5191</v>
      </c>
      <c r="C291" t="inlineStr">
        <is>
          <t>BELLTECH</t>
        </is>
      </c>
      <c r="D291" t="inlineStr">
        <is>
          <t>BELLTECH</t>
        </is>
      </c>
      <c r="E291" s="3" t="n">
        <v>46093</v>
      </c>
      <c r="F291" s="3" t="n">
        <v>46092</v>
      </c>
      <c r="G291" t="inlineStr">
        <is>
          <t>11:12:00</t>
        </is>
      </c>
      <c r="H291" t="n">
        <v>199055400</v>
      </c>
      <c r="I291" t="n">
        <v>223414550</v>
      </c>
      <c r="J291" t="n">
        <v>43480000</v>
      </c>
      <c r="K291" t="n">
        <v>75451000</v>
      </c>
      <c r="L291" t="n">
        <v>86306000</v>
      </c>
      <c r="M291">
        <f>I291-(H291+J291-K291)- L291</f>
        <v/>
      </c>
      <c r="N291">
        <f>IF(M291=0,"Cuadrado",IF(M291&gt;0,"Faltante","Sobrante"))</f>
        <v/>
      </c>
      <c r="O291" t="inlineStr">
        <is>
          <t>La diferencia es contabilizada por la Gerencia De Autoservicios y Efectivo de manera centralizada a la cuenta de sobrantes 279510020 el 12/03/2026</t>
        </is>
      </c>
      <c r="P291" t="n">
        <v>53052650</v>
      </c>
    </row>
    <row r="292">
      <c r="A292" t="n">
        <v>77</v>
      </c>
      <c r="B292" t="n">
        <v>5204</v>
      </c>
      <c r="C292" t="inlineStr">
        <is>
          <t>BELLTECH</t>
        </is>
      </c>
      <c r="D292" t="inlineStr">
        <is>
          <t>BELLTECH</t>
        </is>
      </c>
      <c r="E292" s="3" t="n">
        <v>46093</v>
      </c>
      <c r="F292" s="3" t="n">
        <v>46092</v>
      </c>
      <c r="G292" t="inlineStr">
        <is>
          <t>09:42:00</t>
        </is>
      </c>
      <c r="H292" t="n">
        <v>176326300</v>
      </c>
      <c r="I292" t="n">
        <v>162865300</v>
      </c>
      <c r="J292" t="n">
        <v>13450000</v>
      </c>
      <c r="K292" t="n">
        <v>22954000</v>
      </c>
      <c r="M292">
        <f>I292-(H292+J292-K292)- L292</f>
        <v/>
      </c>
      <c r="N292">
        <f>IF(M292=0,"Cuadrado",IF(M292&gt;0,"Faltante","Sobrante"))</f>
        <v/>
      </c>
      <c r="O292" t="inlineStr">
        <is>
          <t>La diferencia es contabilizada por la Gerencia De Autoservicios y Efectivo de manera centralizada a la cuenta de sobrantes 279510020 el 12/03/2026</t>
        </is>
      </c>
      <c r="P292" t="n">
        <v>94493031</v>
      </c>
    </row>
    <row r="293">
      <c r="A293" t="n">
        <v>793</v>
      </c>
      <c r="B293" t="n">
        <v>5216</v>
      </c>
      <c r="C293" t="inlineStr">
        <is>
          <t>BELLTECH</t>
        </is>
      </c>
      <c r="D293" t="inlineStr">
        <is>
          <t>BELLTECH</t>
        </is>
      </c>
      <c r="E293" s="3" t="n">
        <v>46093</v>
      </c>
      <c r="F293" s="3" t="n">
        <v>46092</v>
      </c>
      <c r="G293" t="inlineStr">
        <is>
          <t>09:41:00</t>
        </is>
      </c>
      <c r="H293" t="n">
        <v>233648900</v>
      </c>
      <c r="I293" t="n">
        <v>233187900</v>
      </c>
      <c r="J293" t="n">
        <v>8890000</v>
      </c>
      <c r="K293" t="n">
        <v>6322000</v>
      </c>
      <c r="M293">
        <f>I293-(H293+J293-K293)- L293</f>
        <v/>
      </c>
      <c r="N293">
        <f>IF(M293=0,"Cuadrado",IF(M293&gt;0,"Faltante","Sobrante"))</f>
        <v/>
      </c>
      <c r="O293" t="inlineStr">
        <is>
          <t>La diferencia es contabilizada por la Gerencia De Autoservicios y Efectivo de manera centralizada a la cuenta de sobrantes 279510020 el 12/03/2026</t>
        </is>
      </c>
      <c r="P293" t="n">
        <v>80218400</v>
      </c>
    </row>
    <row r="294">
      <c r="A294" t="n">
        <v>16</v>
      </c>
      <c r="B294" t="n">
        <v>5219</v>
      </c>
      <c r="C294" t="inlineStr">
        <is>
          <t>BELLTECH</t>
        </is>
      </c>
      <c r="D294" t="inlineStr">
        <is>
          <t>BELLTECH</t>
        </is>
      </c>
      <c r="E294" s="3" t="n">
        <v>46093</v>
      </c>
      <c r="F294" s="3" t="n">
        <v>46092</v>
      </c>
      <c r="G294" t="inlineStr">
        <is>
          <t>08:49:00</t>
        </is>
      </c>
      <c r="H294" t="n">
        <v>216062250</v>
      </c>
      <c r="I294" t="n">
        <v>227953400</v>
      </c>
      <c r="J294" t="n">
        <v>1190000</v>
      </c>
      <c r="K294" t="n">
        <v>2400000</v>
      </c>
      <c r="L294" t="n">
        <v>13101150</v>
      </c>
      <c r="M294">
        <f>I294-(H294+J294-K294)- L294</f>
        <v/>
      </c>
      <c r="N294">
        <f>IF(M294=0,"Cuadrado",IF(M294&gt;0,"Faltante","Sobrante"))</f>
        <v/>
      </c>
      <c r="O294" t="inlineStr">
        <is>
          <t>El faltante $13.101.150 es cruzado con sobrante contabilizado el día 06/03/2026 el cual es reversado por la seccion el día 12/03/2026</t>
        </is>
      </c>
      <c r="P294" t="n">
        <v>1128405320</v>
      </c>
    </row>
    <row r="295">
      <c r="A295" t="n">
        <v>221</v>
      </c>
      <c r="B295" t="n">
        <v>5221</v>
      </c>
      <c r="C295" t="inlineStr">
        <is>
          <t>BELLTECH</t>
        </is>
      </c>
      <c r="D295" t="inlineStr">
        <is>
          <t>BELLTECH</t>
        </is>
      </c>
      <c r="E295" s="3" t="n">
        <v>46093</v>
      </c>
      <c r="F295" s="3" t="n">
        <v>46092</v>
      </c>
      <c r="G295" t="inlineStr">
        <is>
          <t>08:40:00</t>
        </is>
      </c>
      <c r="H295" t="n">
        <v>274694500</v>
      </c>
      <c r="I295" t="n">
        <v>273604500</v>
      </c>
      <c r="J295" t="n">
        <v>2400000</v>
      </c>
      <c r="K295" t="n">
        <v>0</v>
      </c>
      <c r="M295">
        <f>I295-(H295+J295-K295)- L295</f>
        <v/>
      </c>
      <c r="N295">
        <f>IF(M295=0,"Cuadrado",IF(M295&gt;0,"Faltante","Sobrante"))</f>
        <v/>
      </c>
      <c r="O295" t="inlineStr">
        <is>
          <t>La diferencia es contabilizada por la Gerencia De Autoservicios y Efectivo de manera centralizada a la cuenta de sobrantes 279510020 el 12/03/2026</t>
        </is>
      </c>
      <c r="P295" t="n">
        <v>52833254</v>
      </c>
    </row>
    <row r="296">
      <c r="A296" t="n">
        <v>946</v>
      </c>
      <c r="B296" t="n">
        <v>5225</v>
      </c>
      <c r="C296" t="inlineStr">
        <is>
          <t>BELLTECH</t>
        </is>
      </c>
      <c r="D296" t="inlineStr">
        <is>
          <t>BELLTECH</t>
        </is>
      </c>
      <c r="E296" s="3" t="n">
        <v>46093</v>
      </c>
      <c r="F296" s="3" t="n">
        <v>46092</v>
      </c>
      <c r="G296" t="inlineStr">
        <is>
          <t>12:26:00</t>
        </is>
      </c>
      <c r="H296" t="n">
        <v>205201950</v>
      </c>
      <c r="I296" t="n">
        <v>227981950</v>
      </c>
      <c r="J296" t="n">
        <v>25120000</v>
      </c>
      <c r="K296" t="n">
        <v>2220000</v>
      </c>
      <c r="M296">
        <f>I296-(H296+J296-K296)- L296</f>
        <v/>
      </c>
      <c r="N296">
        <f>IF(M296=0,"Cuadrado",IF(M296&gt;0,"Faltante","Sobrante"))</f>
        <v/>
      </c>
      <c r="O296" t="inlineStr">
        <is>
          <t>La diferencia es contabilizada por la Gerencia De Autoservicios y Efectivo de manera centralizada a la cuenta de sobrantes 279510020 el 12/03/2026</t>
        </is>
      </c>
      <c r="P296" t="n">
        <v>20500181</v>
      </c>
    </row>
    <row r="297">
      <c r="A297" t="n">
        <v>678</v>
      </c>
      <c r="B297" t="n">
        <v>5227</v>
      </c>
      <c r="C297" t="inlineStr">
        <is>
          <t>BELLTECH</t>
        </is>
      </c>
      <c r="D297" t="inlineStr">
        <is>
          <t>BELLTECH</t>
        </is>
      </c>
      <c r="E297" s="3" t="n">
        <v>46093</v>
      </c>
      <c r="F297" s="3" t="n">
        <v>46092</v>
      </c>
      <c r="G297" t="inlineStr">
        <is>
          <t>18:16:00</t>
        </is>
      </c>
      <c r="H297" t="n">
        <v>54968400</v>
      </c>
      <c r="I297" t="n">
        <v>103002400</v>
      </c>
      <c r="J297" t="n">
        <v>13340000</v>
      </c>
      <c r="K297" t="n">
        <v>57275000</v>
      </c>
      <c r="L297" t="n">
        <v>91969000</v>
      </c>
      <c r="M297">
        <f>I297-(H297+J297-K297)- L297</f>
        <v/>
      </c>
      <c r="N297">
        <f>IF(M297=0,"Cuadrado",IF(M297&gt;0,"Faltante","Sobrante"))</f>
        <v/>
      </c>
      <c r="O297" t="inlineStr">
        <is>
          <t>Cajero cuadrado, sin observación por parte de la sucursal</t>
        </is>
      </c>
      <c r="P297" t="n">
        <v>1102586250</v>
      </c>
    </row>
    <row r="298">
      <c r="A298" t="n">
        <v>820</v>
      </c>
      <c r="B298" t="n">
        <v>6174</v>
      </c>
      <c r="C298" t="inlineStr">
        <is>
          <t>BELLTECH</t>
        </is>
      </c>
      <c r="D298" t="inlineStr">
        <is>
          <t>BELLTECH</t>
        </is>
      </c>
      <c r="E298" s="3" t="n">
        <v>46093</v>
      </c>
      <c r="F298" s="3" t="n">
        <v>46092</v>
      </c>
      <c r="G298" t="inlineStr">
        <is>
          <t>15:13:00</t>
        </is>
      </c>
      <c r="H298" t="n">
        <v>208087100</v>
      </c>
      <c r="I298" t="n">
        <v>16700100</v>
      </c>
      <c r="J298" t="n">
        <v>24570000</v>
      </c>
      <c r="K298" t="n">
        <v>37264000</v>
      </c>
      <c r="L298" t="n">
        <v>-195393100</v>
      </c>
      <c r="M298">
        <f>I298-(H298+J298-K298)- L298</f>
        <v/>
      </c>
      <c r="N298">
        <f>IF(M298=0,"Cuadrado",IF(M298&gt;0,"Faltante","Sobrante"))</f>
        <v/>
      </c>
      <c r="O298" t="inlineStr">
        <is>
          <t>EN ESPERA DE ACLARAR, HOY SE GRABA UN REMANENTE DEL 23 DE FEB</t>
        </is>
      </c>
      <c r="P298" t="n">
        <v>1090400247</v>
      </c>
    </row>
    <row r="299">
      <c r="A299" t="n">
        <v>477</v>
      </c>
      <c r="B299" t="n">
        <v>6251</v>
      </c>
      <c r="C299" t="inlineStr">
        <is>
          <t>BELLTECH</t>
        </is>
      </c>
      <c r="D299" t="inlineStr">
        <is>
          <t>BELLTECH</t>
        </is>
      </c>
      <c r="E299" s="3" t="n">
        <v>46093</v>
      </c>
      <c r="F299" s="3" t="n">
        <v>46092</v>
      </c>
      <c r="G299" t="inlineStr">
        <is>
          <t>09:38:00</t>
        </is>
      </c>
      <c r="H299" t="n">
        <v>35598550</v>
      </c>
      <c r="I299" t="n">
        <v>34009050</v>
      </c>
      <c r="J299" t="n">
        <v>7800000</v>
      </c>
      <c r="K299" t="n">
        <v>9490000</v>
      </c>
      <c r="L299" t="n">
        <v>100500</v>
      </c>
      <c r="M299">
        <f>I299-(H299+J299-K299)- L299</f>
        <v/>
      </c>
      <c r="N299">
        <f>IF(M299=0,"Cuadrado",IF(M299&gt;0,"Faltante","Sobrante"))</f>
        <v/>
      </c>
      <c r="O299" t="inlineStr">
        <is>
          <t>El faltante $100.500 es cruzado con sobrante contabilizado el día 10/03/2026 el cual es reversado por la seccion el día 12/03/2026</t>
        </is>
      </c>
      <c r="P299" t="n">
        <v>1140850613</v>
      </c>
    </row>
    <row r="300">
      <c r="A300" t="n">
        <v>337</v>
      </c>
      <c r="B300" t="n">
        <v>6253</v>
      </c>
      <c r="C300" t="inlineStr">
        <is>
          <t>BELLTECH</t>
        </is>
      </c>
      <c r="D300" t="inlineStr">
        <is>
          <t>BELLTECH</t>
        </is>
      </c>
      <c r="E300" s="3" t="n">
        <v>46093</v>
      </c>
      <c r="F300" s="3" t="n">
        <v>46092</v>
      </c>
      <c r="G300" t="inlineStr">
        <is>
          <t>14:12:00</t>
        </is>
      </c>
      <c r="H300" t="n">
        <v>205292550</v>
      </c>
      <c r="I300" t="n">
        <v>179881750</v>
      </c>
      <c r="J300" t="n">
        <v>32140000</v>
      </c>
      <c r="K300" t="n">
        <v>74651800</v>
      </c>
      <c r="M300">
        <f>I300-(H300+J300-K300)- L300</f>
        <v/>
      </c>
      <c r="N300">
        <f>IF(M300=0,"Cuadrado",IF(M300&gt;0,"Faltante","Sobrante"))</f>
        <v/>
      </c>
      <c r="O300" t="inlineStr">
        <is>
          <t>REPITIERON ARQUEO</t>
        </is>
      </c>
      <c r="P300" t="n">
        <v>80386330</v>
      </c>
    </row>
    <row r="301">
      <c r="A301" t="n">
        <v>379</v>
      </c>
      <c r="B301" t="n">
        <v>6465</v>
      </c>
      <c r="C301" t="inlineStr">
        <is>
          <t>BELLTECH</t>
        </is>
      </c>
      <c r="D301" t="inlineStr">
        <is>
          <t>BELLTECH</t>
        </is>
      </c>
      <c r="E301" s="3" t="n">
        <v>46093</v>
      </c>
      <c r="F301" s="3" t="n">
        <v>46092</v>
      </c>
      <c r="G301" t="inlineStr">
        <is>
          <t>11:31:00</t>
        </is>
      </c>
      <c r="H301" t="n">
        <v>47484000</v>
      </c>
      <c r="I301" t="n">
        <v>146544950</v>
      </c>
      <c r="J301" t="n">
        <v>7320000</v>
      </c>
      <c r="K301" t="n">
        <v>44098050</v>
      </c>
      <c r="L301" t="n">
        <v>142319000</v>
      </c>
      <c r="M301">
        <f>I301-(H301+J301-K301)- L301</f>
        <v/>
      </c>
      <c r="N301">
        <f>IF(M301=0,"Cuadrado",IF(M301&gt;0,"Faltante","Sobrante"))</f>
        <v/>
      </c>
      <c r="O301" t="inlineStr">
        <is>
          <t>La diferencia es contabilizada por la Gerencia De Autoservicios y Efectivo de manera centralizada a la cuenta de sobrantes 279510020 el 12/03/2026</t>
        </is>
      </c>
      <c r="P301" t="n">
        <v>1020440431</v>
      </c>
    </row>
    <row r="302">
      <c r="A302" t="n">
        <v>352</v>
      </c>
      <c r="B302" t="n">
        <v>6618</v>
      </c>
      <c r="C302" t="inlineStr">
        <is>
          <t>BELLTECH</t>
        </is>
      </c>
      <c r="D302" t="inlineStr">
        <is>
          <t>BELLTECH</t>
        </is>
      </c>
      <c r="E302" s="3" t="n">
        <v>46093</v>
      </c>
      <c r="F302" s="3" t="n">
        <v>46091</v>
      </c>
      <c r="G302" t="inlineStr">
        <is>
          <t>09:37:00</t>
        </is>
      </c>
      <c r="H302" t="n">
        <v>194220400</v>
      </c>
      <c r="I302" t="n">
        <v>181161000</v>
      </c>
      <c r="J302" t="n">
        <v>4520000</v>
      </c>
      <c r="K302" t="n">
        <v>27330000</v>
      </c>
      <c r="M302">
        <f>I302-(H302+J302-K302)- L302</f>
        <v/>
      </c>
      <c r="N302">
        <f>IF(M302=0,"Cuadrado",IF(M302&gt;0,"Faltante","Sobrante"))</f>
        <v/>
      </c>
      <c r="O302" t="inlineStr">
        <is>
          <t>La diferencia es contabilizada por la Gerencia De Autoservicios y Efectivo de manera centralizada a la cuenta de faltantes 168710093 el 12/03/2026, esta diferencia ingresa a proceso de investigación en el área para identificar a que corresponde.</t>
        </is>
      </c>
      <c r="P302" t="n">
        <v>28559006</v>
      </c>
    </row>
    <row r="303">
      <c r="A303" t="n">
        <v>96</v>
      </c>
      <c r="B303" t="n">
        <v>6735</v>
      </c>
      <c r="C303" t="inlineStr">
        <is>
          <t>BELLTECH</t>
        </is>
      </c>
      <c r="D303" t="inlineStr">
        <is>
          <t>BELLTECH</t>
        </is>
      </c>
      <c r="E303" s="3" t="n">
        <v>46093</v>
      </c>
      <c r="F303" s="3" t="n">
        <v>46092</v>
      </c>
      <c r="G303" t="inlineStr">
        <is>
          <t>09:00:00</t>
        </is>
      </c>
      <c r="H303" t="n">
        <v>246463750</v>
      </c>
      <c r="I303" t="n">
        <v>247037750</v>
      </c>
      <c r="J303" t="n">
        <v>22850000</v>
      </c>
      <c r="K303" t="n">
        <v>22720000</v>
      </c>
      <c r="M303">
        <f>I303-(H303+J303-K303)- L303</f>
        <v/>
      </c>
      <c r="N303">
        <f>IF(M303=0,"Cuadrado",IF(M303&gt;0,"Faltante","Sobrante"))</f>
        <v/>
      </c>
      <c r="O303" t="inlineStr">
        <is>
          <t>La diferencia es contabilizada por la Gerencia De Autoservicios y Efectivo de manera centralizada a la cuenta de faltantes 168710093 el 12/03/2026, esta diferencia ingresa a proceso de investigación en el área para identificar a que corresponde.</t>
        </is>
      </c>
      <c r="P303" t="n">
        <v>39491642</v>
      </c>
    </row>
    <row r="304">
      <c r="A304" t="n">
        <v>677</v>
      </c>
      <c r="B304" t="n">
        <v>7124</v>
      </c>
      <c r="C304" t="inlineStr">
        <is>
          <t>DIEBOLD</t>
        </is>
      </c>
      <c r="D304" t="inlineStr">
        <is>
          <t>BELLTECH</t>
        </is>
      </c>
      <c r="E304" s="3" t="n">
        <v>46093</v>
      </c>
      <c r="F304" s="3" t="n">
        <v>46092</v>
      </c>
      <c r="G304" t="inlineStr">
        <is>
          <t>09:37:03</t>
        </is>
      </c>
      <c r="H304" t="n">
        <v>199097100</v>
      </c>
      <c r="I304" t="n">
        <v>200915700</v>
      </c>
      <c r="J304" t="n">
        <v>16040000</v>
      </c>
      <c r="K304" t="n">
        <v>15710000</v>
      </c>
      <c r="L304" t="n">
        <v>1488550</v>
      </c>
      <c r="M304">
        <f>I304-(H304+J304-K304)- L304</f>
        <v/>
      </c>
      <c r="N304">
        <f>IF(M304=0,"Cuadrado",IF(M304&gt;0,"Faltante","Sobrante"))</f>
        <v/>
      </c>
      <c r="O304" t="inlineStr">
        <is>
          <t>La diferencia es contabilizada por la Gerencia De Autoservicios y Efectivo de manera centralizada a la cuenta de faltantes 168710093 el 12/03/2026, esta diferencia ingresa a proceso de investigación en el área para identificar a que corresponde.
El faltante $1.488.550 es cruzado con sobrante contabilizado el día 04/03/2026 el cual es reversado por la seccion el día 12/03/2026</t>
        </is>
      </c>
      <c r="P304" t="n">
        <v>1103101789</v>
      </c>
    </row>
    <row r="305">
      <c r="A305" t="n">
        <v>484</v>
      </c>
      <c r="B305" t="n">
        <v>7125</v>
      </c>
      <c r="C305" t="inlineStr">
        <is>
          <t>DIEBOLD</t>
        </is>
      </c>
      <c r="D305" t="inlineStr">
        <is>
          <t>BELLTECH</t>
        </is>
      </c>
      <c r="E305" s="3" t="n">
        <v>46093</v>
      </c>
      <c r="F305" s="3" t="n">
        <v>46092</v>
      </c>
      <c r="G305" t="inlineStr">
        <is>
          <t>08:47:00</t>
        </is>
      </c>
      <c r="H305" t="n">
        <v>253567650</v>
      </c>
      <c r="I305" t="n">
        <v>249657650</v>
      </c>
      <c r="J305" t="n">
        <v>1090000</v>
      </c>
      <c r="K305" t="n">
        <v>0</v>
      </c>
      <c r="M305">
        <f>I305-(H305+J305-K305)- L305</f>
        <v/>
      </c>
      <c r="N305">
        <f>IF(M305=0,"Cuadrado",IF(M305&gt;0,"Faltante","Sobrante"))</f>
        <v/>
      </c>
      <c r="O305" t="inlineStr">
        <is>
          <t>La diferencia es contabilizada por la Gerencia De Autoservicios y Efectivo de manera centralizada a la cuenta de sobrantes 279510020 el 12/03/2026</t>
        </is>
      </c>
      <c r="P305" t="n">
        <v>1052972256</v>
      </c>
    </row>
    <row r="306">
      <c r="A306" t="n">
        <v>41</v>
      </c>
      <c r="B306" t="n">
        <v>7341</v>
      </c>
      <c r="C306" t="inlineStr">
        <is>
          <t>DIEBOLD</t>
        </is>
      </c>
      <c r="D306" t="inlineStr">
        <is>
          <t>BELLTECH</t>
        </is>
      </c>
      <c r="E306" s="3" t="n">
        <v>46093</v>
      </c>
      <c r="F306" s="3" t="n">
        <v>46092</v>
      </c>
      <c r="G306" t="inlineStr">
        <is>
          <t>08:24:00</t>
        </is>
      </c>
      <c r="H306" t="n">
        <v>130250400</v>
      </c>
      <c r="I306" t="n">
        <v>211470400</v>
      </c>
      <c r="J306" t="n">
        <v>0</v>
      </c>
      <c r="K306" t="n">
        <v>0</v>
      </c>
      <c r="L306" t="inlineStr">
        <is>
          <t>81,220,000</t>
        </is>
      </c>
      <c r="M306">
        <f>I306-(H306+J306-K306)- L306</f>
        <v/>
      </c>
      <c r="N306">
        <f>IF(M306=0,"Cuadrado",IF(M306&gt;0,"Faltante","Sobrante"))</f>
        <v/>
      </c>
      <c r="O306" t="inlineStr">
        <is>
          <t>Cajero cuadrado, sin observación por parte de la sucursal</t>
        </is>
      </c>
      <c r="P306" t="n">
        <v>94508187</v>
      </c>
    </row>
    <row r="307">
      <c r="A307" t="n">
        <v>172</v>
      </c>
      <c r="B307" t="n">
        <v>7429</v>
      </c>
      <c r="C307" t="inlineStr">
        <is>
          <t>BELLTECH</t>
        </is>
      </c>
      <c r="D307" t="inlineStr">
        <is>
          <t>BELLTECH</t>
        </is>
      </c>
      <c r="E307" s="3" t="n">
        <v>46093</v>
      </c>
      <c r="F307" s="3" t="n">
        <v>46092</v>
      </c>
      <c r="G307" t="inlineStr">
        <is>
          <t>09:20:00</t>
        </is>
      </c>
      <c r="H307" t="n">
        <v>241706750</v>
      </c>
      <c r="I307" t="n">
        <v>243504250</v>
      </c>
      <c r="J307" t="n">
        <v>1800000</v>
      </c>
      <c r="K307" t="n">
        <v>0</v>
      </c>
      <c r="M307">
        <f>I307-(H307+J307-K307)- L307</f>
        <v/>
      </c>
      <c r="N307">
        <f>IF(M307=0,"Cuadrado",IF(M307&gt;0,"Faltante","Sobrante"))</f>
        <v/>
      </c>
      <c r="O307" t="inlineStr">
        <is>
          <t>La diferencia es contabilizada por la Gerencia De Autoservicios y Efectivo de manera centralizada a la cuenta de sobrantes 279510020 el 12/03/2026</t>
        </is>
      </c>
      <c r="P307" t="n">
        <v>52156260</v>
      </c>
    </row>
    <row r="308">
      <c r="A308" t="n">
        <v>318</v>
      </c>
      <c r="B308" t="n">
        <v>7680</v>
      </c>
      <c r="C308" t="inlineStr">
        <is>
          <t>BELLTECH</t>
        </is>
      </c>
      <c r="D308" t="inlineStr">
        <is>
          <t>BELLTECH</t>
        </is>
      </c>
      <c r="E308" s="3" t="n">
        <v>46093</v>
      </c>
      <c r="F308" s="3" t="n">
        <v>46092</v>
      </c>
      <c r="G308" t="inlineStr">
        <is>
          <t>09:48:00</t>
        </is>
      </c>
      <c r="H308" t="n">
        <v>317454750</v>
      </c>
      <c r="I308" t="n">
        <v>328714750</v>
      </c>
      <c r="J308" t="n">
        <v>8980000</v>
      </c>
      <c r="K308" t="n">
        <v>0</v>
      </c>
      <c r="L308" t="n">
        <v>2280000</v>
      </c>
      <c r="M308">
        <f>I308-(H308+J308-K308)- L308</f>
        <v/>
      </c>
      <c r="N308">
        <f>IF(M308=0,"Cuadrado",IF(M308&gt;0,"Faltante","Sobrante"))</f>
        <v/>
      </c>
      <c r="O308" t="inlineStr">
        <is>
          <t>El faltante $2.280.000 es cruzado con sobrante contabilizado el día 04/03/2026 el cual es reversado por la seccion el día 12/03/2026</t>
        </is>
      </c>
      <c r="P308" t="n">
        <v>1065862494</v>
      </c>
    </row>
    <row r="309">
      <c r="A309" t="n">
        <v>91</v>
      </c>
      <c r="B309" t="n">
        <v>7943</v>
      </c>
      <c r="C309" t="inlineStr">
        <is>
          <t>DIEBOLD</t>
        </is>
      </c>
      <c r="D309" t="inlineStr">
        <is>
          <t>DIEBOLD</t>
        </is>
      </c>
      <c r="E309" s="3" t="n">
        <v>46093</v>
      </c>
      <c r="F309" s="3" t="n">
        <v>46092</v>
      </c>
      <c r="G309" t="inlineStr">
        <is>
          <t>09:33:00</t>
        </is>
      </c>
      <c r="H309" t="n">
        <v>267821450</v>
      </c>
      <c r="I309" t="n">
        <v>253664450</v>
      </c>
      <c r="J309" t="n">
        <v>0</v>
      </c>
      <c r="K309" t="n">
        <v>5002000</v>
      </c>
      <c r="L309" t="n">
        <v>-1874000</v>
      </c>
      <c r="M309">
        <f>I309-(H309+J309-K309)- L309</f>
        <v/>
      </c>
      <c r="N309">
        <f>IF(M309=0,"Cuadrado",IF(M309&gt;0,"Faltante","Sobrante"))</f>
        <v/>
      </c>
      <c r="O309" t="inlineStr">
        <is>
          <t>La diferencia es contabilizada por la Gerencia De Autoservicios y Efectivo de manera centralizada a la cuenta de sobrantes 279510020 el 12/03/2026</t>
        </is>
      </c>
      <c r="P309" t="n">
        <v>1067844638</v>
      </c>
    </row>
    <row r="310">
      <c r="A310" t="n">
        <v>693</v>
      </c>
      <c r="B310" t="n">
        <v>7979</v>
      </c>
      <c r="C310" t="inlineStr">
        <is>
          <t>BELLTECH</t>
        </is>
      </c>
      <c r="D310" t="inlineStr">
        <is>
          <t>BELLTECH</t>
        </is>
      </c>
      <c r="E310" s="3" t="n">
        <v>46093</v>
      </c>
      <c r="F310" s="3" t="n">
        <v>46092</v>
      </c>
      <c r="G310" t="inlineStr">
        <is>
          <t>10:41:00</t>
        </is>
      </c>
      <c r="H310" t="n">
        <v>104759900</v>
      </c>
      <c r="I310" t="n">
        <v>89777050</v>
      </c>
      <c r="J310" t="n">
        <v>1000000</v>
      </c>
      <c r="K310" t="n">
        <v>15352850</v>
      </c>
      <c r="M310">
        <f>I310-(H310+J310-K310)- L310</f>
        <v/>
      </c>
      <c r="N310">
        <f>IF(M310=0,"Cuadrado",IF(M310&gt;0,"Faltante","Sobrante"))</f>
        <v/>
      </c>
      <c r="O310" t="inlineStr">
        <is>
          <t>La diferencia es contabilizada por la Gerencia De Autoservicios y Efectivo de manera centralizada a la cuenta de sobrantes 279510020 el 12/03/2026</t>
        </is>
      </c>
      <c r="P310" t="n">
        <v>98557134</v>
      </c>
    </row>
    <row r="311">
      <c r="A311" t="n">
        <v>569</v>
      </c>
      <c r="B311" t="n">
        <v>8129</v>
      </c>
      <c r="C311" t="inlineStr">
        <is>
          <t>DIEBOLD</t>
        </is>
      </c>
      <c r="D311" t="inlineStr">
        <is>
          <t>DIEBOLD</t>
        </is>
      </c>
      <c r="E311" s="3" t="n">
        <v>46093</v>
      </c>
      <c r="F311" s="3" t="n">
        <v>46092</v>
      </c>
      <c r="G311" t="inlineStr">
        <is>
          <t>09:58:00</t>
        </is>
      </c>
      <c r="H311" t="n">
        <v>244617900</v>
      </c>
      <c r="I311" t="n">
        <v>250763150</v>
      </c>
      <c r="J311" t="n">
        <v>6150000</v>
      </c>
      <c r="K311" t="n">
        <v>0</v>
      </c>
      <c r="M311">
        <f>I311-(H311+J311-K311)- L311</f>
        <v/>
      </c>
      <c r="N311">
        <f>IF(M311=0,"Cuadrado",IF(M311&gt;0,"Faltante","Sobrante"))</f>
        <v/>
      </c>
      <c r="O311" t="inlineStr">
        <is>
          <t>La diferencia es contabilizada por la Gerencia De Autoservicios y Efectivo de manera centralizada a la cuenta de sobrantes 279510020 el 12/03/2026</t>
        </is>
      </c>
      <c r="P311" t="n">
        <v>10779993</v>
      </c>
    </row>
    <row r="312">
      <c r="A312" t="n">
        <v>291</v>
      </c>
      <c r="B312" t="n">
        <v>8139</v>
      </c>
      <c r="C312" t="inlineStr">
        <is>
          <t>DIEBOLD</t>
        </is>
      </c>
      <c r="D312" t="inlineStr">
        <is>
          <t>DIEBOLD</t>
        </is>
      </c>
      <c r="E312" s="3" t="n">
        <v>46093</v>
      </c>
      <c r="F312" s="3" t="n">
        <v>46092</v>
      </c>
      <c r="G312" t="inlineStr">
        <is>
          <t>09:29:00</t>
        </is>
      </c>
      <c r="H312" t="n">
        <v>191207450</v>
      </c>
      <c r="I312" t="n">
        <v>190428450</v>
      </c>
      <c r="J312" t="n">
        <v>0</v>
      </c>
      <c r="K312" t="n">
        <v>650000</v>
      </c>
      <c r="M312">
        <f>I312-(H312+J312-K312)- L312</f>
        <v/>
      </c>
      <c r="N312">
        <f>IF(M312=0,"Cuadrado",IF(M312&gt;0,"Faltante","Sobrante"))</f>
        <v/>
      </c>
      <c r="O312" t="inlineStr">
        <is>
          <t>La diferencia es contabilizada por la Gerencia De Autoservicios y Efectivo de manera centralizada a la cuenta de sobrantes 279510020 el 12/03/2026</t>
        </is>
      </c>
      <c r="P312" t="n">
        <v>1095930956</v>
      </c>
    </row>
    <row r="313">
      <c r="A313" t="n">
        <v>769</v>
      </c>
      <c r="B313" t="n">
        <v>8679</v>
      </c>
      <c r="C313" t="inlineStr">
        <is>
          <t>BELLTECH</t>
        </is>
      </c>
      <c r="D313" t="inlineStr">
        <is>
          <t>BELLTECH</t>
        </is>
      </c>
      <c r="E313" s="3" t="n">
        <v>46093</v>
      </c>
      <c r="F313" s="3" t="n">
        <v>46092</v>
      </c>
      <c r="G313" t="inlineStr">
        <is>
          <t>09:26:00</t>
        </is>
      </c>
      <c r="H313" t="n">
        <v>75467600</v>
      </c>
      <c r="I313" t="n">
        <v>62265600</v>
      </c>
      <c r="J313" t="n">
        <v>810000</v>
      </c>
      <c r="K313" t="n">
        <v>4080000</v>
      </c>
      <c r="M313">
        <f>I313-(H313+J313-K313)- L313</f>
        <v/>
      </c>
      <c r="N313">
        <f>IF(M313=0,"Cuadrado",IF(M313&gt;0,"Faltante","Sobrante"))</f>
        <v/>
      </c>
      <c r="O313" t="inlineStr">
        <is>
          <t>REPITIERON ARQUEO</t>
        </is>
      </c>
      <c r="P313" t="n">
        <v>1129580385</v>
      </c>
    </row>
    <row r="314">
      <c r="A314" t="n">
        <v>85</v>
      </c>
      <c r="B314" t="n">
        <v>8974</v>
      </c>
      <c r="C314" t="inlineStr">
        <is>
          <t>BELLTECH</t>
        </is>
      </c>
      <c r="D314" t="inlineStr">
        <is>
          <t>BELLTECH</t>
        </is>
      </c>
      <c r="E314" s="3" t="n">
        <v>46093</v>
      </c>
      <c r="F314" s="3" t="n">
        <v>46092</v>
      </c>
      <c r="G314" t="inlineStr">
        <is>
          <t>17:19:00</t>
        </is>
      </c>
      <c r="H314" t="n">
        <v>185138700</v>
      </c>
      <c r="I314" t="n">
        <v>125304500</v>
      </c>
      <c r="J314" t="n">
        <v>11770000</v>
      </c>
      <c r="K314" t="n">
        <v>177784000</v>
      </c>
      <c r="L314" t="n">
        <v>106614000</v>
      </c>
      <c r="M314">
        <f>I314-(H314+J314-K314)- L314</f>
        <v/>
      </c>
      <c r="N314">
        <f>IF(M314=0,"Cuadrado",IF(M314&gt;0,"Faltante","Sobrante"))</f>
        <v/>
      </c>
      <c r="O314" t="inlineStr">
        <is>
          <t>La diferencia es contabilizada por la Gerencia De Autoservicios y Efectivo de manera centralizada a la cuenta de sobrantes 279510020 el 12/03/2026</t>
        </is>
      </c>
      <c r="P314" t="n">
        <v>1047413788</v>
      </c>
    </row>
    <row r="315">
      <c r="A315" t="n">
        <v>957</v>
      </c>
      <c r="B315" t="n">
        <v>9512</v>
      </c>
      <c r="C315" t="inlineStr">
        <is>
          <t>BELLTECH</t>
        </is>
      </c>
      <c r="D315" t="inlineStr">
        <is>
          <t>BELLTECH</t>
        </is>
      </c>
      <c r="E315" s="3" t="n">
        <v>46093</v>
      </c>
      <c r="F315" s="3" t="n">
        <v>46092</v>
      </c>
      <c r="G315" t="inlineStr">
        <is>
          <t>10:06:00</t>
        </is>
      </c>
      <c r="H315" t="n">
        <v>177716500</v>
      </c>
      <c r="I315" t="n">
        <v>169729500</v>
      </c>
      <c r="J315" t="n">
        <v>7910000</v>
      </c>
      <c r="K315" t="n">
        <v>15947000</v>
      </c>
      <c r="M315">
        <f>I315-(H315+J315-K315)- L315</f>
        <v/>
      </c>
      <c r="N315">
        <f>IF(M315=0,"Cuadrado",IF(M315&gt;0,"Faltante","Sobrante"))</f>
        <v/>
      </c>
      <c r="O315" t="inlineStr">
        <is>
          <t>ACLARAR DIFERENCIA Y REPETIR EL ARQUEO</t>
        </is>
      </c>
      <c r="P315" t="n">
        <v>72290314</v>
      </c>
    </row>
    <row r="316">
      <c r="A316" t="n">
        <v>957</v>
      </c>
      <c r="B316" t="n">
        <v>9513</v>
      </c>
      <c r="C316" t="inlineStr">
        <is>
          <t>BELLTECH</t>
        </is>
      </c>
      <c r="D316" t="inlineStr">
        <is>
          <t>BELLTECH</t>
        </is>
      </c>
      <c r="E316" s="3" t="n">
        <v>46093</v>
      </c>
      <c r="F316" s="3" t="n">
        <v>46092</v>
      </c>
      <c r="G316" t="inlineStr">
        <is>
          <t>11:00:00</t>
        </is>
      </c>
      <c r="H316" t="n">
        <v>87742600</v>
      </c>
      <c r="I316" t="n">
        <v>63605900</v>
      </c>
      <c r="J316" t="n">
        <v>10600000</v>
      </c>
      <c r="K316" t="n">
        <v>35691000</v>
      </c>
      <c r="M316">
        <f>I316-(H316+J316-K316)- L316</f>
        <v/>
      </c>
      <c r="N316">
        <f>IF(M316=0,"Cuadrado",IF(M316&gt;0,"Faltante","Sobrante"))</f>
        <v/>
      </c>
      <c r="O316" t="inlineStr">
        <is>
          <t>La diferencia es contabilizada por la Gerencia De Autoservicios y Efectivo de manera centralizada a la cuenta de faltantes 168710093 el 12/03/2026, esta diferencia ingresa a proceso de investigación en el área para identificar a que corresponde.</t>
        </is>
      </c>
      <c r="P316" t="n">
        <v>72290314</v>
      </c>
    </row>
    <row r="317">
      <c r="A317" t="n">
        <v>516</v>
      </c>
      <c r="B317" t="n">
        <v>9729</v>
      </c>
      <c r="C317" t="inlineStr">
        <is>
          <t>BELLTECH</t>
        </is>
      </c>
      <c r="D317" t="inlineStr">
        <is>
          <t>BELLTECH</t>
        </is>
      </c>
      <c r="E317" s="3" t="n">
        <v>46093</v>
      </c>
      <c r="F317" s="3" t="n">
        <v>46092</v>
      </c>
      <c r="G317" t="inlineStr">
        <is>
          <t>09:15:00</t>
        </is>
      </c>
      <c r="H317" t="n">
        <v>254974150</v>
      </c>
      <c r="I317" t="n">
        <v>307136750</v>
      </c>
      <c r="J317" t="n">
        <v>0</v>
      </c>
      <c r="K317" t="n">
        <v>0</v>
      </c>
      <c r="L317" t="n">
        <v>-1377400</v>
      </c>
      <c r="M317">
        <f>I317-(H317+J317-K317)- L317</f>
        <v/>
      </c>
      <c r="N317">
        <f>IF(M317=0,"Cuadrado",IF(M317&gt;0,"Faltante","Sobrante"))</f>
        <v/>
      </c>
      <c r="O317" t="inlineStr">
        <is>
          <t>REPITIERON ARQUEO</t>
        </is>
      </c>
      <c r="P317" t="n">
        <v>1102850956</v>
      </c>
    </row>
    <row r="318">
      <c r="A318" t="n">
        <v>481</v>
      </c>
      <c r="B318" t="n">
        <v>1010</v>
      </c>
      <c r="C318" t="inlineStr">
        <is>
          <t>BELLTECH</t>
        </is>
      </c>
      <c r="D318" t="inlineStr">
        <is>
          <t>BELLTECH</t>
        </is>
      </c>
      <c r="E318" s="3" t="n">
        <v>46093</v>
      </c>
      <c r="F318" s="3" t="n">
        <v>46092</v>
      </c>
      <c r="G318" t="inlineStr">
        <is>
          <t>09:19:00</t>
        </is>
      </c>
      <c r="H318" t="n">
        <v>205089950</v>
      </c>
      <c r="I318" t="n">
        <v>205089950</v>
      </c>
      <c r="J318" t="n">
        <v>0</v>
      </c>
      <c r="K318" t="n">
        <v>0</v>
      </c>
      <c r="M318">
        <f>I318-(H318+J318-K318)- L318</f>
        <v/>
      </c>
      <c r="N318">
        <f>IF(M318=0,"Cuadrado",IF(M318&gt;0,"Faltante","Sobrante"))</f>
        <v/>
      </c>
      <c r="O318" t="inlineStr">
        <is>
          <t>Cajero cuadrado, sin observación por parte de la sucursal</t>
        </is>
      </c>
      <c r="P318" t="n">
        <v>1143439387</v>
      </c>
    </row>
    <row r="319">
      <c r="A319" t="n">
        <v>795</v>
      </c>
      <c r="B319" t="n">
        <v>1029</v>
      </c>
      <c r="C319" t="inlineStr">
        <is>
          <t>BELLTECH</t>
        </is>
      </c>
      <c r="D319" t="inlineStr">
        <is>
          <t>BELLTECH</t>
        </is>
      </c>
      <c r="E319" s="3" t="n">
        <v>46093</v>
      </c>
      <c r="F319" s="3" t="n">
        <v>46092</v>
      </c>
      <c r="G319" t="inlineStr">
        <is>
          <t>10:14:00</t>
        </is>
      </c>
      <c r="H319" t="n">
        <v>118626650</v>
      </c>
      <c r="I319" t="n">
        <v>116766650</v>
      </c>
      <c r="J319" t="n">
        <v>6750000</v>
      </c>
      <c r="K319" t="n">
        <v>8610000</v>
      </c>
      <c r="M319">
        <f>I319-(H319+J319-K319)- L319</f>
        <v/>
      </c>
      <c r="N319">
        <f>IF(M319=0,"Cuadrado",IF(M319&gt;0,"Faltante","Sobrante"))</f>
        <v/>
      </c>
      <c r="O319" t="inlineStr">
        <is>
          <t>Cajero cuadrado, sin observación por parte de la sucursal</t>
        </is>
      </c>
      <c r="P319" t="n">
        <v>91274094</v>
      </c>
    </row>
    <row r="320">
      <c r="A320" t="n">
        <v>32</v>
      </c>
      <c r="B320" t="n">
        <v>5027</v>
      </c>
      <c r="C320" t="inlineStr">
        <is>
          <t>BELLTECH</t>
        </is>
      </c>
      <c r="D320" t="inlineStr">
        <is>
          <t>BELLTECH</t>
        </is>
      </c>
      <c r="E320" s="3" t="n">
        <v>46093</v>
      </c>
      <c r="F320" s="3" t="n">
        <v>46092</v>
      </c>
      <c r="G320" t="inlineStr">
        <is>
          <t>08:13:00</t>
        </is>
      </c>
      <c r="H320" t="n">
        <v>454630750</v>
      </c>
      <c r="I320" t="n">
        <v>454630750</v>
      </c>
      <c r="J320" t="n">
        <v>0</v>
      </c>
      <c r="K320" t="n">
        <v>0</v>
      </c>
      <c r="M320">
        <f>I320-(H320+J320-K320)- L320</f>
        <v/>
      </c>
      <c r="N320">
        <f>IF(M320=0,"Cuadrado",IF(M320&gt;0,"Faltante","Sobrante"))</f>
        <v/>
      </c>
      <c r="O320" t="inlineStr">
        <is>
          <t>Cajero cuadrado, sin observación por parte de la sucursal</t>
        </is>
      </c>
      <c r="P320" t="n">
        <v>79750158</v>
      </c>
    </row>
    <row r="321">
      <c r="A321" t="n">
        <v>517</v>
      </c>
      <c r="B321" t="n">
        <v>5053</v>
      </c>
      <c r="C321" t="inlineStr">
        <is>
          <t>BELLTECH</t>
        </is>
      </c>
      <c r="D321" t="inlineStr">
        <is>
          <t>BELLTECH</t>
        </is>
      </c>
      <c r="E321" s="3" t="n">
        <v>46093</v>
      </c>
      <c r="F321" s="3" t="n">
        <v>46092</v>
      </c>
      <c r="G321" t="inlineStr">
        <is>
          <t>09:04:00</t>
        </is>
      </c>
      <c r="H321" t="n">
        <v>241524550</v>
      </c>
      <c r="I321" t="n">
        <v>241524550</v>
      </c>
      <c r="J321" t="n">
        <v>0</v>
      </c>
      <c r="K321" t="n">
        <v>0</v>
      </c>
      <c r="M321">
        <f>I321-(H321+J321-K321)- L321</f>
        <v/>
      </c>
      <c r="N321">
        <f>IF(M321=0,"Cuadrado",IF(M321&gt;0,"Faltante","Sobrante"))</f>
        <v/>
      </c>
      <c r="O321" t="inlineStr">
        <is>
          <t>Cajero cuadrado, sin observación por parte de la sucursal</t>
        </is>
      </c>
      <c r="P321" t="n">
        <v>1083026284</v>
      </c>
    </row>
    <row r="322">
      <c r="A322" t="n">
        <v>115</v>
      </c>
      <c r="B322" t="n">
        <v>5080</v>
      </c>
      <c r="C322" t="inlineStr">
        <is>
          <t>BELLTECH</t>
        </is>
      </c>
      <c r="D322" t="inlineStr">
        <is>
          <t>BELLTECH</t>
        </is>
      </c>
      <c r="E322" s="3" t="n">
        <v>46093</v>
      </c>
      <c r="F322" s="3" t="n">
        <v>46092</v>
      </c>
      <c r="G322" t="inlineStr">
        <is>
          <t>09:03:00</t>
        </is>
      </c>
      <c r="H322" t="n">
        <v>307006600</v>
      </c>
      <c r="I322" t="n">
        <v>295086600</v>
      </c>
      <c r="J322" t="n">
        <v>180000</v>
      </c>
      <c r="K322" t="n">
        <v>12100000</v>
      </c>
      <c r="M322">
        <f>I322-(H322+J322-K322)- L322</f>
        <v/>
      </c>
      <c r="N322">
        <f>IF(M322=0,"Cuadrado",IF(M322&gt;0,"Faltante","Sobrante"))</f>
        <v/>
      </c>
      <c r="O322" t="inlineStr">
        <is>
          <t>Cajero cuadrado, sin observación por parte de la sucursal</t>
        </is>
      </c>
      <c r="P322" t="n">
        <v>42158306</v>
      </c>
    </row>
    <row r="323">
      <c r="A323" t="n">
        <v>318</v>
      </c>
      <c r="B323" t="n">
        <v>5136</v>
      </c>
      <c r="C323" t="inlineStr">
        <is>
          <t>BELLTECH</t>
        </is>
      </c>
      <c r="D323" t="inlineStr">
        <is>
          <t>BELLTECH</t>
        </is>
      </c>
      <c r="E323" s="3" t="n">
        <v>46093</v>
      </c>
      <c r="F323" s="3" t="n">
        <v>46092</v>
      </c>
      <c r="G323" t="inlineStr">
        <is>
          <t>09:22:00</t>
        </is>
      </c>
      <c r="H323" t="n">
        <v>394667050</v>
      </c>
      <c r="I323" t="n">
        <v>310297050</v>
      </c>
      <c r="J323" t="n">
        <v>2880000</v>
      </c>
      <c r="K323" t="n">
        <v>87250000</v>
      </c>
      <c r="M323">
        <f>I323-(H323+J323-K323)- L323</f>
        <v/>
      </c>
      <c r="N323">
        <f>IF(M323=0,"Cuadrado",IF(M323&gt;0,"Faltante","Sobrante"))</f>
        <v/>
      </c>
      <c r="O323" t="inlineStr">
        <is>
          <t>Cajero cuadrado, sin observación por parte de la sucursal</t>
        </is>
      </c>
      <c r="P323" t="n">
        <v>1065862494</v>
      </c>
    </row>
    <row r="324">
      <c r="A324" t="n">
        <v>725</v>
      </c>
      <c r="B324" t="n">
        <v>5166</v>
      </c>
      <c r="C324" t="inlineStr">
        <is>
          <t>BELLTECH</t>
        </is>
      </c>
      <c r="D324" t="inlineStr">
        <is>
          <t>BELLTECH</t>
        </is>
      </c>
      <c r="E324" s="3" t="n">
        <v>46093</v>
      </c>
      <c r="F324" s="3" t="n">
        <v>46092</v>
      </c>
      <c r="G324" t="inlineStr">
        <is>
          <t>09:14:00</t>
        </is>
      </c>
      <c r="H324" t="n">
        <v>249486000</v>
      </c>
      <c r="I324" t="n">
        <v>216256000</v>
      </c>
      <c r="J324" t="n">
        <v>770000</v>
      </c>
      <c r="K324" t="n">
        <v>34000000</v>
      </c>
      <c r="L324" t="n">
        <v>0</v>
      </c>
      <c r="M324">
        <f>I324-(H324+J324-K324)- L324</f>
        <v/>
      </c>
      <c r="N324">
        <f>IF(M324=0,"Cuadrado",IF(M324&gt;0,"Faltante","Sobrante"))</f>
        <v/>
      </c>
      <c r="O324" t="inlineStr">
        <is>
          <t>El faltante $40.000 es cruzado con sobrante contabilizado el día 11/03/2026 el cual es reversado por la seccion el día 12/03/2026</t>
        </is>
      </c>
      <c r="P324" t="n">
        <v>1093220078</v>
      </c>
    </row>
    <row r="325">
      <c r="A325" t="n">
        <v>302</v>
      </c>
      <c r="B325" t="n">
        <v>5170</v>
      </c>
      <c r="C325" t="inlineStr">
        <is>
          <t>BELLTECH</t>
        </is>
      </c>
      <c r="D325" t="inlineStr">
        <is>
          <t>BELLTECH</t>
        </is>
      </c>
      <c r="E325" s="3" t="n">
        <v>46093</v>
      </c>
      <c r="F325" s="3" t="n">
        <v>46092</v>
      </c>
      <c r="G325" t="inlineStr">
        <is>
          <t>09:13:00</t>
        </is>
      </c>
      <c r="H325" t="n">
        <v>165896900</v>
      </c>
      <c r="I325" t="n">
        <v>176856900</v>
      </c>
      <c r="J325" t="n">
        <v>11760000</v>
      </c>
      <c r="K325" t="n">
        <v>800000</v>
      </c>
      <c r="L325" t="n">
        <v>10000</v>
      </c>
      <c r="M325">
        <f>I325-(H325+J325-K325)- L325</f>
        <v/>
      </c>
      <c r="N325">
        <f>IF(M325=0,"Cuadrado",IF(M325&gt;0,"Faltante","Sobrante"))</f>
        <v/>
      </c>
      <c r="O325" t="inlineStr">
        <is>
          <t>La diferencia es contabilizada por la Gerencia De Autoservicios y Efectivo de manera centralizada a la cuenta de sobrantes 279510020 el 12/03/2026</t>
        </is>
      </c>
      <c r="P325" t="n">
        <v>1102374502</v>
      </c>
    </row>
    <row r="326">
      <c r="A326" t="n">
        <v>93</v>
      </c>
      <c r="B326" t="n">
        <v>7126</v>
      </c>
      <c r="C326" t="inlineStr">
        <is>
          <t>BELLTECH</t>
        </is>
      </c>
      <c r="D326" t="inlineStr">
        <is>
          <t>BELLTECH</t>
        </is>
      </c>
      <c r="E326" s="3" t="n">
        <v>46093</v>
      </c>
      <c r="F326" s="3" t="n">
        <v>46092</v>
      </c>
      <c r="G326" t="inlineStr">
        <is>
          <t>14:08:00</t>
        </is>
      </c>
      <c r="H326" t="n">
        <v>249527800</v>
      </c>
      <c r="I326" t="n">
        <v>231651150</v>
      </c>
      <c r="J326" t="n">
        <v>13790000</v>
      </c>
      <c r="K326" t="n">
        <v>31666650</v>
      </c>
      <c r="M326">
        <f>I326-(H326+J326-K326)- L326</f>
        <v/>
      </c>
      <c r="N326">
        <f>IF(M326=0,"Cuadrado",IF(M326&gt;0,"Faltante","Sobrante"))</f>
        <v/>
      </c>
      <c r="O326" t="inlineStr">
        <is>
          <t>Cajero cuadrado, sin observación por parte de la sucursal</t>
        </is>
      </c>
      <c r="P326" t="n">
        <v>1067931735</v>
      </c>
    </row>
    <row r="327">
      <c r="A327" t="n">
        <v>725</v>
      </c>
      <c r="B327" t="n">
        <v>8090</v>
      </c>
      <c r="C327" t="inlineStr">
        <is>
          <t>BELLTECH</t>
        </is>
      </c>
      <c r="D327" t="inlineStr">
        <is>
          <t>BELLTECH</t>
        </is>
      </c>
      <c r="E327" s="3" t="n">
        <v>46093</v>
      </c>
      <c r="F327" s="3" t="n">
        <v>46092</v>
      </c>
      <c r="G327" t="inlineStr">
        <is>
          <t>09:52:00</t>
        </is>
      </c>
      <c r="H327" t="n">
        <v>147875200</v>
      </c>
      <c r="I327" t="n">
        <v>145705200</v>
      </c>
      <c r="J327" t="n">
        <v>2380000</v>
      </c>
      <c r="K327" t="n">
        <v>4550000</v>
      </c>
      <c r="M327">
        <f>I327-(H327+J327-K327)- L327</f>
        <v/>
      </c>
      <c r="N327">
        <f>IF(M327=0,"Cuadrado",IF(M327&gt;0,"Faltante","Sobrante"))</f>
        <v/>
      </c>
      <c r="O327" t="inlineStr">
        <is>
          <t>Cajero cuadrado, sin observación por parte de la sucursal</t>
        </is>
      </c>
      <c r="P327" t="n">
        <v>1093220078</v>
      </c>
    </row>
    <row r="328">
      <c r="A328" t="n">
        <v>556</v>
      </c>
      <c r="B328" t="n">
        <v>8333</v>
      </c>
      <c r="C328" t="inlineStr">
        <is>
          <t>BELLTECH</t>
        </is>
      </c>
      <c r="D328" t="inlineStr">
        <is>
          <t>BELLTECH</t>
        </is>
      </c>
      <c r="E328" s="3" t="n">
        <v>46093</v>
      </c>
      <c r="F328" s="3" t="n">
        <v>46092</v>
      </c>
      <c r="G328" t="inlineStr">
        <is>
          <t>09:00:00</t>
        </is>
      </c>
      <c r="H328" t="n">
        <v>532663450</v>
      </c>
      <c r="I328" t="n">
        <v>521247450</v>
      </c>
      <c r="J328" t="n">
        <v>2340000</v>
      </c>
      <c r="K328" t="n">
        <v>13756000</v>
      </c>
      <c r="M328">
        <f>I328-(H328+J328-K328)- L328</f>
        <v/>
      </c>
      <c r="N328">
        <f>IF(M328=0,"Cuadrado",IF(M328&gt;0,"Faltante","Sobrante"))</f>
        <v/>
      </c>
      <c r="O328" t="inlineStr">
        <is>
          <t>Cajero cuadrado, sin observación por parte de la sucursal</t>
        </is>
      </c>
      <c r="P328" t="n">
        <v>39450196</v>
      </c>
    </row>
    <row r="329">
      <c r="A329" t="n">
        <v>333</v>
      </c>
      <c r="B329" t="n">
        <v>442</v>
      </c>
      <c r="C329" t="inlineStr">
        <is>
          <t>DIEBOLD</t>
        </is>
      </c>
      <c r="D329" t="inlineStr">
        <is>
          <t>DIEBOLD</t>
        </is>
      </c>
      <c r="E329" s="3" t="n">
        <v>46092</v>
      </c>
      <c r="F329" s="3" t="n">
        <v>46091</v>
      </c>
      <c r="G329" t="inlineStr">
        <is>
          <t>10:34:00</t>
        </is>
      </c>
      <c r="H329" t="n">
        <v>59695600</v>
      </c>
      <c r="I329" t="n">
        <v>223551100</v>
      </c>
      <c r="J329" t="n">
        <v>3770000</v>
      </c>
      <c r="K329" t="n">
        <v>14578000</v>
      </c>
      <c r="M329">
        <f>I329-(H329+J329-K329)- L329</f>
        <v/>
      </c>
      <c r="N329">
        <f>IF(M329=0,"Cuadrado",IF(M329&gt;0,"Faltante","Sobrante"))</f>
        <v/>
      </c>
      <c r="O329" t="inlineStr">
        <is>
          <t>REPITIERON ARQUEO</t>
        </is>
      </c>
      <c r="P329" t="n">
        <v>1036606819</v>
      </c>
    </row>
    <row r="330">
      <c r="A330" t="n">
        <v>214</v>
      </c>
      <c r="B330" t="n">
        <v>1469</v>
      </c>
      <c r="C330" t="inlineStr">
        <is>
          <t>BELLTECH</t>
        </is>
      </c>
      <c r="D330" t="inlineStr">
        <is>
          <t>BELLTECH</t>
        </is>
      </c>
      <c r="E330" s="3" t="n">
        <v>46092</v>
      </c>
      <c r="F330" s="3" t="n">
        <v>46091</v>
      </c>
      <c r="G330" t="inlineStr">
        <is>
          <t>14:26:00</t>
        </is>
      </c>
      <c r="H330" t="n">
        <v>155476900</v>
      </c>
      <c r="I330" t="n">
        <v>88040900</v>
      </c>
      <c r="J330" t="n">
        <v>7960000</v>
      </c>
      <c r="K330" t="n">
        <v>75505000</v>
      </c>
      <c r="L330" t="n">
        <v>0</v>
      </c>
      <c r="M330">
        <f>I330-(H330+J330-K330)- L330</f>
        <v/>
      </c>
      <c r="N330">
        <f>IF(M330=0,"Cuadrado",IF(M330&gt;0,"Faltante","Sobrante"))</f>
        <v/>
      </c>
      <c r="O330" t="inlineStr">
        <is>
          <t>La diferencia es contabilizada por la Gerencia De Autoservicios y Efectivo de manera centralizada a la cuenta de faltantes 168710093 el 11/03/2026, esta diferencia ingresa a proceso de investigación en el área para identificar a que corresponde.
El faltante $1.181.000 es cruzado con sobrante contabilizado el día 10/03/2026 el cual es reversado por la seccion el día 11/03/2026</t>
        </is>
      </c>
      <c r="P330" t="n">
        <v>1143387256</v>
      </c>
    </row>
    <row r="331">
      <c r="A331" t="n">
        <v>692</v>
      </c>
      <c r="B331" t="n">
        <v>1515</v>
      </c>
      <c r="C331" t="inlineStr">
        <is>
          <t>BELLTECH</t>
        </is>
      </c>
      <c r="D331" t="inlineStr">
        <is>
          <t>BELLTECH</t>
        </is>
      </c>
      <c r="E331" s="3" t="n">
        <v>46092</v>
      </c>
      <c r="F331" s="3" t="n">
        <v>46091</v>
      </c>
      <c r="G331" t="inlineStr">
        <is>
          <t>10:13:00</t>
        </is>
      </c>
      <c r="H331" t="n">
        <v>89771450</v>
      </c>
      <c r="I331" t="n">
        <v>73017250</v>
      </c>
      <c r="J331" t="n">
        <v>5550000</v>
      </c>
      <c r="K331" t="n">
        <v>22304300</v>
      </c>
      <c r="M331">
        <f>I331-(H331+J331-K331)- L331</f>
        <v/>
      </c>
      <c r="N331">
        <f>IF(M331=0,"Cuadrado",IF(M331&gt;0,"Faltante","Sobrante"))</f>
        <v/>
      </c>
      <c r="O331" t="inlineStr">
        <is>
          <t>La diferencia es contabilizada por la Gerencia De Autoservicios y Efectivo de manera centralizada a la cuenta de faltantes 168710093 el 11/03/2026, esta diferencia ingresa a proceso de investigación en el área para identificar a que corresponde.</t>
        </is>
      </c>
      <c r="P331" t="n">
        <v>30840635</v>
      </c>
    </row>
    <row r="332">
      <c r="A332" t="n">
        <v>692</v>
      </c>
      <c r="B332" t="n">
        <v>1516</v>
      </c>
      <c r="C332" t="inlineStr">
        <is>
          <t>BELLTECH</t>
        </is>
      </c>
      <c r="D332" t="inlineStr">
        <is>
          <t>BELLTECH</t>
        </is>
      </c>
      <c r="E332" s="3" t="n">
        <v>46092</v>
      </c>
      <c r="F332" s="3" t="n">
        <v>46091</v>
      </c>
      <c r="G332" t="inlineStr">
        <is>
          <t>10:39:00</t>
        </is>
      </c>
      <c r="H332" t="n">
        <v>51417200</v>
      </c>
      <c r="I332" t="n">
        <v>43962300</v>
      </c>
      <c r="J332" t="n">
        <v>4370000</v>
      </c>
      <c r="K332" t="n">
        <v>11825000</v>
      </c>
      <c r="M332">
        <f>I332-(H332+J332-K332)- L332</f>
        <v/>
      </c>
      <c r="N332">
        <f>IF(M332=0,"Cuadrado",IF(M332&gt;0,"Faltante","Sobrante"))</f>
        <v/>
      </c>
      <c r="O332" t="inlineStr">
        <is>
          <t>La diferencia es contabilizada por la Gerencia De Autoservicios y Efectivo de manera centralizada a la cuenta de faltantes 168710093 el 11/03/2026, esta diferencia ingresa a proceso de investigación en el área para identificar a que corresponde.</t>
        </is>
      </c>
      <c r="P332" t="n">
        <v>30840635</v>
      </c>
    </row>
    <row r="333">
      <c r="A333" t="n">
        <v>395</v>
      </c>
      <c r="B333" t="n">
        <v>1528</v>
      </c>
      <c r="C333" t="inlineStr">
        <is>
          <t>BELLTECH</t>
        </is>
      </c>
      <c r="D333" t="inlineStr">
        <is>
          <t>BELLTECH</t>
        </is>
      </c>
      <c r="E333" s="3" t="n">
        <v>46092</v>
      </c>
      <c r="F333" s="3" t="n">
        <v>46091</v>
      </c>
      <c r="G333" t="inlineStr">
        <is>
          <t>09:12:00</t>
        </is>
      </c>
      <c r="H333" t="n">
        <v>247877350</v>
      </c>
      <c r="I333" t="n">
        <v>229078750</v>
      </c>
      <c r="J333" t="n">
        <v>1700000</v>
      </c>
      <c r="K333" t="n">
        <v>0</v>
      </c>
      <c r="L333" t="n">
        <v>-20498600</v>
      </c>
      <c r="M333">
        <f>I333-(H333+J333-K333)- L333</f>
        <v/>
      </c>
      <c r="N333">
        <f>IF(M333=0,"Cuadrado",IF(M333&gt;0,"Faltante","Sobrante"))</f>
        <v/>
      </c>
      <c r="O333" t="inlineStr">
        <is>
          <t>El faltante $1.300 es cruzado con sobrante contabilizado el día 10/03/2026 el cual es reversado por la seccion el día 11/03/2026</t>
        </is>
      </c>
      <c r="P333" t="n">
        <v>1121857901</v>
      </c>
    </row>
    <row r="334">
      <c r="A334" t="n">
        <v>395</v>
      </c>
      <c r="B334" t="n">
        <v>1529</v>
      </c>
      <c r="C334" t="inlineStr">
        <is>
          <t>BELLTECH</t>
        </is>
      </c>
      <c r="D334" t="inlineStr">
        <is>
          <t>BELLTECH</t>
        </is>
      </c>
      <c r="E334" s="3" t="n">
        <v>46092</v>
      </c>
      <c r="F334" s="3" t="n">
        <v>46091</v>
      </c>
      <c r="G334" t="inlineStr">
        <is>
          <t>10:01:00</t>
        </is>
      </c>
      <c r="H334" t="n">
        <v>278497800</v>
      </c>
      <c r="I334" t="n">
        <v>234927800</v>
      </c>
      <c r="J334" t="n">
        <v>3200000</v>
      </c>
      <c r="K334" t="n">
        <v>11000000</v>
      </c>
      <c r="L334" t="n">
        <v>-35770000</v>
      </c>
      <c r="M334">
        <f>I334-(H334+J334-K334)- L334</f>
        <v/>
      </c>
      <c r="N334">
        <f>IF(M334=0,"Cuadrado",IF(M334&gt;0,"Faltante","Sobrante"))</f>
        <v/>
      </c>
      <c r="O334" t="inlineStr">
        <is>
          <t>Cajero cuadrado, sin observación por parte de la sucursal</t>
        </is>
      </c>
      <c r="P334" t="n">
        <v>1121857901</v>
      </c>
    </row>
    <row r="335">
      <c r="A335" t="n">
        <v>167</v>
      </c>
      <c r="B335" t="n">
        <v>5030</v>
      </c>
      <c r="C335" t="inlineStr">
        <is>
          <t>BELLTECH</t>
        </is>
      </c>
      <c r="D335" t="inlineStr">
        <is>
          <t>BELLTECH</t>
        </is>
      </c>
      <c r="E335" s="3" t="n">
        <v>46092</v>
      </c>
      <c r="F335" s="3" t="n">
        <v>46091</v>
      </c>
      <c r="G335" t="inlineStr">
        <is>
          <t>11:29:00</t>
        </is>
      </c>
      <c r="H335" t="n">
        <v>390208900</v>
      </c>
      <c r="I335" t="n">
        <v>372430300</v>
      </c>
      <c r="J335" t="n">
        <v>6340000</v>
      </c>
      <c r="K335" t="n">
        <v>20411800</v>
      </c>
      <c r="M335">
        <f>I335-(H335+J335-K335)- L335</f>
        <v/>
      </c>
      <c r="N335">
        <f>IF(M335=0,"Cuadrado",IF(M335&gt;0,"Faltante","Sobrante"))</f>
        <v/>
      </c>
      <c r="O335" t="inlineStr">
        <is>
          <t>La diferencia es contabilizada por la Gerencia De Autoservicios y Efectivo de manera centralizada a la cuenta de sobrantes 279510020 el 11/03/2026</t>
        </is>
      </c>
      <c r="P335" t="n">
        <v>80076538</v>
      </c>
    </row>
    <row r="336">
      <c r="A336" t="n">
        <v>81</v>
      </c>
      <c r="B336" t="n">
        <v>5036</v>
      </c>
      <c r="C336" t="inlineStr">
        <is>
          <t>BELLTECH</t>
        </is>
      </c>
      <c r="D336" t="inlineStr">
        <is>
          <t>BELLTECH</t>
        </is>
      </c>
      <c r="E336" s="3" t="n">
        <v>46092</v>
      </c>
      <c r="F336" s="3" t="n">
        <v>46091</v>
      </c>
      <c r="G336" t="inlineStr">
        <is>
          <t>00:00:00</t>
        </is>
      </c>
      <c r="H336" t="n">
        <v>264980400</v>
      </c>
      <c r="I336" t="n">
        <v>256847400</v>
      </c>
      <c r="J336" t="n">
        <v>0</v>
      </c>
      <c r="K336" t="n">
        <v>0</v>
      </c>
      <c r="L336" t="n">
        <v>480000</v>
      </c>
      <c r="M336">
        <f>I336-(H336+J336-K336)- L336</f>
        <v/>
      </c>
      <c r="N336">
        <f>IF(M336=0,"Cuadrado",IF(M336&gt;0,"Faltante","Sobrante"))</f>
        <v/>
      </c>
      <c r="O336" t="inlineStr">
        <is>
          <t>La diferencia es contabilizada por la Gerencia De Autoservicios y Efectivo de manera centralizada a la cuenta de sobrantes 279510020 el 11/03/2026</t>
        </is>
      </c>
      <c r="P336" t="n">
        <v>78691277</v>
      </c>
    </row>
    <row r="337">
      <c r="A337" t="n">
        <v>154</v>
      </c>
      <c r="B337" t="n">
        <v>5041</v>
      </c>
      <c r="C337" t="inlineStr">
        <is>
          <t>BELLTECH</t>
        </is>
      </c>
      <c r="D337" t="inlineStr">
        <is>
          <t>BELLTECH</t>
        </is>
      </c>
      <c r="E337" s="3" t="n">
        <v>46092</v>
      </c>
      <c r="F337" s="3" t="n">
        <v>46091</v>
      </c>
      <c r="G337" t="inlineStr">
        <is>
          <t>10:02:00</t>
        </is>
      </c>
      <c r="H337" t="n">
        <v>41677350</v>
      </c>
      <c r="I337" t="n">
        <v>225529850</v>
      </c>
      <c r="J337" t="n">
        <v>5500000</v>
      </c>
      <c r="K337" t="n">
        <v>11655000</v>
      </c>
      <c r="L337" t="n">
        <v>192863000</v>
      </c>
      <c r="M337">
        <f>I337-(H337+J337-K337)- L337</f>
        <v/>
      </c>
      <c r="N337">
        <f>IF(M337=0,"Cuadrado",IF(M337&gt;0,"Faltante","Sobrante"))</f>
        <v/>
      </c>
      <c r="O337" t="inlineStr">
        <is>
          <t>La diferencia es contabilizada por la Gerencia De Autoservicios y Efectivo de manera centralizada a la cuenta de sobrantes 279510020 el 11/03/2026</t>
        </is>
      </c>
      <c r="P337" t="n">
        <v>1013581728</v>
      </c>
    </row>
    <row r="338">
      <c r="A338" t="n">
        <v>852</v>
      </c>
      <c r="B338" t="n">
        <v>5050</v>
      </c>
      <c r="C338" t="inlineStr">
        <is>
          <t>BELLTECH</t>
        </is>
      </c>
      <c r="D338" t="inlineStr">
        <is>
          <t>BELLTECH</t>
        </is>
      </c>
      <c r="E338" s="3" t="n">
        <v>46092</v>
      </c>
      <c r="F338" s="3" t="n">
        <v>46091</v>
      </c>
      <c r="G338" t="inlineStr">
        <is>
          <t>09:58:00</t>
        </is>
      </c>
      <c r="H338" t="n">
        <v>130873350</v>
      </c>
      <c r="I338" t="n">
        <v>131543350</v>
      </c>
      <c r="J338" t="n">
        <v>5720000</v>
      </c>
      <c r="K338" t="n">
        <v>5250000</v>
      </c>
      <c r="L338" t="n">
        <v>200000</v>
      </c>
      <c r="M338">
        <f>I338-(H338+J338-K338)- L338</f>
        <v/>
      </c>
      <c r="N338">
        <f>IF(M338=0,"Cuadrado",IF(M338&gt;0,"Faltante","Sobrante"))</f>
        <v/>
      </c>
      <c r="O338" t="inlineStr">
        <is>
          <t>El faltante $200.000 es cruzado con sobrante contabilizado el día 04/03/2026 el cual es reversado por la seccion el día 11/03/2026</t>
        </is>
      </c>
      <c r="P338" t="n">
        <v>1088251245</v>
      </c>
    </row>
    <row r="339">
      <c r="A339" t="n">
        <v>7</v>
      </c>
      <c r="B339" t="n">
        <v>5059</v>
      </c>
      <c r="C339" t="inlineStr">
        <is>
          <t>BELLTECH</t>
        </is>
      </c>
      <c r="D339" t="inlineStr">
        <is>
          <t>BELLTECH</t>
        </is>
      </c>
      <c r="E339" s="3" t="n">
        <v>46092</v>
      </c>
      <c r="F339" s="3" t="n">
        <v>46091</v>
      </c>
      <c r="G339" t="inlineStr">
        <is>
          <t>09:29:00</t>
        </is>
      </c>
      <c r="H339" t="n">
        <v>248127350</v>
      </c>
      <c r="I339" t="n">
        <v>244135150</v>
      </c>
      <c r="J339" t="n">
        <v>650000</v>
      </c>
      <c r="K339" t="n">
        <v>3250000</v>
      </c>
      <c r="L339" t="n">
        <v>-1392200</v>
      </c>
      <c r="M339">
        <f>I339-(H339+J339-K339)- L339</f>
        <v/>
      </c>
      <c r="N339">
        <f>IF(M339=0,"Cuadrado",IF(M339&gt;0,"Faltante","Sobrante"))</f>
        <v/>
      </c>
      <c r="O339" t="inlineStr">
        <is>
          <t>El faltante $217.800 es cruzado con sobrante contabilizado el día 10/03/2026 el cual es reversado por la seccion el día 11/03/2026</t>
        </is>
      </c>
      <c r="P339" t="n">
        <v>1020460907</v>
      </c>
    </row>
    <row r="340">
      <c r="A340" t="n">
        <v>333</v>
      </c>
      <c r="B340" t="n">
        <v>5076</v>
      </c>
      <c r="C340" t="inlineStr">
        <is>
          <t>BELLTECH</t>
        </is>
      </c>
      <c r="D340" t="inlineStr">
        <is>
          <t>BELLTECH</t>
        </is>
      </c>
      <c r="E340" s="3" t="n">
        <v>46092</v>
      </c>
      <c r="F340" s="3" t="n">
        <v>46091</v>
      </c>
      <c r="G340" t="inlineStr">
        <is>
          <t>11:10:00</t>
        </is>
      </c>
      <c r="H340" t="n">
        <v>74330550</v>
      </c>
      <c r="I340" t="n">
        <v>244405850</v>
      </c>
      <c r="J340" t="n">
        <v>9280000</v>
      </c>
      <c r="K340" t="n">
        <v>31447000</v>
      </c>
      <c r="L340" t="n">
        <v>191211800</v>
      </c>
      <c r="M340">
        <f>I340-(H340+J340-K340)- L340</f>
        <v/>
      </c>
      <c r="N340">
        <f>IF(M340=0,"Cuadrado",IF(M340&gt;0,"Faltante","Sobrante"))</f>
        <v/>
      </c>
      <c r="O340" t="inlineStr">
        <is>
          <t>La diferencia es contabilizada por la Gerencia De Autoservicios y Efectivo de manera centralizada a la cuenta de faltantes 168710093 el 11/03/2026, esta diferencia ingresa a proceso de investigación en el área para identificar a que corresponde.</t>
        </is>
      </c>
      <c r="P340" t="n">
        <v>1036606819</v>
      </c>
    </row>
    <row r="341">
      <c r="A341" t="n">
        <v>419</v>
      </c>
      <c r="B341" t="n">
        <v>5077</v>
      </c>
      <c r="C341" t="inlineStr">
        <is>
          <t>BELLTECH</t>
        </is>
      </c>
      <c r="D341" t="inlineStr">
        <is>
          <t>BELLTECH</t>
        </is>
      </c>
      <c r="E341" s="3" t="n">
        <v>46092</v>
      </c>
      <c r="F341" s="3" t="n">
        <v>46091</v>
      </c>
      <c r="G341" t="inlineStr">
        <is>
          <t>08:34:00</t>
        </is>
      </c>
      <c r="H341" t="n">
        <v>197190900</v>
      </c>
      <c r="I341" t="n">
        <v>188944900</v>
      </c>
      <c r="J341" t="n">
        <v>1500000</v>
      </c>
      <c r="K341" t="n">
        <v>350000</v>
      </c>
      <c r="M341">
        <f>I341-(H341+J341-K341)- L341</f>
        <v/>
      </c>
      <c r="N341">
        <f>IF(M341=0,"Cuadrado",IF(M341&gt;0,"Faltante","Sobrante"))</f>
        <v/>
      </c>
      <c r="O341" t="inlineStr">
        <is>
          <t>La diferencia es contabilizada por la Gerencia De Autoservicios y Efectivo de manera centralizada a la cuenta de sobrantes 279510020 el 11/03/2026</t>
        </is>
      </c>
      <c r="P341" t="n">
        <v>79248430</v>
      </c>
    </row>
    <row r="342">
      <c r="A342" t="n">
        <v>523</v>
      </c>
      <c r="B342" t="n">
        <v>5082</v>
      </c>
      <c r="C342" t="inlineStr">
        <is>
          <t>BELLTECH</t>
        </is>
      </c>
      <c r="D342" t="inlineStr">
        <is>
          <t>BELLTECH</t>
        </is>
      </c>
      <c r="E342" s="3" t="n">
        <v>46092</v>
      </c>
      <c r="F342" s="3" t="n">
        <v>46091</v>
      </c>
      <c r="G342" t="inlineStr">
        <is>
          <t>09:02:00</t>
        </is>
      </c>
      <c r="H342" t="n">
        <v>232296900</v>
      </c>
      <c r="I342" t="n">
        <v>175309750</v>
      </c>
      <c r="J342" t="n">
        <v>3000000</v>
      </c>
      <c r="K342" t="n">
        <v>49585950</v>
      </c>
      <c r="L342" t="n">
        <v>-10400050</v>
      </c>
      <c r="M342">
        <f>I342-(H342+J342-K342)- L342</f>
        <v/>
      </c>
      <c r="N342">
        <f>IF(M342=0,"Cuadrado",IF(M342&gt;0,"Faltante","Sobrante"))</f>
        <v/>
      </c>
      <c r="O342" t="inlineStr">
        <is>
          <t>La diferencia es contabilizada por la Gerencia De Autoservicios y Efectivo de manera centralizada a la cuenta de sobrantes 279510020 el 11/03/2026</t>
        </is>
      </c>
      <c r="P342" t="n">
        <v>1065609766</v>
      </c>
    </row>
    <row r="343">
      <c r="A343" t="n">
        <v>659</v>
      </c>
      <c r="B343" t="n">
        <v>5102</v>
      </c>
      <c r="C343" t="inlineStr">
        <is>
          <t>BELLTECH</t>
        </is>
      </c>
      <c r="D343" t="inlineStr">
        <is>
          <t>BELLTECH</t>
        </is>
      </c>
      <c r="E343" s="3" t="n">
        <v>46092</v>
      </c>
      <c r="F343" s="3" t="n">
        <v>46091</v>
      </c>
      <c r="G343" t="inlineStr">
        <is>
          <t>10:24:00</t>
        </is>
      </c>
      <c r="H343" t="n">
        <v>306329950</v>
      </c>
      <c r="I343" t="n">
        <v>304148950</v>
      </c>
      <c r="J343" t="n">
        <v>12900000</v>
      </c>
      <c r="K343" t="n">
        <v>15015000</v>
      </c>
      <c r="M343">
        <f>I343-(H343+J343-K343)- L343</f>
        <v/>
      </c>
      <c r="N343">
        <f>IF(M343=0,"Cuadrado",IF(M343&gt;0,"Faltante","Sobrante"))</f>
        <v/>
      </c>
      <c r="O343" t="inlineStr">
        <is>
          <t>La diferencia es contabilizada por la Gerencia De Autoservicios y Efectivo de manera centralizada a la cuenta de sobrantes 279510020 el 11/03/2026</t>
        </is>
      </c>
      <c r="P343" t="n">
        <v>39575034</v>
      </c>
    </row>
    <row r="344">
      <c r="A344" t="n">
        <v>191</v>
      </c>
      <c r="B344" t="n">
        <v>5112</v>
      </c>
      <c r="C344" t="inlineStr">
        <is>
          <t>BELLTECH</t>
        </is>
      </c>
      <c r="D344" t="inlineStr">
        <is>
          <t>BELLTECH</t>
        </is>
      </c>
      <c r="E344" s="3" t="n">
        <v>46092</v>
      </c>
      <c r="F344" s="3" t="n">
        <v>46091</v>
      </c>
      <c r="G344" t="inlineStr">
        <is>
          <t>15:01:00</t>
        </is>
      </c>
      <c r="H344" t="n">
        <v>241471100</v>
      </c>
      <c r="I344" t="n">
        <v>178543950</v>
      </c>
      <c r="J344" t="n">
        <v>14660000</v>
      </c>
      <c r="K344" t="n">
        <v>77586150</v>
      </c>
      <c r="M344">
        <f>I344-(H344+J344-K344)- L344</f>
        <v/>
      </c>
      <c r="N344">
        <f>IF(M344=0,"Cuadrado",IF(M344&gt;0,"Faltante","Sobrante"))</f>
        <v/>
      </c>
      <c r="O344" t="inlineStr">
        <is>
          <t>La diferencia es contabilizada por la Gerencia De Autoservicios y Efectivo de manera centralizada a la cuenta de sobrantes 279510020 el 11/03/2026</t>
        </is>
      </c>
      <c r="P344" t="n">
        <v>80812756</v>
      </c>
    </row>
    <row r="345">
      <c r="A345" t="n">
        <v>789</v>
      </c>
      <c r="B345" t="n">
        <v>5118</v>
      </c>
      <c r="C345" t="inlineStr">
        <is>
          <t>BELLTECH</t>
        </is>
      </c>
      <c r="D345" t="inlineStr">
        <is>
          <t>BELLTECH</t>
        </is>
      </c>
      <c r="E345" s="3" t="n">
        <v>46092</v>
      </c>
      <c r="F345" s="3" t="n">
        <v>46091</v>
      </c>
      <c r="G345" t="inlineStr">
        <is>
          <t>08:56:00</t>
        </is>
      </c>
      <c r="H345" t="n">
        <v>47322000</v>
      </c>
      <c r="I345" t="n">
        <v>239926000</v>
      </c>
      <c r="J345" t="n">
        <v>4220000</v>
      </c>
      <c r="K345" t="n">
        <v>35089000</v>
      </c>
      <c r="L345" t="inlineStr">
        <is>
          <t>225,743,000</t>
        </is>
      </c>
      <c r="M345">
        <f>I345-(H345+J345-K345)- L345</f>
        <v/>
      </c>
      <c r="N345">
        <f>IF(M345=0,"Cuadrado",IF(M345&gt;0,"Faltante","Sobrante"))</f>
        <v/>
      </c>
      <c r="O345" t="inlineStr">
        <is>
          <t>La diferencia es contabilizada por la Gerencia De Autoservicios y Efectivo de manera centralizada a la cuenta de sobrantes 279510020 el 11/03/2026</t>
        </is>
      </c>
      <c r="P345" t="n">
        <v>1102835683</v>
      </c>
    </row>
    <row r="346">
      <c r="A346" t="n">
        <v>40</v>
      </c>
      <c r="B346" t="n">
        <v>5142</v>
      </c>
      <c r="C346" t="inlineStr">
        <is>
          <t>BELLTECH</t>
        </is>
      </c>
      <c r="D346" t="inlineStr">
        <is>
          <t>BELLTECH</t>
        </is>
      </c>
      <c r="E346" s="3" t="n">
        <v>46092</v>
      </c>
      <c r="F346" s="3" t="n">
        <v>46091</v>
      </c>
      <c r="G346" t="inlineStr">
        <is>
          <t>09:51:00</t>
        </is>
      </c>
      <c r="H346" t="n">
        <v>360066200</v>
      </c>
      <c r="I346" t="n">
        <v>372136200</v>
      </c>
      <c r="J346" t="n">
        <v>13500000</v>
      </c>
      <c r="K346" t="n">
        <v>0</v>
      </c>
      <c r="M346">
        <f>I346-(H346+J346-K346)- L346</f>
        <v/>
      </c>
      <c r="N346">
        <f>IF(M346=0,"Cuadrado",IF(M346&gt;0,"Faltante","Sobrante"))</f>
        <v/>
      </c>
      <c r="O346" t="inlineStr">
        <is>
          <t>La diferencia es contabilizada por la Gerencia De Autoservicios y Efectivo de manera centralizada a la cuenta de sobrantes 279510020 el 11/03/2026</t>
        </is>
      </c>
      <c r="P346" t="n">
        <v>36312040</v>
      </c>
    </row>
    <row r="347">
      <c r="A347" t="n">
        <v>812</v>
      </c>
      <c r="B347" t="n">
        <v>5144</v>
      </c>
      <c r="C347" t="inlineStr">
        <is>
          <t>BELLTECH</t>
        </is>
      </c>
      <c r="D347" t="inlineStr">
        <is>
          <t>BELLTECH</t>
        </is>
      </c>
      <c r="E347" s="3" t="n">
        <v>46092</v>
      </c>
      <c r="F347" s="3" t="n">
        <v>46091</v>
      </c>
      <c r="G347" t="inlineStr">
        <is>
          <t>11:06:00</t>
        </is>
      </c>
      <c r="H347" t="n">
        <v>365382300</v>
      </c>
      <c r="I347" t="n">
        <v>268682200</v>
      </c>
      <c r="J347" t="n">
        <v>15640000</v>
      </c>
      <c r="K347" t="n">
        <v>107739600</v>
      </c>
      <c r="M347">
        <f>I347-(H347+J347-K347)- L347</f>
        <v/>
      </c>
      <c r="N347">
        <f>IF(M347=0,"Cuadrado",IF(M347&gt;0,"Faltante","Sobrante"))</f>
        <v/>
      </c>
      <c r="O347" t="inlineStr">
        <is>
          <t>La diferencia es contabilizada por la Gerencia De Autoservicios y Efectivo de manera centralizada a la cuenta de sobrantes 279510020 el 11/03/2026</t>
        </is>
      </c>
      <c r="P347" t="n">
        <v>31711383</v>
      </c>
    </row>
    <row r="348">
      <c r="A348" t="n">
        <v>358</v>
      </c>
      <c r="B348" t="n">
        <v>5149</v>
      </c>
      <c r="C348" t="inlineStr">
        <is>
          <t>BELLTECH</t>
        </is>
      </c>
      <c r="D348" t="inlineStr">
        <is>
          <t>BELLTECH</t>
        </is>
      </c>
      <c r="E348" s="3" t="n">
        <v>46092</v>
      </c>
      <c r="F348" s="3" t="n">
        <v>46091</v>
      </c>
      <c r="G348" t="inlineStr">
        <is>
          <t>09:47:00</t>
        </is>
      </c>
      <c r="H348" t="n">
        <v>215885950</v>
      </c>
      <c r="I348" t="n">
        <v>206727800</v>
      </c>
      <c r="J348" t="n">
        <v>15100000</v>
      </c>
      <c r="K348" t="n">
        <v>19062150</v>
      </c>
      <c r="M348">
        <f>I348-(H348+J348-K348)- L348</f>
        <v/>
      </c>
      <c r="N348">
        <f>IF(M348=0,"Cuadrado",IF(M348&gt;0,"Faltante","Sobrante"))</f>
        <v/>
      </c>
      <c r="O348" t="inlineStr">
        <is>
          <t>La diferencia es contabilizada por la Gerencia De Autoservicios y Efectivo de manera centralizada a la cuenta de sobrantes 279510020 el 11/03/2026</t>
        </is>
      </c>
      <c r="P348" t="n">
        <v>46456877</v>
      </c>
    </row>
    <row r="349">
      <c r="A349" t="n">
        <v>70</v>
      </c>
      <c r="B349" t="n">
        <v>5164</v>
      </c>
      <c r="C349" t="inlineStr">
        <is>
          <t>BELLTECH</t>
        </is>
      </c>
      <c r="D349" t="inlineStr">
        <is>
          <t>BELLTECH</t>
        </is>
      </c>
      <c r="E349" s="3" t="n">
        <v>46092</v>
      </c>
      <c r="F349" s="3" t="n">
        <v>46091</v>
      </c>
      <c r="G349" t="inlineStr">
        <is>
          <t>10:28:00</t>
        </is>
      </c>
      <c r="H349" t="n">
        <v>263572150</v>
      </c>
      <c r="I349" t="n">
        <v>238456500</v>
      </c>
      <c r="J349" t="n">
        <v>3570000</v>
      </c>
      <c r="K349" t="n">
        <v>30530650</v>
      </c>
      <c r="M349">
        <f>I349-(H349+J349-K349)- L349</f>
        <v/>
      </c>
      <c r="N349">
        <f>IF(M349=0,"Cuadrado",IF(M349&gt;0,"Faltante","Sobrante"))</f>
        <v/>
      </c>
      <c r="O349" t="inlineStr">
        <is>
          <t>REPITIERON ARQUEO</t>
        </is>
      </c>
      <c r="P349" t="n">
        <v>1053770486</v>
      </c>
    </row>
    <row r="350">
      <c r="A350" t="n">
        <v>363</v>
      </c>
      <c r="B350" t="n">
        <v>5168</v>
      </c>
      <c r="C350" t="inlineStr">
        <is>
          <t>BELLTECH</t>
        </is>
      </c>
      <c r="D350" t="inlineStr">
        <is>
          <t>BELLTECH</t>
        </is>
      </c>
      <c r="E350" s="3" t="n">
        <v>46092</v>
      </c>
      <c r="F350" s="3" t="n">
        <v>46091</v>
      </c>
      <c r="G350" t="inlineStr">
        <is>
          <t>09:07:00</t>
        </is>
      </c>
      <c r="H350" t="n">
        <v>340579350</v>
      </c>
      <c r="I350" t="n">
        <v>345006350</v>
      </c>
      <c r="J350" t="n">
        <v>9810000</v>
      </c>
      <c r="K350" t="n">
        <v>3100000</v>
      </c>
      <c r="M350">
        <f>I350-(H350+J350-K350)- L350</f>
        <v/>
      </c>
      <c r="N350">
        <f>IF(M350=0,"Cuadrado",IF(M350&gt;0,"Faltante","Sobrante"))</f>
        <v/>
      </c>
      <c r="O350" t="inlineStr">
        <is>
          <t>La diferencia es contabilizada por la Gerencia De Autoservicios y Efectivo de manera centralizada a la cuenta de sobrantes 279510020 el 11/03/2026</t>
        </is>
      </c>
      <c r="P350" t="n">
        <v>33646675</v>
      </c>
    </row>
    <row r="351">
      <c r="A351" t="n">
        <v>302</v>
      </c>
      <c r="B351" t="n">
        <v>5170</v>
      </c>
      <c r="C351" t="inlineStr">
        <is>
          <t>BELLTECH</t>
        </is>
      </c>
      <c r="D351" t="inlineStr">
        <is>
          <t>BELLTECH</t>
        </is>
      </c>
      <c r="E351" s="3" t="n">
        <v>46092</v>
      </c>
      <c r="F351" s="3" t="n">
        <v>46091</v>
      </c>
      <c r="G351" t="inlineStr">
        <is>
          <t>10:56:00</t>
        </is>
      </c>
      <c r="H351" t="n">
        <v>99606900</v>
      </c>
      <c r="I351" t="n">
        <v>204753100</v>
      </c>
      <c r="J351" t="n">
        <v>13120000</v>
      </c>
      <c r="K351" t="n">
        <v>31223800</v>
      </c>
      <c r="L351" t="n">
        <v>123240000</v>
      </c>
      <c r="M351">
        <f>I351-(H351+J351-K351)- L351</f>
        <v/>
      </c>
      <c r="N351">
        <f>IF(M351=0,"Cuadrado",IF(M351&gt;0,"Faltante","Sobrante"))</f>
        <v/>
      </c>
      <c r="O351" t="inlineStr">
        <is>
          <t>La diferencia es contabilizada por la Gerencia De Autoservicios y Efectivo de manera centralizada a la cuenta de faltantes 168710093 el 11/03/2026, esta diferencia ingresa a proceso de investigación en el área para identificar a que corresponde.</t>
        </is>
      </c>
      <c r="P351" t="n">
        <v>1102374502</v>
      </c>
    </row>
    <row r="352">
      <c r="A352" t="n">
        <v>253</v>
      </c>
      <c r="B352" t="n">
        <v>5176</v>
      </c>
      <c r="C352" t="inlineStr">
        <is>
          <t>BELLTECH</t>
        </is>
      </c>
      <c r="D352" t="inlineStr">
        <is>
          <t>BELLTECH</t>
        </is>
      </c>
      <c r="E352" s="3" t="n">
        <v>46092</v>
      </c>
      <c r="F352" s="3" t="n">
        <v>46091</v>
      </c>
      <c r="G352" t="inlineStr">
        <is>
          <t>10:18:00</t>
        </is>
      </c>
      <c r="H352" t="n">
        <v>263606750</v>
      </c>
      <c r="I352" t="n">
        <v>250669750</v>
      </c>
      <c r="J352" t="n">
        <v>7310000</v>
      </c>
      <c r="K352" t="n">
        <v>13345000</v>
      </c>
      <c r="M352">
        <f>I352-(H352+J352-K352)- L352</f>
        <v/>
      </c>
      <c r="N352">
        <f>IF(M352=0,"Cuadrado",IF(M352&gt;0,"Faltante","Sobrante"))</f>
        <v/>
      </c>
      <c r="O352" t="inlineStr">
        <is>
          <t>La diferencia es contabilizada por la Gerencia De Autoservicios y Efectivo de manera centralizada a la cuenta de sobrantes 279510020 el 11/03/2026</t>
        </is>
      </c>
      <c r="P352" t="n">
        <v>1017241432</v>
      </c>
    </row>
    <row r="353">
      <c r="A353" t="n">
        <v>716</v>
      </c>
      <c r="B353" t="n">
        <v>5192</v>
      </c>
      <c r="C353" t="inlineStr">
        <is>
          <t>BELLTECH</t>
        </is>
      </c>
      <c r="D353" t="inlineStr">
        <is>
          <t>BELLTECH</t>
        </is>
      </c>
      <c r="E353" s="3" t="n">
        <v>46092</v>
      </c>
      <c r="F353" s="3" t="n">
        <v>46091</v>
      </c>
      <c r="G353" t="inlineStr">
        <is>
          <t>11:14:00</t>
        </is>
      </c>
      <c r="H353" t="n">
        <v>94632700</v>
      </c>
      <c r="I353" t="n">
        <v>59457900</v>
      </c>
      <c r="J353" t="n">
        <v>17580000</v>
      </c>
      <c r="K353" t="n">
        <v>52750000</v>
      </c>
      <c r="M353">
        <f>I353-(H353+J353-K353)- L353</f>
        <v/>
      </c>
      <c r="N353">
        <f>IF(M353=0,"Cuadrado",IF(M353&gt;0,"Faltante","Sobrante"))</f>
        <v/>
      </c>
      <c r="O353" t="inlineStr">
        <is>
          <t>La diferencia es contabilizada por la Gerencia De Autoservicios y Efectivo de manera centralizada a la cuenta de sobrantes 279510020 el 11/03/2026</t>
        </is>
      </c>
      <c r="P353" t="n">
        <v>1144081082</v>
      </c>
    </row>
    <row r="354">
      <c r="A354" t="n">
        <v>674</v>
      </c>
      <c r="B354" t="n">
        <v>5200</v>
      </c>
      <c r="C354" t="inlineStr">
        <is>
          <t>BELLTECH</t>
        </is>
      </c>
      <c r="D354" t="inlineStr">
        <is>
          <t>BELLTECH</t>
        </is>
      </c>
      <c r="E354" s="3" t="n">
        <v>46092</v>
      </c>
      <c r="F354" s="3" t="n">
        <v>46091</v>
      </c>
      <c r="G354" t="inlineStr">
        <is>
          <t>09:15:00</t>
        </is>
      </c>
      <c r="H354" t="n">
        <v>140168250</v>
      </c>
      <c r="I354" t="n">
        <v>141329250</v>
      </c>
      <c r="J354" t="n">
        <v>5780000</v>
      </c>
      <c r="K354" t="n">
        <v>7499000</v>
      </c>
      <c r="L354" t="n">
        <v>2880000</v>
      </c>
      <c r="M354">
        <f>I354-(H354+J354-K354)- L354</f>
        <v/>
      </c>
      <c r="N354">
        <f>IF(M354=0,"Cuadrado",IF(M354&gt;0,"Faltante","Sobrante"))</f>
        <v/>
      </c>
      <c r="O354" t="inlineStr">
        <is>
          <t>El faltante $22.400.000 es cruzado con sobrante contabilizado el día 06/03/2026 el cual es reversado por la seccion el día 11/03/2026</t>
        </is>
      </c>
      <c r="P354" t="n">
        <v>79813088</v>
      </c>
    </row>
    <row r="355">
      <c r="A355" t="n">
        <v>606</v>
      </c>
      <c r="B355" t="n">
        <v>5201</v>
      </c>
      <c r="C355" t="inlineStr">
        <is>
          <t>BELLTECH</t>
        </is>
      </c>
      <c r="D355" t="inlineStr">
        <is>
          <t>BELLTECH</t>
        </is>
      </c>
      <c r="E355" s="3" t="n">
        <v>46092</v>
      </c>
      <c r="F355" s="3" t="n">
        <v>46091</v>
      </c>
      <c r="G355" t="inlineStr">
        <is>
          <t>10:20:00</t>
        </is>
      </c>
      <c r="H355" t="n">
        <v>172851050</v>
      </c>
      <c r="I355" t="n">
        <v>137350250</v>
      </c>
      <c r="J355" t="n">
        <v>8780000</v>
      </c>
      <c r="K355" t="n">
        <v>43280800</v>
      </c>
      <c r="M355">
        <f>I355-(H355+J355-K355)- L355</f>
        <v/>
      </c>
      <c r="N355">
        <f>IF(M355=0,"Cuadrado",IF(M355&gt;0,"Faltante","Sobrante"))</f>
        <v/>
      </c>
      <c r="O355" t="inlineStr">
        <is>
          <t>La diferencia es contabilizada por la Gerencia De Autoservicios y Efectivo de manera centralizada a la cuenta de sobrantes 279510020 el 11/03/2026</t>
        </is>
      </c>
      <c r="P355" t="n">
        <v>33368879</v>
      </c>
    </row>
    <row r="356">
      <c r="A356" t="n">
        <v>625</v>
      </c>
      <c r="B356" t="n">
        <v>6096</v>
      </c>
      <c r="C356" t="inlineStr">
        <is>
          <t>BELLTECH</t>
        </is>
      </c>
      <c r="D356" t="inlineStr">
        <is>
          <t>BELLTECH</t>
        </is>
      </c>
      <c r="E356" s="3" t="n">
        <v>46092</v>
      </c>
      <c r="F356" s="3" t="n">
        <v>46091</v>
      </c>
      <c r="G356" t="inlineStr">
        <is>
          <t>08:45:00</t>
        </is>
      </c>
      <c r="H356" t="n">
        <v>159322350</v>
      </c>
      <c r="I356" t="n">
        <v>154572350</v>
      </c>
      <c r="J356" t="n">
        <v>6390000</v>
      </c>
      <c r="K356" t="n">
        <v>680000</v>
      </c>
      <c r="L356" t="n">
        <v>-510000</v>
      </c>
      <c r="M356">
        <f>I356-(H356+J356-K356)- L356</f>
        <v/>
      </c>
      <c r="N356">
        <f>IF(M356=0,"Cuadrado",IF(M356&gt;0,"Faltante","Sobrante"))</f>
        <v/>
      </c>
      <c r="O356" t="inlineStr">
        <is>
          <t>La diferencia es contabilizada por la Gerencia De Autoservicios y Efectivo de manera centralizada a la cuenta de sobrantes 279510020 el 11/03/2026</t>
        </is>
      </c>
      <c r="P356" t="n">
        <v>1128427898</v>
      </c>
    </row>
    <row r="357">
      <c r="A357" t="n">
        <v>352</v>
      </c>
      <c r="B357" t="n">
        <v>6618</v>
      </c>
      <c r="C357" t="inlineStr">
        <is>
          <t>BELLTECH</t>
        </is>
      </c>
      <c r="D357" t="inlineStr">
        <is>
          <t>BELLTECH</t>
        </is>
      </c>
      <c r="E357" s="3" t="n">
        <v>46092</v>
      </c>
      <c r="F357" s="3" t="n">
        <v>46091</v>
      </c>
      <c r="G357" t="inlineStr">
        <is>
          <t>09:37:00</t>
        </is>
      </c>
      <c r="H357" t="n">
        <v>112715400</v>
      </c>
      <c r="I357" t="n">
        <v>181161000</v>
      </c>
      <c r="J357" t="n">
        <v>4520000</v>
      </c>
      <c r="K357" t="n">
        <v>27330000</v>
      </c>
      <c r="M357">
        <f>I357-(H357+J357-K357)- L357</f>
        <v/>
      </c>
      <c r="N357">
        <f>IF(M357=0,"Cuadrado",IF(M357&gt;0,"Faltante","Sobrante"))</f>
        <v/>
      </c>
      <c r="O357" t="inlineStr">
        <is>
          <t>REPITIERON ARQUEO</t>
        </is>
      </c>
      <c r="P357" t="n">
        <v>28559006</v>
      </c>
    </row>
    <row r="358">
      <c r="A358" t="n">
        <v>843</v>
      </c>
      <c r="B358" t="n">
        <v>6716</v>
      </c>
      <c r="C358" t="inlineStr">
        <is>
          <t>BELLTECH</t>
        </is>
      </c>
      <c r="D358" t="inlineStr">
        <is>
          <t>BELLTECH</t>
        </is>
      </c>
      <c r="E358" s="3" t="n">
        <v>46092</v>
      </c>
      <c r="F358" s="3" t="n">
        <v>46091</v>
      </c>
      <c r="G358" t="inlineStr">
        <is>
          <t>09:10:00</t>
        </is>
      </c>
      <c r="H358" t="n">
        <v>147471800</v>
      </c>
      <c r="I358" t="n">
        <v>162062800</v>
      </c>
      <c r="J358" t="n">
        <v>29630000</v>
      </c>
      <c r="K358" t="n">
        <v>7140000</v>
      </c>
      <c r="M358">
        <f>I358-(H358+J358-K358)- L358</f>
        <v/>
      </c>
      <c r="N358">
        <f>IF(M358=0,"Cuadrado",IF(M358&gt;0,"Faltante","Sobrante"))</f>
        <v/>
      </c>
      <c r="O358" t="inlineStr">
        <is>
          <t>La diferencia es contabilizada por la Gerencia De Autoservicios y Efectivo de manera centralizada a la cuenta de sobrantes 279510020 el 11/03/2026</t>
        </is>
      </c>
      <c r="P358" t="n">
        <v>1122728358</v>
      </c>
    </row>
    <row r="359">
      <c r="A359" t="n">
        <v>371</v>
      </c>
      <c r="B359" t="n">
        <v>6718</v>
      </c>
      <c r="C359" t="inlineStr">
        <is>
          <t>BELLTECH</t>
        </is>
      </c>
      <c r="D359" t="inlineStr">
        <is>
          <t>BELLTECH</t>
        </is>
      </c>
      <c r="E359" s="3" t="n">
        <v>46092</v>
      </c>
      <c r="F359" s="3" t="n">
        <v>46091</v>
      </c>
      <c r="G359" t="inlineStr">
        <is>
          <t>09:23:00</t>
        </is>
      </c>
      <c r="H359" t="n">
        <v>387051950</v>
      </c>
      <c r="I359" t="n">
        <v>393301950</v>
      </c>
      <c r="J359" t="n">
        <v>9950000</v>
      </c>
      <c r="K359" t="n">
        <v>0</v>
      </c>
      <c r="M359">
        <f>I359-(H359+J359-K359)- L359</f>
        <v/>
      </c>
      <c r="N359">
        <f>IF(M359=0,"Cuadrado",IF(M359&gt;0,"Faltante","Sobrante"))</f>
        <v/>
      </c>
      <c r="O359" t="inlineStr">
        <is>
          <t>La diferencia es contabilizada por la Gerencia De Autoservicios y Efectivo de manera centralizada a la cuenta de sobrantes 279510020 el 11/03/2026</t>
        </is>
      </c>
      <c r="P359" t="n">
        <v>39279278</v>
      </c>
    </row>
    <row r="360">
      <c r="A360" t="n">
        <v>506</v>
      </c>
      <c r="B360" t="n">
        <v>7316</v>
      </c>
      <c r="C360" t="inlineStr">
        <is>
          <t>DIEBOLD</t>
        </is>
      </c>
      <c r="D360" t="inlineStr">
        <is>
          <t>BELLTECH</t>
        </is>
      </c>
      <c r="E360" s="3" t="n">
        <v>46092</v>
      </c>
      <c r="F360" s="3" t="n">
        <v>46091</v>
      </c>
      <c r="G360" t="inlineStr">
        <is>
          <t>09:21:00</t>
        </is>
      </c>
      <c r="H360" t="n">
        <v>206374450</v>
      </c>
      <c r="I360" t="n">
        <v>199850050</v>
      </c>
      <c r="J360" t="n">
        <v>530000</v>
      </c>
      <c r="K360" t="n">
        <v>5128000</v>
      </c>
      <c r="M360">
        <f>I360-(H360+J360-K360)- L360</f>
        <v/>
      </c>
      <c r="N360">
        <f>IF(M360=0,"Cuadrado",IF(M360&gt;0,"Faltante","Sobrante"))</f>
        <v/>
      </c>
      <c r="O360" t="inlineStr">
        <is>
          <t>La diferencia es contabilizada por la Gerencia De Autoservicios y Efectivo de manera centralizada a la cuenta de sobrantes 279510020 el 11/03/2026</t>
        </is>
      </c>
      <c r="P360" t="n">
        <v>1102824257</v>
      </c>
    </row>
    <row r="361">
      <c r="A361" t="n">
        <v>812</v>
      </c>
      <c r="B361" t="n">
        <v>7613</v>
      </c>
      <c r="C361" t="inlineStr">
        <is>
          <t>DIEBOLD</t>
        </is>
      </c>
      <c r="D361" t="inlineStr">
        <is>
          <t>DIEBOLD</t>
        </is>
      </c>
      <c r="E361" s="3" t="n">
        <v>46092</v>
      </c>
      <c r="F361" s="3" t="n">
        <v>46091</v>
      </c>
      <c r="G361" t="inlineStr">
        <is>
          <t>09:57:00</t>
        </is>
      </c>
      <c r="H361" t="n">
        <v>95478850</v>
      </c>
      <c r="I361" t="n">
        <v>91637950</v>
      </c>
      <c r="J361" t="n">
        <v>4800000</v>
      </c>
      <c r="K361" t="n">
        <v>2675000</v>
      </c>
      <c r="L361" t="n">
        <v>-2130900</v>
      </c>
      <c r="M361">
        <f>I361-(H361+J361-K361)- L361</f>
        <v/>
      </c>
      <c r="N361">
        <f>IF(M361=0,"Cuadrado",IF(M361&gt;0,"Faltante","Sobrante"))</f>
        <v/>
      </c>
      <c r="O361" t="inlineStr">
        <is>
          <t>La diferencia es contabilizada por la Gerencia De Autoservicios y Efectivo de manera centralizada a la cuenta de sobrantes 279510020 el 11/03/2026</t>
        </is>
      </c>
      <c r="P361" t="n">
        <v>31711383</v>
      </c>
    </row>
    <row r="362">
      <c r="A362" t="n">
        <v>812</v>
      </c>
      <c r="B362" t="n">
        <v>7614</v>
      </c>
      <c r="C362" t="inlineStr">
        <is>
          <t>DIEBOLD</t>
        </is>
      </c>
      <c r="D362" t="inlineStr">
        <is>
          <t>DIEBOLD</t>
        </is>
      </c>
      <c r="E362" s="3" t="n">
        <v>46092</v>
      </c>
      <c r="F362" s="3" t="n">
        <v>46091</v>
      </c>
      <c r="G362" t="inlineStr">
        <is>
          <t>10:33:00</t>
        </is>
      </c>
      <c r="H362" t="n">
        <v>193328250</v>
      </c>
      <c r="I362" t="n">
        <v>164466200</v>
      </c>
      <c r="J362" t="n">
        <v>1740000</v>
      </c>
      <c r="K362" t="n">
        <v>28867950</v>
      </c>
      <c r="L362" t="n">
        <v>-38100</v>
      </c>
      <c r="M362">
        <f>I362-(H362+J362-K362)- L362</f>
        <v/>
      </c>
      <c r="N362">
        <f>IF(M362=0,"Cuadrado",IF(M362&gt;0,"Faltante","Sobrante"))</f>
        <v/>
      </c>
      <c r="O362" t="inlineStr">
        <is>
          <t>La diferencia es contabilizada por la Gerencia De Autoservicios y Efectivo de manera centralizada a la cuenta de sobrantes 279510020 el 11/03/2026</t>
        </is>
      </c>
      <c r="P362" t="n">
        <v>31711383</v>
      </c>
    </row>
    <row r="363">
      <c r="A363" t="n">
        <v>476</v>
      </c>
      <c r="B363" t="n">
        <v>7759</v>
      </c>
      <c r="C363" t="inlineStr">
        <is>
          <t>DIEBOLD</t>
        </is>
      </c>
      <c r="D363" t="inlineStr">
        <is>
          <t>DIEBOLD</t>
        </is>
      </c>
      <c r="E363" s="3" t="n">
        <v>46092</v>
      </c>
      <c r="F363" s="3" t="n">
        <v>46091</v>
      </c>
      <c r="G363" t="inlineStr">
        <is>
          <t>10:17:00</t>
        </is>
      </c>
      <c r="H363" t="n">
        <v>76624400</v>
      </c>
      <c r="I363" t="n">
        <v>72501050</v>
      </c>
      <c r="J363" t="n">
        <v>2460000</v>
      </c>
      <c r="K363" t="n">
        <v>6500000</v>
      </c>
      <c r="M363">
        <f>I363-(H363+J363-K363)- L363</f>
        <v/>
      </c>
      <c r="N363">
        <f>IF(M363=0,"Cuadrado",IF(M363&gt;0,"Faltante","Sobrante"))</f>
        <v/>
      </c>
      <c r="O363" t="inlineStr">
        <is>
          <t>La diferencia es contabilizada por la Gerencia De Autoservicios y Efectivo de manera centralizada a la cuenta de sobrantes 279510020 el 11/03/2026</t>
        </is>
      </c>
      <c r="P363" t="n">
        <v>1094240170</v>
      </c>
    </row>
    <row r="364">
      <c r="A364" t="n">
        <v>7</v>
      </c>
      <c r="B364" t="n">
        <v>7812</v>
      </c>
      <c r="C364" t="inlineStr">
        <is>
          <t>DIEBOLD</t>
        </is>
      </c>
      <c r="D364" t="inlineStr">
        <is>
          <t>DIEBOLD</t>
        </is>
      </c>
      <c r="E364" s="3" t="n">
        <v>46092</v>
      </c>
      <c r="F364" s="3" t="n">
        <v>46091</v>
      </c>
      <c r="G364" t="inlineStr">
        <is>
          <t>10:09:00</t>
        </is>
      </c>
      <c r="H364" t="n">
        <v>72975250</v>
      </c>
      <c r="I364" t="n">
        <v>73365250</v>
      </c>
      <c r="J364" t="n">
        <v>4230000</v>
      </c>
      <c r="K364" t="n">
        <v>4450000</v>
      </c>
      <c r="M364">
        <f>I364-(H364+J364-K364)- L364</f>
        <v/>
      </c>
      <c r="N364">
        <f>IF(M364=0,"Cuadrado",IF(M364&gt;0,"Faltante","Sobrante"))</f>
        <v/>
      </c>
      <c r="O364" t="inlineStr">
        <is>
          <t>REPITIERON ARQUEO</t>
        </is>
      </c>
      <c r="P364" t="n">
        <v>1020460907</v>
      </c>
    </row>
    <row r="365">
      <c r="A365" t="n">
        <v>609</v>
      </c>
      <c r="B365" t="n">
        <v>7875</v>
      </c>
      <c r="C365" t="inlineStr">
        <is>
          <t>BELLTECH</t>
        </is>
      </c>
      <c r="D365" t="inlineStr">
        <is>
          <t>BELLTECH</t>
        </is>
      </c>
      <c r="E365" s="3" t="n">
        <v>46092</v>
      </c>
      <c r="F365" s="3" t="n">
        <v>46091</v>
      </c>
      <c r="G365" t="inlineStr">
        <is>
          <t>09:49:00</t>
        </is>
      </c>
      <c r="H365" t="n">
        <v>215782650</v>
      </c>
      <c r="I365" t="n">
        <v>219490650</v>
      </c>
      <c r="J365" t="n">
        <v>48340000</v>
      </c>
      <c r="K365" t="n">
        <v>39588000</v>
      </c>
      <c r="M365">
        <f>I365-(H365+J365-K365)- L365</f>
        <v/>
      </c>
      <c r="N365">
        <f>IF(M365=0,"Cuadrado",IF(M365&gt;0,"Faltante","Sobrante"))</f>
        <v/>
      </c>
      <c r="O365" t="inlineStr">
        <is>
          <t>La diferencia es contabilizada por la Gerencia De Autoservicios y Efectivo de manera centralizada a la cuenta de sobrantes 279510020 el 11/03/2026</t>
        </is>
      </c>
      <c r="P365" t="n">
        <v>98695047</v>
      </c>
    </row>
    <row r="366">
      <c r="A366" t="n">
        <v>609</v>
      </c>
      <c r="B366" t="n">
        <v>7888</v>
      </c>
      <c r="C366" t="inlineStr">
        <is>
          <t>BELLTECH</t>
        </is>
      </c>
      <c r="D366" t="inlineStr">
        <is>
          <t>BELLTECH</t>
        </is>
      </c>
      <c r="E366" s="3" t="n">
        <v>46092</v>
      </c>
      <c r="F366" s="3" t="n">
        <v>46091</v>
      </c>
      <c r="G366" t="inlineStr">
        <is>
          <t>09:06:00</t>
        </is>
      </c>
      <c r="H366" t="n">
        <v>175042400</v>
      </c>
      <c r="I366" t="n">
        <v>154832050</v>
      </c>
      <c r="J366" t="n">
        <v>19020000</v>
      </c>
      <c r="K366" t="n">
        <v>14932000</v>
      </c>
      <c r="M366">
        <f>I366-(H366+J366-K366)- L366</f>
        <v/>
      </c>
      <c r="N366">
        <f>IF(M366=0,"Cuadrado",IF(M366&gt;0,"Faltante","Sobrante"))</f>
        <v/>
      </c>
      <c r="O366" t="inlineStr">
        <is>
          <t>La diferencia es contabilizada por la Gerencia De Autoservicios y Efectivo de manera centralizada a la cuenta de sobrantes 279510020 el 11/03/2026</t>
        </is>
      </c>
      <c r="P366" t="n">
        <v>98695047</v>
      </c>
    </row>
    <row r="367">
      <c r="A367" t="n">
        <v>166</v>
      </c>
      <c r="B367" t="n">
        <v>7939</v>
      </c>
      <c r="C367" t="inlineStr">
        <is>
          <t>BELLTECH</t>
        </is>
      </c>
      <c r="D367" t="inlineStr">
        <is>
          <t>BELLTECH</t>
        </is>
      </c>
      <c r="E367" s="3" t="n">
        <v>46092</v>
      </c>
      <c r="F367" s="3" t="n">
        <v>46091</v>
      </c>
      <c r="G367" t="inlineStr">
        <is>
          <t>09:53:00</t>
        </is>
      </c>
      <c r="H367" t="n">
        <v>244849450</v>
      </c>
      <c r="I367" t="n">
        <v>204451100</v>
      </c>
      <c r="J367" t="n">
        <v>1340000</v>
      </c>
      <c r="K367" t="n">
        <v>38538350</v>
      </c>
      <c r="M367">
        <f>I367-(H367+J367-K367)- L367</f>
        <v/>
      </c>
      <c r="N367">
        <f>IF(M367=0,"Cuadrado",IF(M367&gt;0,"Faltante","Sobrante"))</f>
        <v/>
      </c>
      <c r="O367" t="inlineStr">
        <is>
          <t>La diferencia es contabilizada por la Gerencia De Autoservicios y Efectivo de manera centralizada a la cuenta de sobrantes 279510020 el 11/03/2026</t>
        </is>
      </c>
      <c r="P367" t="n">
        <v>50938822</v>
      </c>
    </row>
    <row r="368">
      <c r="A368" t="n">
        <v>166</v>
      </c>
      <c r="B368" t="n">
        <v>7940</v>
      </c>
      <c r="C368" t="inlineStr">
        <is>
          <t>BELLTECH</t>
        </is>
      </c>
      <c r="D368" t="inlineStr">
        <is>
          <t>BELLTECH</t>
        </is>
      </c>
      <c r="E368" s="3" t="n">
        <v>46092</v>
      </c>
      <c r="F368" s="3" t="n">
        <v>46091</v>
      </c>
      <c r="G368" t="inlineStr">
        <is>
          <t>10:28:00</t>
        </is>
      </c>
      <c r="H368" t="n">
        <v>109275800</v>
      </c>
      <c r="I368" t="n">
        <v>67160850</v>
      </c>
      <c r="J368" t="n">
        <v>3840000</v>
      </c>
      <c r="K368" t="n">
        <v>46594900</v>
      </c>
      <c r="L368" t="n">
        <v>639950</v>
      </c>
      <c r="M368">
        <f>I368-(H368+J368-K368)- L368</f>
        <v/>
      </c>
      <c r="N368">
        <f>IF(M368=0,"Cuadrado",IF(M368&gt;0,"Faltante","Sobrante"))</f>
        <v/>
      </c>
      <c r="O368" t="inlineStr">
        <is>
          <t>El faltante $639.950 es cruzado con sobrante contabilizado el día 04/03/2026 el cual es reversado por la seccion el día 11/03/2026</t>
        </is>
      </c>
      <c r="P368" t="n">
        <v>50938822</v>
      </c>
    </row>
    <row r="369">
      <c r="A369" t="n">
        <v>419</v>
      </c>
      <c r="B369" t="n">
        <v>7980</v>
      </c>
      <c r="C369" t="inlineStr">
        <is>
          <t>BELLTECH</t>
        </is>
      </c>
      <c r="D369" t="inlineStr">
        <is>
          <t>BELLTECH</t>
        </is>
      </c>
      <c r="E369" s="3" t="n">
        <v>46092</v>
      </c>
      <c r="F369" s="3" t="n">
        <v>46091</v>
      </c>
      <c r="G369" t="inlineStr">
        <is>
          <t>09:08:00</t>
        </is>
      </c>
      <c r="H369" t="n">
        <v>112468200</v>
      </c>
      <c r="I369" t="n">
        <v>106558200</v>
      </c>
      <c r="J369" t="n">
        <v>3960000</v>
      </c>
      <c r="K369" t="n">
        <v>8520000</v>
      </c>
      <c r="M369">
        <f>I369-(H369+J369-K369)- L369</f>
        <v/>
      </c>
      <c r="N369">
        <f>IF(M369=0,"Cuadrado",IF(M369&gt;0,"Faltante","Sobrante"))</f>
        <v/>
      </c>
      <c r="O369" t="inlineStr">
        <is>
          <t>La diferencia es contabilizada por la Gerencia De Autoservicios y Efectivo de manera centralizada a la cuenta de sobrantes 279510020 el 11/03/2026</t>
        </is>
      </c>
      <c r="P369" t="n">
        <v>79248430</v>
      </c>
    </row>
    <row r="370">
      <c r="A370" t="n">
        <v>810</v>
      </c>
      <c r="B370" t="n">
        <v>8204</v>
      </c>
      <c r="C370" t="inlineStr">
        <is>
          <t>BELLTECH</t>
        </is>
      </c>
      <c r="D370" t="inlineStr">
        <is>
          <t>BELLTECH</t>
        </is>
      </c>
      <c r="E370" s="3" t="n">
        <v>46092</v>
      </c>
      <c r="F370" s="3" t="n">
        <v>46091</v>
      </c>
      <c r="G370" t="inlineStr">
        <is>
          <t>14:00:00</t>
        </is>
      </c>
      <c r="H370" t="n">
        <v>239025150</v>
      </c>
      <c r="I370" t="n">
        <v>197021350</v>
      </c>
      <c r="J370" t="n">
        <v>2060000</v>
      </c>
      <c r="K370" t="n">
        <v>43083800</v>
      </c>
      <c r="L370" t="n">
        <v>-980000</v>
      </c>
      <c r="M370">
        <f>I370-(H370+J370-K370)- L370</f>
        <v/>
      </c>
      <c r="N370">
        <f>IF(M370=0,"Cuadrado",IF(M370&gt;0,"Faltante","Sobrante"))</f>
        <v/>
      </c>
      <c r="O370" t="inlineStr">
        <is>
          <t>Cajero cuadrado, sin observación por parte de la sucursal</t>
        </is>
      </c>
      <c r="P370" t="n">
        <v>29682644</v>
      </c>
    </row>
    <row r="371">
      <c r="A371" t="n">
        <v>915</v>
      </c>
      <c r="B371" t="n">
        <v>8314</v>
      </c>
      <c r="C371" t="inlineStr">
        <is>
          <t>BELLTECH</t>
        </is>
      </c>
      <c r="D371" t="inlineStr">
        <is>
          <t>BELLTECH</t>
        </is>
      </c>
      <c r="E371" s="3" t="n">
        <v>46092</v>
      </c>
      <c r="F371" s="3" t="n">
        <v>46091</v>
      </c>
      <c r="G371" t="inlineStr">
        <is>
          <t>10:00:00</t>
        </is>
      </c>
      <c r="H371" t="n">
        <v>97882500</v>
      </c>
      <c r="I371" t="n">
        <v>83281000</v>
      </c>
      <c r="J371" t="n">
        <v>2260000</v>
      </c>
      <c r="K371" t="n">
        <v>16894000</v>
      </c>
      <c r="M371">
        <f>I371-(H371+J371-K371)- L371</f>
        <v/>
      </c>
      <c r="N371">
        <f>IF(M371=0,"Cuadrado",IF(M371&gt;0,"Faltante","Sobrante"))</f>
        <v/>
      </c>
      <c r="O371" t="inlineStr">
        <is>
          <t>La diferencia es contabilizada por la Gerencia De Autoservicios y Efectivo de manera centralizada a la cuenta de faltantes 168710093 el 11/03/2026, esta diferencia ingresa a proceso de investigación en el área para identificar a que corresponde.</t>
        </is>
      </c>
      <c r="P371" t="n">
        <v>52279779</v>
      </c>
    </row>
    <row r="372">
      <c r="A372" t="n">
        <v>495</v>
      </c>
      <c r="B372" t="n">
        <v>8482</v>
      </c>
      <c r="C372" t="inlineStr">
        <is>
          <t>BELLTECH</t>
        </is>
      </c>
      <c r="D372" t="inlineStr">
        <is>
          <t>BELLTECH</t>
        </is>
      </c>
      <c r="E372" s="3" t="n">
        <v>46092</v>
      </c>
      <c r="F372" s="3" t="n">
        <v>46091</v>
      </c>
      <c r="G372" t="inlineStr">
        <is>
          <t>09:42:00</t>
        </is>
      </c>
      <c r="H372" t="n">
        <v>242178600</v>
      </c>
      <c r="I372" t="n">
        <v>219369600</v>
      </c>
      <c r="J372" t="n">
        <v>4000000</v>
      </c>
      <c r="K372" t="n">
        <v>27241000</v>
      </c>
      <c r="L372" t="n">
        <v>452000</v>
      </c>
      <c r="M372">
        <f>I372-(H372+J372-K372)- L372</f>
        <v/>
      </c>
      <c r="N372">
        <f>IF(M372=0,"Cuadrado",IF(M372&gt;0,"Faltante","Sobrante"))</f>
        <v/>
      </c>
      <c r="O372" t="inlineStr">
        <is>
          <t>La diferencia es contabilizada por la Gerencia De Autoservicios y Efectivo de manera centralizada a la cuenta de sobrantes 279510020 el 11/03/2026</t>
        </is>
      </c>
      <c r="P372" t="n">
        <v>1052081923</v>
      </c>
    </row>
    <row r="373">
      <c r="A373" t="n">
        <v>193</v>
      </c>
      <c r="B373" t="n">
        <v>8537</v>
      </c>
      <c r="C373" t="inlineStr">
        <is>
          <t>BELLTECH</t>
        </is>
      </c>
      <c r="D373" t="inlineStr">
        <is>
          <t>BELLTECH</t>
        </is>
      </c>
      <c r="E373" s="3" t="n">
        <v>46092</v>
      </c>
      <c r="F373" s="3" t="n">
        <v>46091</v>
      </c>
      <c r="G373" t="inlineStr">
        <is>
          <t>11:30:00</t>
        </is>
      </c>
      <c r="H373" t="n">
        <v>229716950</v>
      </c>
      <c r="I373" t="n">
        <v>216614950</v>
      </c>
      <c r="J373" t="n">
        <v>5650000</v>
      </c>
      <c r="K373" t="n">
        <v>18771250</v>
      </c>
      <c r="M373">
        <f>I373-(H373+J373-K373)- L373</f>
        <v/>
      </c>
      <c r="N373">
        <f>IF(M373=0,"Cuadrado",IF(M373&gt;0,"Faltante","Sobrante"))</f>
        <v/>
      </c>
      <c r="O373" t="inlineStr">
        <is>
          <t>La diferencia es contabilizada por la Gerencia De Autoservicios y Efectivo de manera centralizada a la cuenta de faltantes 168710093 el 11/03/2026, esta diferencia ingresa a proceso de investigación en el área para identificar a que corresponde.</t>
        </is>
      </c>
      <c r="P373" t="n">
        <v>52048601</v>
      </c>
    </row>
    <row r="374">
      <c r="A374" t="n">
        <v>33</v>
      </c>
      <c r="B374" t="n">
        <v>8861</v>
      </c>
      <c r="C374" t="inlineStr">
        <is>
          <t>BELLTECH</t>
        </is>
      </c>
      <c r="D374" t="inlineStr">
        <is>
          <t>BELLTECH</t>
        </is>
      </c>
      <c r="E374" s="3" t="n">
        <v>46092</v>
      </c>
      <c r="F374" s="3" t="n">
        <v>46091</v>
      </c>
      <c r="G374" t="inlineStr">
        <is>
          <t>09:19:00</t>
        </is>
      </c>
      <c r="H374" t="n">
        <v>282990000</v>
      </c>
      <c r="I374" t="n">
        <v>263685000</v>
      </c>
      <c r="J374" t="n">
        <v>7040000</v>
      </c>
      <c r="K374" t="n">
        <v>0</v>
      </c>
      <c r="M374">
        <f>I374-(H374+J374-K374)- L374</f>
        <v/>
      </c>
      <c r="N374">
        <f>IF(M374=0,"Cuadrado",IF(M374&gt;0,"Faltante","Sobrante"))</f>
        <v/>
      </c>
      <c r="O374" t="inlineStr">
        <is>
          <t>La diferencia es contabilizada por la Gerencia De Autoservicios y Efectivo de manera centralizada a la cuenta de sobrantes 279510020 el 11/03/2026</t>
        </is>
      </c>
      <c r="P374" t="n">
        <v>79659379</v>
      </c>
    </row>
    <row r="375">
      <c r="A375" t="n">
        <v>225</v>
      </c>
      <c r="B375" t="n">
        <v>8869</v>
      </c>
      <c r="C375" t="inlineStr">
        <is>
          <t>BELLTECH</t>
        </is>
      </c>
      <c r="D375" t="inlineStr">
        <is>
          <t>BELLTECH</t>
        </is>
      </c>
      <c r="E375" s="3" t="n">
        <v>46092</v>
      </c>
      <c r="F375" s="3" t="n">
        <v>46091</v>
      </c>
      <c r="G375" t="inlineStr">
        <is>
          <t>15:25:00</t>
        </is>
      </c>
      <c r="H375" t="n">
        <v>190294450</v>
      </c>
      <c r="I375" t="n">
        <v>336681450</v>
      </c>
      <c r="J375" t="n">
        <v>14350000</v>
      </c>
      <c r="K375" t="n">
        <v>49502000</v>
      </c>
      <c r="L375" t="inlineStr">
        <is>
          <t>181,539,000</t>
        </is>
      </c>
      <c r="M375">
        <f>I375-(H375+J375-K375)- L375</f>
        <v/>
      </c>
      <c r="N375">
        <f>IF(M375=0,"Cuadrado",IF(M375&gt;0,"Faltante","Sobrante"))</f>
        <v/>
      </c>
      <c r="O375" t="inlineStr">
        <is>
          <t>Cajero cuadrado, sin observación por parte de la sucursal</t>
        </is>
      </c>
      <c r="P375" t="n">
        <v>80212698</v>
      </c>
    </row>
    <row r="376">
      <c r="A376" t="n">
        <v>721</v>
      </c>
      <c r="B376" t="n">
        <v>8896</v>
      </c>
      <c r="C376" t="inlineStr">
        <is>
          <t>BELLTECH</t>
        </is>
      </c>
      <c r="D376" t="inlineStr">
        <is>
          <t>BELLTECH</t>
        </is>
      </c>
      <c r="E376" s="3" t="n">
        <v>46092</v>
      </c>
      <c r="F376" s="3" t="n">
        <v>46091</v>
      </c>
      <c r="G376" t="inlineStr">
        <is>
          <t>09:55:00</t>
        </is>
      </c>
      <c r="H376" t="n">
        <v>145619900</v>
      </c>
      <c r="I376" t="n">
        <v>109303300</v>
      </c>
      <c r="J376" t="n">
        <v>9170000</v>
      </c>
      <c r="K376" t="n">
        <v>42120300</v>
      </c>
      <c r="M376">
        <f>I376-(H376+J376-K376)- L376</f>
        <v/>
      </c>
      <c r="N376">
        <f>IF(M376=0,"Cuadrado",IF(M376&gt;0,"Faltante","Sobrante"))</f>
        <v/>
      </c>
      <c r="O376" t="inlineStr">
        <is>
          <t>La diferencia es contabilizada por la Gerencia De Autoservicios y Efectivo de manera centralizada a la cuenta de sobrantes 279510020 el 11/03/2026</t>
        </is>
      </c>
      <c r="P376" t="n">
        <v>1088262262</v>
      </c>
    </row>
    <row r="377">
      <c r="A377" t="n">
        <v>721</v>
      </c>
      <c r="B377" t="n">
        <v>8897</v>
      </c>
      <c r="C377" t="inlineStr">
        <is>
          <t>DIEBOLD</t>
        </is>
      </c>
      <c r="D377" t="inlineStr">
        <is>
          <t>DIEBOLD</t>
        </is>
      </c>
      <c r="E377" s="3" t="n">
        <v>46092</v>
      </c>
      <c r="F377" s="3" t="n">
        <v>46091</v>
      </c>
      <c r="G377" t="inlineStr">
        <is>
          <t>10:14:00</t>
        </is>
      </c>
      <c r="H377" t="n">
        <v>281783800</v>
      </c>
      <c r="I377" t="n">
        <v>269926100</v>
      </c>
      <c r="J377" t="n">
        <v>4790000</v>
      </c>
      <c r="K377" t="n">
        <v>16833100</v>
      </c>
      <c r="M377">
        <f>I377-(H377+J377-K377)- L377</f>
        <v/>
      </c>
      <c r="N377">
        <f>IF(M377=0,"Cuadrado",IF(M377&gt;0,"Faltante","Sobrante"))</f>
        <v/>
      </c>
      <c r="O377" t="inlineStr">
        <is>
          <t>REPITIERON ARQUEO</t>
        </is>
      </c>
      <c r="P377" t="n">
        <v>1088262262</v>
      </c>
    </row>
    <row r="378">
      <c r="A378" t="n">
        <v>890</v>
      </c>
      <c r="B378" t="n">
        <v>9584</v>
      </c>
      <c r="C378" t="inlineStr">
        <is>
          <t>BELLTECH</t>
        </is>
      </c>
      <c r="D378" t="inlineStr">
        <is>
          <t>BELLTECH</t>
        </is>
      </c>
      <c r="E378" s="3" t="n">
        <v>46092</v>
      </c>
      <c r="F378" s="3" t="n">
        <v>46091</v>
      </c>
      <c r="G378" t="inlineStr">
        <is>
          <t>10:05:00</t>
        </is>
      </c>
      <c r="H378" t="n">
        <v>57023150</v>
      </c>
      <c r="I378" t="n">
        <v>50063150</v>
      </c>
      <c r="J378" t="n">
        <v>0</v>
      </c>
      <c r="K378" t="n">
        <v>0</v>
      </c>
      <c r="L378" t="n">
        <v>-6960000</v>
      </c>
      <c r="M378">
        <f>I378-(H378+J378-K378)- L378</f>
        <v/>
      </c>
      <c r="N378">
        <f>IF(M378=0,"Cuadrado",IF(M378&gt;0,"Faltante","Sobrante"))</f>
        <v/>
      </c>
      <c r="O378" t="inlineStr">
        <is>
          <t>Cajero cuadrado, sin observación por parte de la sucursal</t>
        </is>
      </c>
      <c r="P378" t="n">
        <v>1053835867</v>
      </c>
    </row>
    <row r="379">
      <c r="A379" t="n">
        <v>229</v>
      </c>
      <c r="B379" t="n">
        <v>9604</v>
      </c>
      <c r="C379" t="inlineStr">
        <is>
          <t>BELLTECH</t>
        </is>
      </c>
      <c r="D379" t="inlineStr">
        <is>
          <t>BELLTECH</t>
        </is>
      </c>
      <c r="E379" s="3" t="n">
        <v>46092</v>
      </c>
      <c r="F379" s="3" t="n">
        <v>46091</v>
      </c>
      <c r="G379" t="inlineStr">
        <is>
          <t>11:14:00</t>
        </is>
      </c>
      <c r="H379" t="n">
        <v>185072000</v>
      </c>
      <c r="I379" t="n">
        <v>177817050</v>
      </c>
      <c r="J379" t="n">
        <v>9210000</v>
      </c>
      <c r="K379" t="n">
        <v>16810000</v>
      </c>
      <c r="L379" t="n">
        <v>345050</v>
      </c>
      <c r="M379">
        <f>I379-(H379+J379-K379)- L379</f>
        <v/>
      </c>
      <c r="N379">
        <f>IF(M379=0,"Cuadrado",IF(M379&gt;0,"Faltante","Sobrante"))</f>
        <v/>
      </c>
      <c r="O379" t="inlineStr">
        <is>
          <t>El faltante $345.050 es cruzado con sobrante contabilizado el día 06/03/2026 el cual es reversado por la seccion el día 11/03/2026</t>
        </is>
      </c>
      <c r="P379" t="n">
        <v>79653318</v>
      </c>
    </row>
    <row r="380">
      <c r="A380" t="n">
        <v>229</v>
      </c>
      <c r="B380" t="n">
        <v>9605</v>
      </c>
      <c r="C380" t="inlineStr">
        <is>
          <t>BELLTECH</t>
        </is>
      </c>
      <c r="D380" t="inlineStr">
        <is>
          <t>BELLTECH</t>
        </is>
      </c>
      <c r="E380" s="3" t="n">
        <v>46092</v>
      </c>
      <c r="F380" s="3" t="n">
        <v>46091</v>
      </c>
      <c r="G380" t="inlineStr">
        <is>
          <t>10:29:00</t>
        </is>
      </c>
      <c r="H380" t="n">
        <v>182128200</v>
      </c>
      <c r="I380" t="n">
        <v>138128200</v>
      </c>
      <c r="J380" t="n">
        <v>14820000</v>
      </c>
      <c r="K380" t="n">
        <v>1810000</v>
      </c>
      <c r="M380">
        <f>I380-(H380+J380-K380)- L380</f>
        <v/>
      </c>
      <c r="N380">
        <f>IF(M380=0,"Cuadrado",IF(M380&gt;0,"Faltante","Sobrante"))</f>
        <v/>
      </c>
      <c r="O380" t="inlineStr">
        <is>
          <t>REPITIERON ARQUEO</t>
        </is>
      </c>
      <c r="P380" t="n">
        <v>79653318</v>
      </c>
    </row>
    <row r="381">
      <c r="A381" t="n">
        <v>849</v>
      </c>
      <c r="B381" t="n">
        <v>9724</v>
      </c>
      <c r="C381" t="inlineStr">
        <is>
          <t>BELLTECH</t>
        </is>
      </c>
      <c r="D381" t="inlineStr">
        <is>
          <t>BELLTECH</t>
        </is>
      </c>
      <c r="E381" s="3" t="n">
        <v>46092</v>
      </c>
      <c r="F381" s="3" t="n">
        <v>46091</v>
      </c>
      <c r="G381" t="inlineStr">
        <is>
          <t>10:34:00</t>
        </is>
      </c>
      <c r="H381" t="n">
        <v>31837750</v>
      </c>
      <c r="I381" t="n">
        <v>233606750</v>
      </c>
      <c r="J381" t="n">
        <v>9030000</v>
      </c>
      <c r="K381" t="n">
        <v>14470000</v>
      </c>
      <c r="L381" t="n">
        <v>207209000</v>
      </c>
      <c r="M381">
        <f>I381-(H381+J381-K381)- L381</f>
        <v/>
      </c>
      <c r="N381">
        <f>IF(M381=0,"Cuadrado",IF(M381&gt;0,"Faltante","Sobrante"))</f>
        <v/>
      </c>
      <c r="O381" t="inlineStr">
        <is>
          <t>Cajero cuadrado, sin observación por parte de la sucursal</t>
        </is>
      </c>
      <c r="P381" t="n">
        <v>86063461</v>
      </c>
    </row>
    <row r="382">
      <c r="A382" t="n">
        <v>849</v>
      </c>
      <c r="B382" t="n">
        <v>9725</v>
      </c>
      <c r="C382" t="inlineStr">
        <is>
          <t>BELLTECH</t>
        </is>
      </c>
      <c r="D382" t="inlineStr">
        <is>
          <t>BELLTECH</t>
        </is>
      </c>
      <c r="E382" s="3" t="n">
        <v>46092</v>
      </c>
      <c r="F382" s="3" t="n">
        <v>46091</v>
      </c>
      <c r="G382" t="inlineStr">
        <is>
          <t>10:21:00</t>
        </is>
      </c>
      <c r="H382" t="n">
        <v>31231000</v>
      </c>
      <c r="I382" t="n">
        <v>196933000</v>
      </c>
      <c r="J382" t="n">
        <v>7090000</v>
      </c>
      <c r="K382" t="n">
        <v>16247000</v>
      </c>
      <c r="L382" t="n">
        <v>174859000</v>
      </c>
      <c r="M382">
        <f>I382-(H382+J382-K382)- L382</f>
        <v/>
      </c>
      <c r="N382">
        <f>IF(M382=0,"Cuadrado",IF(M382&gt;0,"Faltante","Sobrante"))</f>
        <v/>
      </c>
      <c r="O382" t="inlineStr">
        <is>
          <t>Cajero cuadrado, sin observación por parte de la sucursal</t>
        </is>
      </c>
      <c r="P382" t="n">
        <v>86063461</v>
      </c>
    </row>
    <row r="383">
      <c r="A383" t="n">
        <v>499</v>
      </c>
      <c r="B383" t="n">
        <v>9811</v>
      </c>
      <c r="C383" t="inlineStr">
        <is>
          <t>BELLTECH</t>
        </is>
      </c>
      <c r="D383" t="inlineStr">
        <is>
          <t>BELLTECH</t>
        </is>
      </c>
      <c r="E383" s="3" t="n">
        <v>46092</v>
      </c>
      <c r="F383" s="3" t="n">
        <v>46091</v>
      </c>
      <c r="G383" t="inlineStr">
        <is>
          <t>16:17:00</t>
        </is>
      </c>
      <c r="H383" t="n">
        <v>114936100</v>
      </c>
      <c r="I383" t="n">
        <v>155994400</v>
      </c>
      <c r="J383" t="n">
        <v>0</v>
      </c>
      <c r="K383" t="n">
        <v>7870000</v>
      </c>
      <c r="M383">
        <f>I383-(H383+J383-K383)- L383</f>
        <v/>
      </c>
      <c r="N383">
        <f>IF(M383=0,"Cuadrado",IF(M383&gt;0,"Faltante","Sobrante"))</f>
        <v/>
      </c>
      <c r="O383" t="inlineStr">
        <is>
          <t>REPITIERON ARQUEO, CON SALDO EN ROJO AL 10 MARZO</t>
        </is>
      </c>
      <c r="P383" t="n">
        <v>71337474</v>
      </c>
    </row>
    <row r="384">
      <c r="A384" t="n">
        <v>264</v>
      </c>
      <c r="B384" t="n">
        <v>9906</v>
      </c>
      <c r="C384" t="inlineStr">
        <is>
          <t>BELLTECH</t>
        </is>
      </c>
      <c r="D384" t="inlineStr">
        <is>
          <t>BELLTECH</t>
        </is>
      </c>
      <c r="E384" s="3" t="n">
        <v>46092</v>
      </c>
      <c r="F384" s="3" t="n">
        <v>46091</v>
      </c>
      <c r="G384" t="inlineStr">
        <is>
          <t>10:37:00</t>
        </is>
      </c>
      <c r="H384" t="n">
        <v>74860000</v>
      </c>
      <c r="I384" t="n">
        <v>77325700</v>
      </c>
      <c r="J384" t="n">
        <v>7900000</v>
      </c>
      <c r="K384" t="n">
        <v>5421000</v>
      </c>
      <c r="M384">
        <f>I384-(H384+J384-K384)- L384</f>
        <v/>
      </c>
      <c r="N384">
        <f>IF(M384=0,"Cuadrado",IF(M384&gt;0,"Faltante","Sobrante"))</f>
        <v/>
      </c>
      <c r="O384" t="inlineStr">
        <is>
          <t>La diferencia es contabilizada por la Gerencia De Autoservicios y Efectivo de manera centralizada a la cuenta de sobrantes 279510020 el 11/03/2026</t>
        </is>
      </c>
      <c r="P384" t="n">
        <v>1069722520</v>
      </c>
    </row>
    <row r="385">
      <c r="A385" t="n">
        <v>61</v>
      </c>
      <c r="B385" t="n">
        <v>788</v>
      </c>
      <c r="C385" t="inlineStr">
        <is>
          <t>BELLTECH</t>
        </is>
      </c>
      <c r="D385" t="inlineStr">
        <is>
          <t>BELLTECH</t>
        </is>
      </c>
      <c r="E385" s="3" t="n">
        <v>46092</v>
      </c>
      <c r="F385" s="3" t="n">
        <v>46091</v>
      </c>
      <c r="G385" t="inlineStr">
        <is>
          <t>14:36:00</t>
        </is>
      </c>
      <c r="H385" t="n">
        <v>135628750</v>
      </c>
      <c r="I385" t="n">
        <v>127320750</v>
      </c>
      <c r="J385" t="n">
        <v>31040000</v>
      </c>
      <c r="K385" t="n">
        <v>39348000</v>
      </c>
      <c r="M385">
        <f>I385-(H385+J385-K385)- L385</f>
        <v/>
      </c>
      <c r="N385">
        <f>IF(M385=0,"Cuadrado",IF(M385&gt;0,"Faltante","Sobrante"))</f>
        <v/>
      </c>
      <c r="O385" t="inlineStr">
        <is>
          <t>Cajero cuadrado, sin observación por parte de la sucursal</t>
        </is>
      </c>
      <c r="P385" t="n">
        <v>16497924</v>
      </c>
    </row>
    <row r="386">
      <c r="A386" t="n">
        <v>277</v>
      </c>
      <c r="B386" t="n">
        <v>5021</v>
      </c>
      <c r="C386" t="inlineStr">
        <is>
          <t>BELLTECH</t>
        </is>
      </c>
      <c r="D386" t="inlineStr">
        <is>
          <t>BELLTECH</t>
        </is>
      </c>
      <c r="E386" s="3" t="n">
        <v>46092</v>
      </c>
      <c r="F386" s="3" t="n">
        <v>46091</v>
      </c>
      <c r="G386" t="inlineStr">
        <is>
          <t>10:50:00</t>
        </is>
      </c>
      <c r="H386" t="n">
        <v>201270350</v>
      </c>
      <c r="I386" t="n">
        <v>211422350</v>
      </c>
      <c r="J386" t="n">
        <v>11030000</v>
      </c>
      <c r="K386" t="n">
        <v>878000</v>
      </c>
      <c r="L386" t="n">
        <v>0</v>
      </c>
      <c r="M386">
        <f>I386-(H386+J386-K386)- L386</f>
        <v/>
      </c>
      <c r="N386">
        <f>IF(M386=0,"Cuadrado",IF(M386&gt;0,"Faltante","Sobrante"))</f>
        <v/>
      </c>
      <c r="O386" t="inlineStr">
        <is>
          <t>El faltante $1.910.000 es cruzado con sobrante contabilizado el día 10/03/2026 el cual es reversado por la seccion el día 11/03/2026</t>
        </is>
      </c>
      <c r="P386" t="n">
        <v>32184677</v>
      </c>
    </row>
    <row r="387">
      <c r="A387" t="n">
        <v>511</v>
      </c>
      <c r="B387" t="n">
        <v>5122</v>
      </c>
      <c r="C387" t="inlineStr">
        <is>
          <t>BELLTECH</t>
        </is>
      </c>
      <c r="D387" t="inlineStr">
        <is>
          <t>BELLTECH</t>
        </is>
      </c>
      <c r="E387" s="3" t="n">
        <v>46092</v>
      </c>
      <c r="F387" s="3" t="n">
        <v>46091</v>
      </c>
      <c r="G387" t="inlineStr">
        <is>
          <t>16:12:00</t>
        </is>
      </c>
      <c r="H387" t="n">
        <v>281279000</v>
      </c>
      <c r="I387" t="n">
        <v>281279000</v>
      </c>
      <c r="J387" t="n">
        <v>0</v>
      </c>
      <c r="K387" t="n">
        <v>0</v>
      </c>
      <c r="M387">
        <f>I387-(H387+J387-K387)- L387</f>
        <v/>
      </c>
      <c r="N387">
        <f>IF(M387=0,"Cuadrado",IF(M387&gt;0,"Faltante","Sobrante"))</f>
        <v/>
      </c>
      <c r="O387" t="inlineStr">
        <is>
          <t>Cajero cuadrado, sin observación por parte de la sucursal</t>
        </is>
      </c>
      <c r="P387" t="n">
        <v>1152438348</v>
      </c>
    </row>
    <row r="388">
      <c r="A388" t="n">
        <v>300</v>
      </c>
      <c r="B388" t="n">
        <v>5139</v>
      </c>
      <c r="C388" t="inlineStr">
        <is>
          <t>BELLTECH</t>
        </is>
      </c>
      <c r="D388" t="inlineStr">
        <is>
          <t>BELLTECH</t>
        </is>
      </c>
      <c r="E388" s="3" t="n">
        <v>46092</v>
      </c>
      <c r="F388" s="3" t="n">
        <v>46091</v>
      </c>
      <c r="G388" t="inlineStr">
        <is>
          <t>15:25:00</t>
        </is>
      </c>
      <c r="H388" t="n">
        <v>152779650</v>
      </c>
      <c r="I388" t="n">
        <v>140756650</v>
      </c>
      <c r="J388" t="n">
        <v>25720000</v>
      </c>
      <c r="K388" t="n">
        <v>37743000</v>
      </c>
      <c r="M388">
        <f>I388-(H388+J388-K388)- L388</f>
        <v/>
      </c>
      <c r="N388">
        <f>IF(M388=0,"Cuadrado",IF(M388&gt;0,"Faltante","Sobrante"))</f>
        <v/>
      </c>
      <c r="O388" t="inlineStr">
        <is>
          <t>Cajero cuadrado, sin observación por parte de la sucursal</t>
        </is>
      </c>
      <c r="P388" t="n">
        <v>53097567</v>
      </c>
    </row>
    <row r="389">
      <c r="A389" t="n">
        <v>888</v>
      </c>
      <c r="B389" t="n">
        <v>6818</v>
      </c>
      <c r="C389" t="inlineStr">
        <is>
          <t>BELLTECH</t>
        </is>
      </c>
      <c r="D389" t="inlineStr">
        <is>
          <t>BELLTECH</t>
        </is>
      </c>
      <c r="E389" s="3" t="n">
        <v>46092</v>
      </c>
      <c r="F389" s="3" t="n">
        <v>46091</v>
      </c>
      <c r="G389" t="inlineStr">
        <is>
          <t>10:27:00</t>
        </is>
      </c>
      <c r="H389" t="n">
        <v>218620200</v>
      </c>
      <c r="I389" t="n">
        <v>227790200</v>
      </c>
      <c r="J389" t="n">
        <v>9170000</v>
      </c>
      <c r="K389" t="n">
        <v>0</v>
      </c>
      <c r="M389">
        <f>I389-(H389+J389-K389)- L389</f>
        <v/>
      </c>
      <c r="N389">
        <f>IF(M389=0,"Cuadrado",IF(M389&gt;0,"Faltante","Sobrante"))</f>
        <v/>
      </c>
      <c r="O389" t="inlineStr">
        <is>
          <t>Cajero cuadrado, sin observación por parte de la sucursal</t>
        </is>
      </c>
      <c r="P389" t="n">
        <v>1085921765</v>
      </c>
    </row>
    <row r="390">
      <c r="A390" t="n">
        <v>651</v>
      </c>
      <c r="B390" t="n">
        <v>7318</v>
      </c>
      <c r="C390" t="inlineStr">
        <is>
          <t>DIEBOLD</t>
        </is>
      </c>
      <c r="D390" t="inlineStr">
        <is>
          <t>BELLTECH</t>
        </is>
      </c>
      <c r="E390" s="3" t="n">
        <v>46092</v>
      </c>
      <c r="F390" s="3" t="n">
        <v>46091</v>
      </c>
      <c r="G390" t="inlineStr">
        <is>
          <t>09:30:00</t>
        </is>
      </c>
      <c r="H390" t="n">
        <v>145784350</v>
      </c>
      <c r="I390" t="n">
        <v>138463000</v>
      </c>
      <c r="J390" t="n">
        <v>7150000</v>
      </c>
      <c r="K390" t="n">
        <v>14471350</v>
      </c>
      <c r="L390" t="n">
        <v>0</v>
      </c>
      <c r="M390">
        <f>I390-(H390+J390-K390)- L390</f>
        <v/>
      </c>
      <c r="N390">
        <f>IF(M390=0,"Cuadrado",IF(M390&gt;0,"Faltante","Sobrante"))</f>
        <v/>
      </c>
      <c r="O390" t="inlineStr">
        <is>
          <t>El faltante $1.040.000 es cruzado con sobrante contabilizado el día 10/03/2026 el cual es reversado por la seccion el día 11/03/2026</t>
        </is>
      </c>
      <c r="P390" t="n">
        <v>70136398</v>
      </c>
    </row>
    <row r="391">
      <c r="A391" t="n">
        <v>395</v>
      </c>
      <c r="B391" t="n">
        <v>1528</v>
      </c>
      <c r="C391" t="inlineStr">
        <is>
          <t>BELLTECH</t>
        </is>
      </c>
      <c r="D391" t="inlineStr">
        <is>
          <t>BELLTECH</t>
        </is>
      </c>
      <c r="E391" s="3" t="n">
        <v>46091</v>
      </c>
      <c r="F391" s="3" t="n">
        <v>46090</v>
      </c>
      <c r="G391" t="inlineStr">
        <is>
          <t>09:32:00</t>
        </is>
      </c>
      <c r="H391" t="n">
        <v>467628050</v>
      </c>
      <c r="I391" t="n">
        <v>447128150</v>
      </c>
      <c r="J391" t="n">
        <v>0</v>
      </c>
      <c r="K391" t="n">
        <v>0</v>
      </c>
      <c r="M391">
        <f>I391-(H391+J391-K391)- L391</f>
        <v/>
      </c>
      <c r="N391">
        <f>IF(M391=0,"Cuadrado",IF(M391&gt;0,"Faltante","Sobrante"))</f>
        <v/>
      </c>
      <c r="O391" t="inlineStr">
        <is>
          <t>La diferencia es contabilizada por la Gerencia De Autoservicios y Efectivo de manera centralizada a la cuenta de sobrantes 279510020 el 10/03/2026</t>
        </is>
      </c>
      <c r="P391" t="n">
        <v>1121857901</v>
      </c>
    </row>
    <row r="392">
      <c r="A392" t="n">
        <v>395</v>
      </c>
      <c r="B392" t="n">
        <v>1529</v>
      </c>
      <c r="C392" t="inlineStr">
        <is>
          <t>BELLTECH</t>
        </is>
      </c>
      <c r="D392" t="inlineStr">
        <is>
          <t>BELLTECH</t>
        </is>
      </c>
      <c r="E392" s="3" t="n">
        <v>46091</v>
      </c>
      <c r="F392" s="3" t="n">
        <v>46090</v>
      </c>
      <c r="G392" t="inlineStr">
        <is>
          <t>09:50:00</t>
        </is>
      </c>
      <c r="H392" t="n">
        <v>359252800</v>
      </c>
      <c r="I392" t="n">
        <v>313938800</v>
      </c>
      <c r="J392" t="n">
        <v>2910000</v>
      </c>
      <c r="K392" t="n">
        <v>12454000</v>
      </c>
      <c r="M392">
        <f>I392-(H392+J392-K392)- L392</f>
        <v/>
      </c>
      <c r="N392">
        <f>IF(M392=0,"Cuadrado",IF(M392&gt;0,"Faltante","Sobrante"))</f>
        <v/>
      </c>
      <c r="O392" t="inlineStr">
        <is>
          <t>La diferencia es contabilizada por la Gerencia De Autoservicios y Efectivo de manera centralizada a la cuenta de sobrantes 279510020 el 10/03/2026</t>
        </is>
      </c>
      <c r="P392" t="n">
        <v>1121857901</v>
      </c>
    </row>
    <row r="393">
      <c r="A393" t="n">
        <v>867</v>
      </c>
      <c r="B393" t="n">
        <v>5043</v>
      </c>
      <c r="C393" t="inlineStr">
        <is>
          <t>BELLTECH</t>
        </is>
      </c>
      <c r="D393" t="inlineStr">
        <is>
          <t>BELLTECH</t>
        </is>
      </c>
      <c r="E393" s="3" t="n">
        <v>46091</v>
      </c>
      <c r="F393" s="3" t="n">
        <v>46090</v>
      </c>
      <c r="G393" t="inlineStr">
        <is>
          <t>09:07:00</t>
        </is>
      </c>
      <c r="H393" t="n">
        <v>294129700</v>
      </c>
      <c r="I393" t="n">
        <v>293361300</v>
      </c>
      <c r="J393" t="n">
        <v>1070000</v>
      </c>
      <c r="K393" t="n">
        <v>350000</v>
      </c>
      <c r="M393">
        <f>I393-(H393+J393-K393)- L393</f>
        <v/>
      </c>
      <c r="N393">
        <f>IF(M393=0,"Cuadrado",IF(M393&gt;0,"Faltante","Sobrante"))</f>
        <v/>
      </c>
      <c r="O393" t="inlineStr">
        <is>
          <t>La diferencia es contabilizada por la Gerencia De Autoservicios y Efectivo de manera centralizada a la cuenta de sobrantes 279510020 el 10/03/2026</t>
        </is>
      </c>
      <c r="P393" t="n">
        <v>1105611666</v>
      </c>
    </row>
    <row r="394">
      <c r="A394" t="n">
        <v>517</v>
      </c>
      <c r="B394" t="n">
        <v>5053</v>
      </c>
      <c r="C394" t="inlineStr">
        <is>
          <t>BELLTECH</t>
        </is>
      </c>
      <c r="D394" t="inlineStr">
        <is>
          <t>BELLTECH</t>
        </is>
      </c>
      <c r="E394" s="3" t="n">
        <v>46091</v>
      </c>
      <c r="F394" s="3" t="n">
        <v>46090</v>
      </c>
      <c r="G394" t="inlineStr">
        <is>
          <t>14:19:00</t>
        </is>
      </c>
      <c r="H394" t="n">
        <v>299074850</v>
      </c>
      <c r="I394" t="n">
        <v>183161250</v>
      </c>
      <c r="J394" t="n">
        <v>14800000</v>
      </c>
      <c r="K394" t="n">
        <v>113873000</v>
      </c>
      <c r="M394">
        <f>I394-(H394+J394-K394)- L394</f>
        <v/>
      </c>
      <c r="N394">
        <f>IF(M394=0,"Cuadrado",IF(M394&gt;0,"Faltante","Sobrante"))</f>
        <v/>
      </c>
      <c r="O394" t="inlineStr">
        <is>
          <t>La diferencia es contabilizada por la Gerencia De Autoservicios y Efectivo de manera centralizada a la cuenta de sobrantes 279510020 el 10/03/2026</t>
        </is>
      </c>
      <c r="P394" t="n">
        <v>1083026284</v>
      </c>
    </row>
    <row r="395">
      <c r="A395" t="n">
        <v>781</v>
      </c>
      <c r="B395" t="n">
        <v>5057</v>
      </c>
      <c r="C395" t="inlineStr">
        <is>
          <t>BELLTECH</t>
        </is>
      </c>
      <c r="D395" t="inlineStr">
        <is>
          <t>BELLTECH</t>
        </is>
      </c>
      <c r="E395" s="3" t="n">
        <v>46091</v>
      </c>
      <c r="F395" s="3" t="n">
        <v>46090</v>
      </c>
      <c r="G395" t="inlineStr">
        <is>
          <t>09:09:00</t>
        </is>
      </c>
      <c r="H395" t="n">
        <v>587079450</v>
      </c>
      <c r="I395" t="n">
        <v>580479400</v>
      </c>
      <c r="J395" t="n">
        <v>0</v>
      </c>
      <c r="K395" t="n">
        <v>0</v>
      </c>
      <c r="M395">
        <f>I395-(H395+J395-K395)- L395</f>
        <v/>
      </c>
      <c r="N395">
        <f>IF(M395=0,"Cuadrado",IF(M395&gt;0,"Faltante","Sobrante"))</f>
        <v/>
      </c>
      <c r="O395" t="inlineStr">
        <is>
          <t>La diferencia es contabilizada por la Gerencia De Autoservicios y Efectivo de manera centralizada a la cuenta de sobrantes 279510020 el 10/03/2026</t>
        </is>
      </c>
      <c r="P395" t="n">
        <v>1082836736</v>
      </c>
    </row>
    <row r="396">
      <c r="A396" t="n">
        <v>115</v>
      </c>
      <c r="B396" t="n">
        <v>5080</v>
      </c>
      <c r="C396" t="inlineStr">
        <is>
          <t>BELLTECH</t>
        </is>
      </c>
      <c r="D396" t="inlineStr">
        <is>
          <t>BELLTECH</t>
        </is>
      </c>
      <c r="E396" s="3" t="n">
        <v>46091</v>
      </c>
      <c r="F396" s="3" t="n">
        <v>46090</v>
      </c>
      <c r="G396" t="inlineStr">
        <is>
          <t>09:07:00</t>
        </is>
      </c>
      <c r="H396" t="n">
        <v>420816600</v>
      </c>
      <c r="I396" t="n">
        <v>421716600</v>
      </c>
      <c r="J396" t="n">
        <v>1600000</v>
      </c>
      <c r="K396" t="n">
        <v>0</v>
      </c>
      <c r="M396">
        <f>I396-(H396+J396-K396)- L396</f>
        <v/>
      </c>
      <c r="N396">
        <f>IF(M396=0,"Cuadrado",IF(M396&gt;0,"Faltante","Sobrante"))</f>
        <v/>
      </c>
      <c r="O396" t="inlineStr">
        <is>
          <t>La diferencia es contabilizada por la Gerencia De Autoservicios y Efectivo de manera centralizada a la cuenta de sobrantes 279510020 el 10/03/2026</t>
        </is>
      </c>
      <c r="P396" t="n">
        <v>42158306</v>
      </c>
    </row>
    <row r="397">
      <c r="A397" t="n">
        <v>523</v>
      </c>
      <c r="B397" t="n">
        <v>5082</v>
      </c>
      <c r="C397" t="inlineStr">
        <is>
          <t>BELLTECH</t>
        </is>
      </c>
      <c r="D397" t="inlineStr">
        <is>
          <t>BELLTECH</t>
        </is>
      </c>
      <c r="E397" s="3" t="n">
        <v>46091</v>
      </c>
      <c r="F397" s="3" t="n">
        <v>46090</v>
      </c>
      <c r="G397" t="inlineStr">
        <is>
          <t>08:54:00</t>
        </is>
      </c>
      <c r="H397" t="n">
        <v>46659900</v>
      </c>
      <c r="I397" t="n">
        <v>16257900</v>
      </c>
      <c r="J397" t="n">
        <v>0</v>
      </c>
      <c r="K397" t="n">
        <v>20001950</v>
      </c>
      <c r="M397">
        <f>I397-(H397+J397-K397)- L397</f>
        <v/>
      </c>
      <c r="N397">
        <f>IF(M397=0,"Cuadrado",IF(M397&gt;0,"Faltante","Sobrante"))</f>
        <v/>
      </c>
      <c r="O397" t="inlineStr">
        <is>
          <t>La diferencia es contabilizada por la Gerencia De Autoservicios y Efectivo de manera centralizada a la cuenta de sobrantes 279510020 el 10/03/2026</t>
        </is>
      </c>
      <c r="P397" t="n">
        <v>1065609766</v>
      </c>
    </row>
    <row r="398">
      <c r="A398" t="n">
        <v>291</v>
      </c>
      <c r="B398" t="n">
        <v>5114</v>
      </c>
      <c r="C398" t="inlineStr">
        <is>
          <t>BELLTECH</t>
        </is>
      </c>
      <c r="D398" t="inlineStr">
        <is>
          <t>BELLTECH</t>
        </is>
      </c>
      <c r="E398" s="3" t="n">
        <v>46091</v>
      </c>
      <c r="F398" s="3" t="n">
        <v>46090</v>
      </c>
      <c r="G398" t="inlineStr">
        <is>
          <t>09:46:00</t>
        </is>
      </c>
      <c r="H398" t="n">
        <v>420878050</v>
      </c>
      <c r="I398" t="n">
        <v>407308650</v>
      </c>
      <c r="J398" t="n">
        <v>6500000</v>
      </c>
      <c r="K398" t="n">
        <v>20075000</v>
      </c>
      <c r="L398" t="n">
        <v>5600</v>
      </c>
      <c r="M398">
        <f>I398-(H398+J398-K398)- L398</f>
        <v/>
      </c>
      <c r="N398">
        <f>IF(M398=0,"Cuadrado",IF(M398&gt;0,"Faltante","Sobrante"))</f>
        <v/>
      </c>
      <c r="O398" t="inlineStr">
        <is>
          <t>El faltante $5.600 es cruzado con sobrante contabilizado el día 05/03/2026 el cual es reversado por la seccion el día 10/03/2026</t>
        </is>
      </c>
      <c r="P398" t="n">
        <v>1095930956</v>
      </c>
    </row>
    <row r="399">
      <c r="A399" t="n">
        <v>76</v>
      </c>
      <c r="B399" t="n">
        <v>5126</v>
      </c>
      <c r="C399" t="inlineStr">
        <is>
          <t>BELLTECH</t>
        </is>
      </c>
      <c r="D399" t="inlineStr">
        <is>
          <t>BELLTECH</t>
        </is>
      </c>
      <c r="E399" s="3" t="n">
        <v>46091</v>
      </c>
      <c r="F399" s="3" t="n">
        <v>46090</v>
      </c>
      <c r="G399" t="inlineStr">
        <is>
          <t>15:17:00</t>
        </is>
      </c>
      <c r="H399" t="n">
        <v>163419000</v>
      </c>
      <c r="I399" t="n">
        <v>195474000</v>
      </c>
      <c r="J399" t="n">
        <v>47250000</v>
      </c>
      <c r="K399" t="n">
        <v>97632000</v>
      </c>
      <c r="L399" t="n">
        <v>82437000</v>
      </c>
      <c r="M399">
        <f>I399-(H399+J399-K399)- L399</f>
        <v/>
      </c>
      <c r="N399">
        <f>IF(M399=0,"Cuadrado",IF(M399&gt;0,"Faltante","Sobrante"))</f>
        <v/>
      </c>
      <c r="O399" t="inlineStr">
        <is>
          <t>Cajero cuadrado, sin observación por parte de la sucursal</t>
        </is>
      </c>
      <c r="P399" t="n">
        <v>1075274187</v>
      </c>
    </row>
    <row r="400">
      <c r="A400" t="n">
        <v>725</v>
      </c>
      <c r="B400" t="n">
        <v>5166</v>
      </c>
      <c r="C400" t="inlineStr">
        <is>
          <t>BELLTECH</t>
        </is>
      </c>
      <c r="D400" t="inlineStr">
        <is>
          <t>BELLTECH</t>
        </is>
      </c>
      <c r="E400" s="3" t="n">
        <v>46091</v>
      </c>
      <c r="F400" s="3" t="n">
        <v>46090</v>
      </c>
      <c r="G400" t="inlineStr">
        <is>
          <t>08:52:00</t>
        </is>
      </c>
      <c r="H400" t="n">
        <v>45913050</v>
      </c>
      <c r="I400" t="n">
        <v>46688050</v>
      </c>
      <c r="J400" t="n">
        <v>0</v>
      </c>
      <c r="K400" t="n">
        <v>0</v>
      </c>
      <c r="L400" t="n">
        <v>775000</v>
      </c>
      <c r="M400">
        <f>I400-(H400+J400-K400)- L400</f>
        <v/>
      </c>
      <c r="N400">
        <f>IF(M400=0,"Cuadrado",IF(M400&gt;0,"Faltante","Sobrante"))</f>
        <v/>
      </c>
      <c r="O400" t="inlineStr">
        <is>
          <t>El faltante $775.000 es cruzado con sobrante contabilizado el día 06/03/2026 el cual es reversado por la seccion el día 10/03/2026</t>
        </is>
      </c>
      <c r="P400" t="n">
        <v>1088032608</v>
      </c>
    </row>
    <row r="401">
      <c r="A401" t="n">
        <v>667</v>
      </c>
      <c r="B401" t="n">
        <v>5167</v>
      </c>
      <c r="C401" t="inlineStr">
        <is>
          <t>BELLTECH</t>
        </is>
      </c>
      <c r="D401" t="inlineStr">
        <is>
          <t>BELLTECH</t>
        </is>
      </c>
      <c r="E401" s="3" t="n">
        <v>46091</v>
      </c>
      <c r="F401" s="3" t="n">
        <v>46090</v>
      </c>
      <c r="G401" t="inlineStr">
        <is>
          <t>10:20:00</t>
        </is>
      </c>
      <c r="H401" t="n">
        <v>127546750</v>
      </c>
      <c r="I401" t="n">
        <v>129216700</v>
      </c>
      <c r="J401" t="n">
        <v>4920000</v>
      </c>
      <c r="K401" t="n">
        <v>3250000</v>
      </c>
      <c r="M401">
        <f>I401-(H401+J401-K401)- L401</f>
        <v/>
      </c>
      <c r="N401">
        <f>IF(M401=0,"Cuadrado",IF(M401&gt;0,"Faltante","Sobrante"))</f>
        <v/>
      </c>
      <c r="O401" t="inlineStr">
        <is>
          <t>La diferencia es contabilizada por la Gerencia De Autoservicios y Efectivo de manera centralizada a la cuenta de sobrantes 279510020 el 10/03/2026</t>
        </is>
      </c>
      <c r="P401" t="n">
        <v>79953058</v>
      </c>
    </row>
    <row r="402">
      <c r="A402" t="n">
        <v>756</v>
      </c>
      <c r="B402" t="n">
        <v>5183</v>
      </c>
      <c r="C402" t="inlineStr">
        <is>
          <t>DIEBOLD</t>
        </is>
      </c>
      <c r="D402" t="inlineStr">
        <is>
          <t>BELLTECH</t>
        </is>
      </c>
      <c r="E402" s="3" t="n">
        <v>46091</v>
      </c>
      <c r="F402" s="3" t="n">
        <v>46087</v>
      </c>
      <c r="G402" t="inlineStr">
        <is>
          <t>10:06:00</t>
        </is>
      </c>
      <c r="H402" t="n">
        <v>39276000</v>
      </c>
      <c r="I402" t="n">
        <v>210302000</v>
      </c>
      <c r="J402" t="n">
        <v>4170000</v>
      </c>
      <c r="K402" t="n">
        <v>5340000</v>
      </c>
      <c r="L402" t="n">
        <v>175516000</v>
      </c>
      <c r="M402">
        <f>I402-(H402+J402-K402)- L402</f>
        <v/>
      </c>
      <c r="N402">
        <f>IF(M402=0,"Cuadrado",IF(M402&gt;0,"Faltante","Sobrante"))</f>
        <v/>
      </c>
      <c r="O402" t="inlineStr">
        <is>
          <t>La diferencia es contabilizada por la Gerencia De Autoservicios y Efectivo de manera centralizada a la cuenta de sobrantes 279510020 el 10/03/2026</t>
        </is>
      </c>
      <c r="P402" t="n">
        <v>1094912219</v>
      </c>
    </row>
    <row r="403">
      <c r="A403" t="n">
        <v>698</v>
      </c>
      <c r="B403" t="n">
        <v>5187</v>
      </c>
      <c r="C403" t="inlineStr">
        <is>
          <t>BELLTECH</t>
        </is>
      </c>
      <c r="D403" t="inlineStr">
        <is>
          <t>BELLTECH</t>
        </is>
      </c>
      <c r="E403" s="3" t="n">
        <v>46091</v>
      </c>
      <c r="F403" s="3" t="n">
        <v>46090</v>
      </c>
      <c r="G403" t="inlineStr">
        <is>
          <t>09:25:00</t>
        </is>
      </c>
      <c r="H403" t="n">
        <v>278552450</v>
      </c>
      <c r="I403" t="n">
        <v>278552400</v>
      </c>
      <c r="J403" t="n">
        <v>0</v>
      </c>
      <c r="K403" t="n">
        <v>0</v>
      </c>
      <c r="M403">
        <f>I403-(H403+J403-K403)- L403</f>
        <v/>
      </c>
      <c r="N403">
        <f>IF(M403=0,"Cuadrado",IF(M403&gt;0,"Faltante","Sobrante"))</f>
        <v/>
      </c>
      <c r="O403" t="inlineStr">
        <is>
          <t>La diferencia es contabilizada por la Gerencia De Autoservicios y Efectivo de manera centralizada a la cuenta de sobrantes 279510020 el 10/03/2026</t>
        </is>
      </c>
      <c r="P403" t="n">
        <v>80177355</v>
      </c>
    </row>
    <row r="404">
      <c r="A404" t="n">
        <v>383</v>
      </c>
      <c r="B404" t="n">
        <v>5194</v>
      </c>
      <c r="C404" t="inlineStr">
        <is>
          <t>BELLTECH</t>
        </is>
      </c>
      <c r="D404" t="inlineStr">
        <is>
          <t>BELLTECH</t>
        </is>
      </c>
      <c r="E404" s="3" t="n">
        <v>46091</v>
      </c>
      <c r="F404" s="3" t="n">
        <v>46090</v>
      </c>
      <c r="G404" t="inlineStr">
        <is>
          <t>09:16:00</t>
        </is>
      </c>
      <c r="H404" t="n">
        <v>294935800</v>
      </c>
      <c r="I404" t="n">
        <v>295775800</v>
      </c>
      <c r="J404" t="n">
        <v>520000</v>
      </c>
      <c r="K404" t="n">
        <v>0</v>
      </c>
      <c r="L404" t="n">
        <v>320000</v>
      </c>
      <c r="M404">
        <f>I404-(H404+J404-K404)- L404</f>
        <v/>
      </c>
      <c r="N404">
        <f>IF(M404=0,"Cuadrado",IF(M404&gt;0,"Faltante","Sobrante"))</f>
        <v/>
      </c>
      <c r="O404" t="inlineStr">
        <is>
          <t>El faltante $320.000 es cruzado con sobrante contabilizado el día 06/03/2026 el cual es reversado por la seccion el día 10/03/2026</t>
        </is>
      </c>
      <c r="P404" t="n">
        <v>1073160492</v>
      </c>
    </row>
    <row r="405">
      <c r="A405" t="n">
        <v>455</v>
      </c>
      <c r="B405" t="n">
        <v>5206</v>
      </c>
      <c r="C405" t="inlineStr">
        <is>
          <t>BELLTECH</t>
        </is>
      </c>
      <c r="D405" t="inlineStr">
        <is>
          <t>BELLTECH</t>
        </is>
      </c>
      <c r="E405" s="3" t="n">
        <v>46091</v>
      </c>
      <c r="F405" s="3" t="n">
        <v>46090</v>
      </c>
      <c r="G405" t="inlineStr">
        <is>
          <t>14:05:00</t>
        </is>
      </c>
      <c r="H405" t="n">
        <v>197434400</v>
      </c>
      <c r="I405" t="n">
        <v>563024050</v>
      </c>
      <c r="J405" t="n">
        <v>8090000</v>
      </c>
      <c r="K405" t="n">
        <v>198081000</v>
      </c>
      <c r="L405" t="n">
        <v>564461000</v>
      </c>
      <c r="M405">
        <f>I405-(H405+J405-K405)- L405</f>
        <v/>
      </c>
      <c r="N405">
        <f>IF(M405=0,"Cuadrado",IF(M405&gt;0,"Faltante","Sobrante"))</f>
        <v/>
      </c>
      <c r="O405" t="inlineStr">
        <is>
          <t>La diferencia es contabilizada por la Gerencia De Autoservicios y Efectivo de manera centralizada a la cuenta de sobrantes 279510020 el 10/03/2026</t>
        </is>
      </c>
      <c r="P405" t="n">
        <v>1083896352</v>
      </c>
    </row>
    <row r="406">
      <c r="A406" t="n">
        <v>844</v>
      </c>
      <c r="B406" t="n">
        <v>6169</v>
      </c>
      <c r="C406" t="inlineStr">
        <is>
          <t>BELLTECH</t>
        </is>
      </c>
      <c r="D406" t="inlineStr">
        <is>
          <t>BELLTECH</t>
        </is>
      </c>
      <c r="E406" s="3" t="n">
        <v>46091</v>
      </c>
      <c r="F406" s="3" t="n">
        <v>46090</v>
      </c>
      <c r="G406" t="inlineStr">
        <is>
          <t>09:27:00</t>
        </is>
      </c>
      <c r="H406" t="n">
        <v>286603250</v>
      </c>
      <c r="I406" t="n">
        <v>500368650</v>
      </c>
      <c r="J406" t="n">
        <v>820000</v>
      </c>
      <c r="K406" t="n">
        <v>0</v>
      </c>
      <c r="L406" t="n">
        <v>213577000</v>
      </c>
      <c r="M406">
        <f>I406-(H406+J406-K406)- L406</f>
        <v/>
      </c>
      <c r="N406">
        <f>IF(M406=0,"Cuadrado",IF(M406&gt;0,"Faltante","Sobrante"))</f>
        <v/>
      </c>
      <c r="O406" t="inlineStr">
        <is>
          <t>La diferencia es contabilizada por la Gerencia De Autoservicios y Efectivo de manera centralizada a la cuenta de sobrantes 279510020 el 10/03/2026</t>
        </is>
      </c>
      <c r="P406" t="n">
        <v>86058432</v>
      </c>
    </row>
    <row r="407">
      <c r="A407" t="n">
        <v>820</v>
      </c>
      <c r="B407" t="n">
        <v>6174</v>
      </c>
      <c r="C407" t="inlineStr">
        <is>
          <t>BELLTECH</t>
        </is>
      </c>
      <c r="D407" t="inlineStr">
        <is>
          <t>BELLTECH</t>
        </is>
      </c>
      <c r="E407" s="3" t="n">
        <v>46091</v>
      </c>
      <c r="F407" s="3" t="n">
        <v>46090</v>
      </c>
      <c r="G407" t="inlineStr">
        <is>
          <t>15:47:00</t>
        </is>
      </c>
      <c r="H407" t="n">
        <v>62171600</v>
      </c>
      <c r="I407" t="n">
        <v>125609700</v>
      </c>
      <c r="J407" t="n">
        <v>12540000</v>
      </c>
      <c r="K407" t="n">
        <v>21669000</v>
      </c>
      <c r="L407" t="n">
        <v>55867000</v>
      </c>
      <c r="M407">
        <f>I407-(H407+J407-K407)- L407</f>
        <v/>
      </c>
      <c r="N407">
        <f>IF(M407=0,"Cuadrado",IF(M407&gt;0,"Faltante","Sobrante"))</f>
        <v/>
      </c>
      <c r="O407" t="inlineStr">
        <is>
          <t>REPITIERON ARQUEO</t>
        </is>
      </c>
      <c r="P407" t="n">
        <v>1090400247</v>
      </c>
    </row>
    <row r="408">
      <c r="A408" t="n">
        <v>477</v>
      </c>
      <c r="B408" t="n">
        <v>6251</v>
      </c>
      <c r="C408" t="inlineStr">
        <is>
          <t>BELLTECH</t>
        </is>
      </c>
      <c r="D408" t="inlineStr">
        <is>
          <t>BELLTECH</t>
        </is>
      </c>
      <c r="E408" s="3" t="n">
        <v>46091</v>
      </c>
      <c r="F408" s="3" t="n">
        <v>46090</v>
      </c>
      <c r="G408" t="inlineStr">
        <is>
          <t>10:13:00</t>
        </is>
      </c>
      <c r="H408" t="n">
        <v>155281050</v>
      </c>
      <c r="I408" t="n">
        <v>435774550</v>
      </c>
      <c r="J408" t="n">
        <v>9030000</v>
      </c>
      <c r="K408" t="n">
        <v>4340000</v>
      </c>
      <c r="L408" t="n">
        <v>280774000</v>
      </c>
      <c r="M408">
        <f>I408-(H408+J408-K408)- L408</f>
        <v/>
      </c>
      <c r="N408">
        <f>IF(M408=0,"Cuadrado",IF(M408&gt;0,"Faltante","Sobrante"))</f>
        <v/>
      </c>
      <c r="O408" t="inlineStr">
        <is>
          <t>La diferencia es contabilizada por la Gerencia De Autoservicios y Efectivo de manera centralizada a la cuenta de sobrantes 279510020 el 10/03/2026</t>
        </is>
      </c>
      <c r="P408" t="n">
        <v>1140850613</v>
      </c>
    </row>
    <row r="409">
      <c r="A409" t="n">
        <v>613</v>
      </c>
      <c r="B409" t="n">
        <v>6713</v>
      </c>
      <c r="C409" t="inlineStr">
        <is>
          <t>DIEBOLD</t>
        </is>
      </c>
      <c r="D409" t="inlineStr">
        <is>
          <t>DIEBOLD</t>
        </is>
      </c>
      <c r="E409" s="3" t="n">
        <v>46091</v>
      </c>
      <c r="F409" s="3" t="n">
        <v>46090</v>
      </c>
      <c r="G409" t="inlineStr">
        <is>
          <t>14:08:00</t>
        </is>
      </c>
      <c r="H409" t="n">
        <v>139679500</v>
      </c>
      <c r="I409" t="n">
        <v>139937500</v>
      </c>
      <c r="J409" t="n">
        <v>2950000</v>
      </c>
      <c r="K409" t="n">
        <v>1840000</v>
      </c>
      <c r="M409">
        <f>I409-(H409+J409-K409)- L409</f>
        <v/>
      </c>
      <c r="N409">
        <f>IF(M409=0,"Cuadrado",IF(M409&gt;0,"Faltante","Sobrante"))</f>
        <v/>
      </c>
      <c r="O409" t="inlineStr">
        <is>
          <t>La diferencia es contabilizada por la Gerencia De Autoservicios y Efectivo de manera centralizada a la cuenta de sobrantes 279510020 el 10/03/2026</t>
        </is>
      </c>
      <c r="P409" t="n">
        <v>1040325060</v>
      </c>
    </row>
    <row r="410">
      <c r="A410" t="n">
        <v>385</v>
      </c>
      <c r="B410" t="n">
        <v>7139</v>
      </c>
      <c r="C410" t="inlineStr">
        <is>
          <t>BELLTECH</t>
        </is>
      </c>
      <c r="D410" t="inlineStr">
        <is>
          <t>BELLTECH</t>
        </is>
      </c>
      <c r="E410" s="3" t="n">
        <v>46091</v>
      </c>
      <c r="F410" s="3" t="n">
        <v>46090</v>
      </c>
      <c r="G410" t="inlineStr">
        <is>
          <t>16:24:00</t>
        </is>
      </c>
      <c r="H410" t="n">
        <v>128538550</v>
      </c>
      <c r="I410" t="n">
        <v>120110750</v>
      </c>
      <c r="J410" t="n">
        <v>33970000</v>
      </c>
      <c r="K410" t="n">
        <v>26851000</v>
      </c>
      <c r="M410">
        <f>I410-(H410+J410-K410)- L410</f>
        <v/>
      </c>
      <c r="N410">
        <f>IF(M410=0,"Cuadrado",IF(M410&gt;0,"Faltante","Sobrante"))</f>
        <v/>
      </c>
      <c r="O410" t="inlineStr">
        <is>
          <t>La diferencia es contabilizada por la Gerencia De Autoservicios y Efectivo de manera centralizada a la cuenta de sobrantes 279510020 el 10/03/2026</t>
        </is>
      </c>
      <c r="P410" t="n">
        <v>1077970238</v>
      </c>
    </row>
    <row r="411">
      <c r="A411" t="n">
        <v>848</v>
      </c>
      <c r="B411" t="n">
        <v>7374</v>
      </c>
      <c r="C411" t="inlineStr">
        <is>
          <t>DIEBOLD</t>
        </is>
      </c>
      <c r="D411" t="inlineStr">
        <is>
          <t>DIEBOLD</t>
        </is>
      </c>
      <c r="E411" s="3" t="n">
        <v>46091</v>
      </c>
      <c r="F411" s="3" t="n">
        <v>46090</v>
      </c>
      <c r="G411" t="inlineStr">
        <is>
          <t>14:29:00</t>
        </is>
      </c>
      <c r="H411" t="n">
        <v>46734150</v>
      </c>
      <c r="I411" t="n">
        <v>32765200</v>
      </c>
      <c r="J411" t="n">
        <v>2340000</v>
      </c>
      <c r="K411" t="n">
        <v>17000000</v>
      </c>
      <c r="L411" t="n">
        <v>691050</v>
      </c>
      <c r="M411">
        <f>I411-(H411+J411-K411)- L411</f>
        <v/>
      </c>
      <c r="N411">
        <f>IF(M411=0,"Cuadrado",IF(M411&gt;0,"Faltante","Sobrante"))</f>
        <v/>
      </c>
      <c r="O411" t="inlineStr">
        <is>
          <t>El faltante $691.050 es cruzado con sobrante contabilizado el día 06/03/2026 el cual es reversado por la seccion el día 10/03/2026</t>
        </is>
      </c>
      <c r="P411" t="n">
        <v>29877107</v>
      </c>
    </row>
    <row r="412">
      <c r="A412" t="n">
        <v>569</v>
      </c>
      <c r="B412" t="n">
        <v>8129</v>
      </c>
      <c r="C412" t="inlineStr">
        <is>
          <t>DIEBOLD</t>
        </is>
      </c>
      <c r="D412" t="inlineStr">
        <is>
          <t>DIEBOLD</t>
        </is>
      </c>
      <c r="E412" s="3" t="n">
        <v>46091</v>
      </c>
      <c r="F412" s="3" t="n">
        <v>46090</v>
      </c>
      <c r="G412" t="inlineStr">
        <is>
          <t>10:52:00</t>
        </is>
      </c>
      <c r="H412" t="n">
        <v>256898200</v>
      </c>
      <c r="I412" t="n">
        <v>264208200</v>
      </c>
      <c r="J412" t="n">
        <v>10550000</v>
      </c>
      <c r="K412" t="n">
        <v>0</v>
      </c>
      <c r="M412">
        <f>I412-(H412+J412-K412)- L412</f>
        <v/>
      </c>
      <c r="N412">
        <f>IF(M412=0,"Cuadrado",IF(M412&gt;0,"Faltante","Sobrante"))</f>
        <v/>
      </c>
      <c r="O412" t="inlineStr">
        <is>
          <t>La diferencia es contabilizada por la Gerencia De Autoservicios y Efectivo de manera centralizada a la cuenta de sobrantes 279510020 el 10/03/2026</t>
        </is>
      </c>
      <c r="P412" t="n">
        <v>10779993</v>
      </c>
    </row>
    <row r="413">
      <c r="A413" t="n">
        <v>291</v>
      </c>
      <c r="B413" t="n">
        <v>8139</v>
      </c>
      <c r="C413" t="inlineStr">
        <is>
          <t>DIEBOLD</t>
        </is>
      </c>
      <c r="D413" t="inlineStr">
        <is>
          <t>DIEBOLD</t>
        </is>
      </c>
      <c r="E413" s="3" t="n">
        <v>46091</v>
      </c>
      <c r="F413" s="3" t="n">
        <v>46090</v>
      </c>
      <c r="G413" t="inlineStr">
        <is>
          <t>10:45:00</t>
        </is>
      </c>
      <c r="H413" t="n">
        <v>260314550</v>
      </c>
      <c r="I413" t="n">
        <v>283871550</v>
      </c>
      <c r="J413" t="n">
        <v>25500000</v>
      </c>
      <c r="K413" t="n">
        <v>0</v>
      </c>
      <c r="L413" t="n">
        <v>-1943000</v>
      </c>
      <c r="M413">
        <f>I413-(H413+J413-K413)- L413</f>
        <v/>
      </c>
      <c r="N413">
        <f>IF(M413=0,"Cuadrado",IF(M413&gt;0,"Faltante","Sobrante"))</f>
        <v/>
      </c>
      <c r="O413" t="inlineStr">
        <is>
          <t>El faltante $57.000 es cruzado con sobrante contabilizado el día 09/03/2026 el cual es reversado por la seccion el día 10/03/2026</t>
        </is>
      </c>
      <c r="P413" t="n">
        <v>1095930956</v>
      </c>
    </row>
    <row r="414">
      <c r="A414" t="n">
        <v>556</v>
      </c>
      <c r="B414" t="n">
        <v>8333</v>
      </c>
      <c r="C414" t="inlineStr">
        <is>
          <t>BELLTECH</t>
        </is>
      </c>
      <c r="D414" t="inlineStr">
        <is>
          <t>BELLTECH</t>
        </is>
      </c>
      <c r="E414" s="3" t="n">
        <v>46091</v>
      </c>
      <c r="F414" s="3" t="n">
        <v>46090</v>
      </c>
      <c r="G414" t="inlineStr">
        <is>
          <t>10:13:00</t>
        </is>
      </c>
      <c r="H414" t="n">
        <v>387578900</v>
      </c>
      <c r="I414" t="n">
        <v>379432100</v>
      </c>
      <c r="J414" t="n">
        <v>7700000</v>
      </c>
      <c r="K414" t="n">
        <v>15818000</v>
      </c>
      <c r="L414" t="n">
        <v>-28700</v>
      </c>
      <c r="M414">
        <f>I414-(H414+J414-K414)- L414</f>
        <v/>
      </c>
      <c r="N414">
        <f>IF(M414=0,"Cuadrado",IF(M414&gt;0,"Faltante","Sobrante"))</f>
        <v/>
      </c>
      <c r="O414" t="inlineStr">
        <is>
          <t>La diferencia es contabilizada por la Gerencia De Autoservicios y Efectivo de manera centralizada a la cuenta de sobrantes 279510020 el 10/03/2026</t>
        </is>
      </c>
      <c r="P414" t="n">
        <v>39450196</v>
      </c>
    </row>
    <row r="415">
      <c r="A415" t="n">
        <v>495</v>
      </c>
      <c r="B415" t="n">
        <v>8482</v>
      </c>
      <c r="C415" t="inlineStr">
        <is>
          <t>BELLTECH</t>
        </is>
      </c>
      <c r="D415" t="inlineStr">
        <is>
          <t>BELLTECH</t>
        </is>
      </c>
      <c r="E415" s="3" t="n">
        <v>46091</v>
      </c>
      <c r="F415" s="3" t="n">
        <v>46090</v>
      </c>
      <c r="G415" t="inlineStr">
        <is>
          <t>10:24:00</t>
        </is>
      </c>
      <c r="H415" t="n">
        <v>37697400</v>
      </c>
      <c r="I415" t="n">
        <v>38149400</v>
      </c>
      <c r="J415" t="n">
        <v>0</v>
      </c>
      <c r="K415" t="n">
        <v>0</v>
      </c>
      <c r="M415">
        <f>I415-(H415+J415-K415)- L415</f>
        <v/>
      </c>
      <c r="N415">
        <f>IF(M415=0,"Cuadrado",IF(M415&gt;0,"Faltante","Sobrante"))</f>
        <v/>
      </c>
      <c r="O415" t="inlineStr">
        <is>
          <t>La diferencia es contabilizada por la Gerencia De Autoservicios y Efectivo de manera centralizada a la cuenta de faltantes 168710093 el 01003/2026, esta diferencia ingresa a proceso de investigación en el área para identificar a que corresponde.</t>
        </is>
      </c>
      <c r="P415" t="n">
        <v>1052081923</v>
      </c>
    </row>
    <row r="416">
      <c r="A416" t="n">
        <v>60</v>
      </c>
      <c r="B416" t="n">
        <v>8728</v>
      </c>
      <c r="C416" t="inlineStr">
        <is>
          <t>DIEBOLD</t>
        </is>
      </c>
      <c r="D416" t="inlineStr">
        <is>
          <t>DIEBOLD</t>
        </is>
      </c>
      <c r="E416" s="3" t="n">
        <v>46091</v>
      </c>
      <c r="F416" s="3" t="n">
        <v>46090</v>
      </c>
      <c r="G416" t="inlineStr">
        <is>
          <t>11:00:00</t>
        </is>
      </c>
      <c r="H416" t="n">
        <v>147853100</v>
      </c>
      <c r="I416" t="n">
        <v>145400100</v>
      </c>
      <c r="J416" t="n">
        <v>3320000</v>
      </c>
      <c r="K416" t="n">
        <v>6020000</v>
      </c>
      <c r="M416">
        <f>I416-(H416+J416-K416)- L416</f>
        <v/>
      </c>
      <c r="N416">
        <f>IF(M416=0,"Cuadrado",IF(M416&gt;0,"Faltante","Sobrante"))</f>
        <v/>
      </c>
      <c r="O416" t="inlineStr">
        <is>
          <t>La diferencia es contabilizada por la Gerencia De Autoservicios y Efectivo de manera centralizada a la cuenta de faltantes 168710093 el 01003/2026, esta diferencia ingresa a proceso de investigación en el área para identificar a que corresponde.</t>
        </is>
      </c>
      <c r="P416" t="n">
        <v>14697128</v>
      </c>
    </row>
    <row r="417">
      <c r="A417" t="n">
        <v>60</v>
      </c>
      <c r="B417" t="n">
        <v>8729</v>
      </c>
      <c r="C417" t="inlineStr">
        <is>
          <t>BELLTECH</t>
        </is>
      </c>
      <c r="D417" t="inlineStr">
        <is>
          <t>BELLTECH</t>
        </is>
      </c>
      <c r="E417" s="3" t="n">
        <v>46091</v>
      </c>
      <c r="F417" s="3" t="n">
        <v>46090</v>
      </c>
      <c r="G417" t="inlineStr">
        <is>
          <t>10:37:00</t>
        </is>
      </c>
      <c r="H417" t="n">
        <v>102452400</v>
      </c>
      <c r="I417" t="n">
        <v>96472400</v>
      </c>
      <c r="J417" t="n">
        <v>2860000</v>
      </c>
      <c r="K417" t="n">
        <v>8850000</v>
      </c>
      <c r="L417" t="n">
        <v>10000</v>
      </c>
      <c r="M417">
        <f>I417-(H417+J417-K417)- L417</f>
        <v/>
      </c>
      <c r="N417">
        <f>IF(M417=0,"Cuadrado",IF(M417&gt;0,"Faltante","Sobrante"))</f>
        <v/>
      </c>
      <c r="O417" t="inlineStr">
        <is>
          <t>El faltante $10.000 es cruzado con sobrante contabilizado el día 05/03/2026 el cual es reversado por la seccion el día 10/03/2026</t>
        </is>
      </c>
      <c r="P417" t="n">
        <v>14697128</v>
      </c>
    </row>
    <row r="418">
      <c r="A418" t="n">
        <v>451</v>
      </c>
      <c r="B418" t="n">
        <v>9434</v>
      </c>
      <c r="C418" t="inlineStr">
        <is>
          <t>BELLTECH</t>
        </is>
      </c>
      <c r="D418" t="inlineStr">
        <is>
          <t>BELLTECH</t>
        </is>
      </c>
      <c r="E418" s="3" t="n">
        <v>46091</v>
      </c>
      <c r="F418" s="3" t="n">
        <v>46090</v>
      </c>
      <c r="G418" t="inlineStr">
        <is>
          <t>16:24:00</t>
        </is>
      </c>
      <c r="H418" t="n">
        <v>99399350</v>
      </c>
      <c r="I418" t="n">
        <v>-285680200</v>
      </c>
      <c r="J418" t="n">
        <v>123550000</v>
      </c>
      <c r="K418" t="n">
        <v>23629550</v>
      </c>
      <c r="L418" t="n">
        <v>-485000000</v>
      </c>
      <c r="M418">
        <f>I418-(H418+J418-K418)- L418</f>
        <v/>
      </c>
      <c r="N418">
        <f>IF(M418=0,"Cuadrado",IF(M418&gt;0,"Faltante","Sobrante"))</f>
        <v/>
      </c>
      <c r="O418" t="inlineStr">
        <is>
          <t>Cajero cuadrado, sin observación por parte de la sucursal</t>
        </is>
      </c>
      <c r="P418" t="n">
        <v>1123206969</v>
      </c>
    </row>
    <row r="419">
      <c r="A419" t="n">
        <v>367</v>
      </c>
      <c r="B419" t="n">
        <v>9580</v>
      </c>
      <c r="C419" t="inlineStr">
        <is>
          <t>BELLTECH</t>
        </is>
      </c>
      <c r="D419" t="inlineStr">
        <is>
          <t>BELLTECH</t>
        </is>
      </c>
      <c r="E419" s="3" t="n">
        <v>46091</v>
      </c>
      <c r="F419" s="3" t="n">
        <v>46090</v>
      </c>
      <c r="G419" t="inlineStr">
        <is>
          <t>15:25:00</t>
        </is>
      </c>
      <c r="H419" t="n">
        <v>111885800</v>
      </c>
      <c r="I419" t="n">
        <v>99855800</v>
      </c>
      <c r="J419" t="n">
        <v>21780000</v>
      </c>
      <c r="K419" t="n">
        <v>33900000</v>
      </c>
      <c r="L419" t="n">
        <v>90000</v>
      </c>
      <c r="M419">
        <f>I419-(H419+J419-K419)- L419</f>
        <v/>
      </c>
      <c r="N419">
        <f>IF(M419=0,"Cuadrado",IF(M419&gt;0,"Faltante","Sobrante"))</f>
        <v/>
      </c>
      <c r="O419" t="inlineStr">
        <is>
          <t>El faltante $90.000 es cruzado con sobrante contabilizado el día 06/03/2026 el cual es reversado por la seccion el día 10/03/2026</t>
        </is>
      </c>
      <c r="P419" t="n">
        <v>1120360426</v>
      </c>
    </row>
    <row r="420">
      <c r="A420" t="n">
        <v>890</v>
      </c>
      <c r="B420" t="n">
        <v>9584</v>
      </c>
      <c r="C420" t="inlineStr">
        <is>
          <t>BELLTECH</t>
        </is>
      </c>
      <c r="D420" t="inlineStr">
        <is>
          <t>BELLTECH</t>
        </is>
      </c>
      <c r="E420" s="3" t="n">
        <v>46091</v>
      </c>
      <c r="F420" s="3" t="n">
        <v>46090</v>
      </c>
      <c r="G420" t="inlineStr">
        <is>
          <t>10:02:00</t>
        </is>
      </c>
      <c r="H420" t="n">
        <v>11069150</v>
      </c>
      <c r="I420" t="n">
        <v>122262150</v>
      </c>
      <c r="J420" t="n">
        <v>2690000</v>
      </c>
      <c r="K420" t="n">
        <v>1434000</v>
      </c>
      <c r="L420" t="n">
        <v>116897000</v>
      </c>
      <c r="M420">
        <f>I420-(H420+J420-K420)- L420</f>
        <v/>
      </c>
      <c r="N420">
        <f>IF(M420=0,"Cuadrado",IF(M420&gt;0,"Faltante","Sobrante"))</f>
        <v/>
      </c>
      <c r="O420" t="inlineStr">
        <is>
          <t>La diferencia es contabilizada por la Gerencia De Autoservicios y Efectivo de manera centralizada a la cuenta de sobrantes 279510020 el 10/03/2026</t>
        </is>
      </c>
      <c r="P420" t="n">
        <v>1053835867</v>
      </c>
    </row>
    <row r="421">
      <c r="A421" t="n">
        <v>516</v>
      </c>
      <c r="B421" t="n">
        <v>9729</v>
      </c>
      <c r="C421" t="inlineStr">
        <is>
          <t>BELLTECH</t>
        </is>
      </c>
      <c r="D421" t="inlineStr">
        <is>
          <t>BELLTECH</t>
        </is>
      </c>
      <c r="E421" s="3" t="n">
        <v>46091</v>
      </c>
      <c r="F421" s="3" t="n">
        <v>46090</v>
      </c>
      <c r="G421" t="inlineStr">
        <is>
          <t>10:57:00</t>
        </is>
      </c>
      <c r="H421" t="n">
        <v>174326750</v>
      </c>
      <c r="I421" t="n">
        <v>177144350</v>
      </c>
      <c r="J421" t="n">
        <v>650000</v>
      </c>
      <c r="K421" t="n">
        <v>0</v>
      </c>
      <c r="M421">
        <f>I421-(H421+J421-K421)- L421</f>
        <v/>
      </c>
      <c r="N421">
        <f>IF(M421=0,"Cuadrado",IF(M421&gt;0,"Faltante","Sobrante"))</f>
        <v/>
      </c>
      <c r="O421" t="inlineStr">
        <is>
          <t>REPITIERON ARQUEO</t>
        </is>
      </c>
      <c r="P421" t="n">
        <v>1102850956</v>
      </c>
    </row>
    <row r="422">
      <c r="A422" t="n">
        <v>265</v>
      </c>
      <c r="B422" t="n">
        <v>5083</v>
      </c>
      <c r="C422" t="inlineStr">
        <is>
          <t>BELLTECH</t>
        </is>
      </c>
      <c r="D422" t="inlineStr">
        <is>
          <t>BELLTECH</t>
        </is>
      </c>
      <c r="E422" s="3" t="n">
        <v>46091</v>
      </c>
      <c r="F422" s="3" t="n">
        <v>46090</v>
      </c>
      <c r="G422" t="inlineStr">
        <is>
          <t>10:21:00</t>
        </is>
      </c>
      <c r="H422" t="n">
        <v>316858750</v>
      </c>
      <c r="I422" t="n">
        <v>330808750</v>
      </c>
      <c r="J422" t="n">
        <v>13950000</v>
      </c>
      <c r="K422" t="n">
        <v>0</v>
      </c>
      <c r="M422">
        <f>I422-(H422+J422-K422)- L422</f>
        <v/>
      </c>
      <c r="N422">
        <f>IF(M422=0,"Cuadrado",IF(M422&gt;0,"Faltante","Sobrante"))</f>
        <v/>
      </c>
      <c r="O422" t="inlineStr">
        <is>
          <t>Cajero cuadrado, sin observación por parte de la sucursal</t>
        </is>
      </c>
      <c r="P422" t="n">
        <v>1107081130</v>
      </c>
    </row>
    <row r="423">
      <c r="A423" t="n">
        <v>725</v>
      </c>
      <c r="B423" t="n">
        <v>8090</v>
      </c>
      <c r="C423" t="inlineStr">
        <is>
          <t>BELLTECH</t>
        </is>
      </c>
      <c r="D423" t="inlineStr">
        <is>
          <t>BELLTECH</t>
        </is>
      </c>
      <c r="E423" s="3" t="n">
        <v>46091</v>
      </c>
      <c r="F423" s="3" t="n">
        <v>46090</v>
      </c>
      <c r="G423" t="inlineStr">
        <is>
          <t>09:16:00</t>
        </is>
      </c>
      <c r="H423" t="n">
        <v>48107200</v>
      </c>
      <c r="I423" t="n">
        <v>43837200</v>
      </c>
      <c r="J423" t="n">
        <v>2360000</v>
      </c>
      <c r="K423" t="n">
        <v>6630000</v>
      </c>
      <c r="M423">
        <f>I423-(H423+J423-K423)- L423</f>
        <v/>
      </c>
      <c r="N423">
        <f>IF(M423=0,"Cuadrado",IF(M423&gt;0,"Faltante","Sobrante"))</f>
        <v/>
      </c>
      <c r="O423" t="inlineStr">
        <is>
          <t>Cajero cuadrado, sin observación por parte de la sucursal</t>
        </is>
      </c>
      <c r="P423" t="n">
        <v>1088032608</v>
      </c>
    </row>
    <row r="424">
      <c r="A424" t="n">
        <v>728</v>
      </c>
      <c r="B424" t="n">
        <v>8586</v>
      </c>
      <c r="C424" t="inlineStr">
        <is>
          <t>BELLTECH</t>
        </is>
      </c>
      <c r="D424" t="inlineStr">
        <is>
          <t>BELLTECH</t>
        </is>
      </c>
      <c r="E424" s="3" t="n">
        <v>46091</v>
      </c>
      <c r="F424" s="3" t="n">
        <v>46090</v>
      </c>
      <c r="G424" t="inlineStr">
        <is>
          <t>09:08:00</t>
        </is>
      </c>
      <c r="H424" t="n">
        <v>101942150</v>
      </c>
      <c r="I424" t="n">
        <v>104962150</v>
      </c>
      <c r="J424" t="n">
        <v>4470000</v>
      </c>
      <c r="K424" t="n">
        <v>1450000</v>
      </c>
      <c r="M424">
        <f>I424-(H424+J424-K424)- L424</f>
        <v/>
      </c>
      <c r="N424">
        <f>IF(M424=0,"Cuadrado",IF(M424&gt;0,"Faltante","Sobrante"))</f>
        <v/>
      </c>
      <c r="O424" t="inlineStr">
        <is>
          <t>Cajero cuadrado, sin observación por parte de la sucursal</t>
        </is>
      </c>
      <c r="P424" t="n">
        <v>1112783690</v>
      </c>
    </row>
    <row r="425">
      <c r="A425" t="n">
        <v>728</v>
      </c>
      <c r="B425" t="n">
        <v>8587</v>
      </c>
      <c r="C425" t="inlineStr">
        <is>
          <t>BELLTECH</t>
        </is>
      </c>
      <c r="D425" t="inlineStr">
        <is>
          <t>BELLTECH</t>
        </is>
      </c>
      <c r="E425" s="3" t="n">
        <v>46091</v>
      </c>
      <c r="F425" s="3" t="n">
        <v>46090</v>
      </c>
      <c r="G425" t="inlineStr">
        <is>
          <t>08:51:00</t>
        </is>
      </c>
      <c r="H425" t="n">
        <v>139335350</v>
      </c>
      <c r="I425" t="n">
        <v>138565350</v>
      </c>
      <c r="J425" t="n">
        <v>2330000</v>
      </c>
      <c r="K425" t="n">
        <v>3100000</v>
      </c>
      <c r="M425">
        <f>I425-(H425+J425-K425)- L425</f>
        <v/>
      </c>
      <c r="N425">
        <f>IF(M425=0,"Cuadrado",IF(M425&gt;0,"Faltante","Sobrante"))</f>
        <v/>
      </c>
      <c r="O425" t="inlineStr">
        <is>
          <t>Cajero cuadrado, sin observación por parte de la sucursal</t>
        </is>
      </c>
      <c r="P425" t="n">
        <v>1112783690</v>
      </c>
    </row>
    <row r="426">
      <c r="A426" t="n">
        <v>333</v>
      </c>
      <c r="B426" t="n">
        <v>442</v>
      </c>
      <c r="C426" t="inlineStr">
        <is>
          <t>DIEBOLD</t>
        </is>
      </c>
      <c r="D426" t="inlineStr">
        <is>
          <t>DIEBOLD</t>
        </is>
      </c>
      <c r="E426" s="3" t="n">
        <v>46090</v>
      </c>
      <c r="F426" s="3" t="n">
        <v>46087</v>
      </c>
      <c r="G426" t="inlineStr">
        <is>
          <t>15:21:00</t>
        </is>
      </c>
      <c r="H426" t="n">
        <v>224676050</v>
      </c>
      <c r="I426" t="n">
        <v>311601350</v>
      </c>
      <c r="J426" t="n">
        <v>25030000</v>
      </c>
      <c r="K426" t="n">
        <v>81249200</v>
      </c>
      <c r="M426">
        <f>I426-(H426+J426-K426)- L426</f>
        <v/>
      </c>
      <c r="N426">
        <f>IF(M426=0,"Cuadrado",IF(M426&gt;0,"Faltante","Sobrante"))</f>
        <v/>
      </c>
      <c r="O426" t="inlineStr">
        <is>
          <t>REPITIERON ARQUEO</t>
        </is>
      </c>
      <c r="P426" t="n">
        <v>1036606819</v>
      </c>
    </row>
    <row r="427">
      <c r="A427" t="n">
        <v>214</v>
      </c>
      <c r="B427" t="n">
        <v>1469</v>
      </c>
      <c r="C427" t="inlineStr">
        <is>
          <t>BELLTECH</t>
        </is>
      </c>
      <c r="D427" t="inlineStr">
        <is>
          <t>BELLTECH</t>
        </is>
      </c>
      <c r="E427" s="3" t="n">
        <v>46090</v>
      </c>
      <c r="F427" s="3" t="n">
        <v>46086</v>
      </c>
      <c r="G427" t="inlineStr">
        <is>
          <t>15:11:00</t>
        </is>
      </c>
      <c r="H427" t="n">
        <v>201139500</v>
      </c>
      <c r="I427" t="n">
        <v>176098200</v>
      </c>
      <c r="J427" t="n">
        <v>15560000</v>
      </c>
      <c r="K427" t="n">
        <v>45367700</v>
      </c>
      <c r="L427" t="n">
        <v>2350700</v>
      </c>
      <c r="M427">
        <f>I427-(H427+J427-K427)- L427</f>
        <v/>
      </c>
      <c r="N427">
        <f>IF(M427=0,"Cuadrado",IF(M427&gt;0,"Faltante","Sobrante"))</f>
        <v/>
      </c>
      <c r="O427" t="inlineStr">
        <is>
          <t xml:space="preserve"> El faltante $2.350.700 es cruzado con sobrante contabilizado el día 04/03/2026 el cual es reversado por la seccion el día 09/03/2026
REPITIERON ARQUEO</t>
        </is>
      </c>
      <c r="P427" t="n">
        <v>1143387256</v>
      </c>
    </row>
    <row r="428">
      <c r="A428" t="n">
        <v>438</v>
      </c>
      <c r="B428" t="n">
        <v>1565</v>
      </c>
      <c r="C428" t="inlineStr">
        <is>
          <t>BELLTECH</t>
        </is>
      </c>
      <c r="D428" t="inlineStr">
        <is>
          <t>BELLTECH</t>
        </is>
      </c>
      <c r="E428" s="3" t="n">
        <v>46090</v>
      </c>
      <c r="F428" s="3" t="n">
        <v>46087</v>
      </c>
      <c r="G428" t="inlineStr">
        <is>
          <t>08:42:57</t>
        </is>
      </c>
      <c r="H428" t="n">
        <v>112070150</v>
      </c>
      <c r="I428" t="n">
        <v>129200150</v>
      </c>
      <c r="J428" t="n">
        <v>9880000</v>
      </c>
      <c r="K428" t="n">
        <v>810000</v>
      </c>
      <c r="L428" t="n">
        <v>7060000</v>
      </c>
      <c r="M428">
        <f>I428-(H428+J428-K428)- L428</f>
        <v/>
      </c>
      <c r="N428">
        <f>IF(M428=0,"Cuadrado",IF(M428&gt;0,"Faltante","Sobrante"))</f>
        <v/>
      </c>
      <c r="O428" t="inlineStr">
        <is>
          <t>ACLARAR DIFERENCIA Y REPETIR EL ARQUEO El faltante $7.060.000 es cruzado con sobrante contabilizado el día 04/03/2026 y sobrante contabilizado el día 06/03/2026 $40.000 el cual es reversado por la seccion el día 09/03/2026</t>
        </is>
      </c>
      <c r="P428" t="n">
        <v>1027887603</v>
      </c>
    </row>
    <row r="429">
      <c r="A429" t="n">
        <v>333</v>
      </c>
      <c r="B429" t="n">
        <v>5076</v>
      </c>
      <c r="C429" t="inlineStr">
        <is>
          <t>BELLTECH</t>
        </is>
      </c>
      <c r="D429" t="inlineStr">
        <is>
          <t>BELLTECH</t>
        </is>
      </c>
      <c r="E429" s="3" t="n">
        <v>46090</v>
      </c>
      <c r="F429" s="3" t="n">
        <v>46087</v>
      </c>
      <c r="G429" t="inlineStr">
        <is>
          <t>15:40:00</t>
        </is>
      </c>
      <c r="H429" t="n">
        <v>86800500</v>
      </c>
      <c r="I429" t="n">
        <v>475724300</v>
      </c>
      <c r="J429" t="n">
        <v>22600000</v>
      </c>
      <c r="K429" t="n">
        <v>50817000</v>
      </c>
      <c r="L429" t="n">
        <v>319775000</v>
      </c>
      <c r="M429">
        <f>I429-(H429+J429-K429)- L429</f>
        <v/>
      </c>
      <c r="N429">
        <f>IF(M429=0,"Cuadrado",IF(M429&gt;0,"Faltante","Sobrante"))</f>
        <v/>
      </c>
      <c r="O429" t="inlineStr">
        <is>
          <t>REPITIERON ARQUEO</t>
        </is>
      </c>
      <c r="P429" t="n">
        <v>1036606819</v>
      </c>
    </row>
    <row r="430">
      <c r="A430" t="n">
        <v>197</v>
      </c>
      <c r="B430" t="n">
        <v>5084</v>
      </c>
      <c r="C430" t="inlineStr">
        <is>
          <t>BELLTECH</t>
        </is>
      </c>
      <c r="D430" t="inlineStr">
        <is>
          <t>BELLTECH</t>
        </is>
      </c>
      <c r="E430" s="3" t="n">
        <v>46090</v>
      </c>
      <c r="F430" s="3" t="n">
        <v>46087</v>
      </c>
      <c r="G430" t="inlineStr">
        <is>
          <t>08:13:00</t>
        </is>
      </c>
      <c r="H430" t="n">
        <v>500452950</v>
      </c>
      <c r="I430" t="n">
        <v>479702950</v>
      </c>
      <c r="J430" t="n">
        <v>0</v>
      </c>
      <c r="K430" t="n">
        <v>17850000</v>
      </c>
      <c r="M430">
        <f>I430-(H430+J430-K430)- L430</f>
        <v/>
      </c>
      <c r="N430">
        <f>IF(M430=0,"Cuadrado",IF(M430&gt;0,"Faltante","Sobrante"))</f>
        <v/>
      </c>
      <c r="O430" t="inlineStr">
        <is>
          <t>La diferencia es contabilizada por la Gerencia De Autoservicios y Efectivo de manera centralizada a la cuenta de sobrantes 279510020 el 09/03/2026</t>
        </is>
      </c>
      <c r="P430" t="n">
        <v>1065652660</v>
      </c>
    </row>
    <row r="431">
      <c r="A431" t="n">
        <v>659</v>
      </c>
      <c r="B431" t="n">
        <v>5102</v>
      </c>
      <c r="C431" t="inlineStr">
        <is>
          <t>BELLTECH</t>
        </is>
      </c>
      <c r="D431" t="inlineStr">
        <is>
          <t>BELLTECH</t>
        </is>
      </c>
      <c r="E431" s="3" t="n">
        <v>46090</v>
      </c>
      <c r="F431" s="3" t="n">
        <v>46087</v>
      </c>
      <c r="G431" t="inlineStr">
        <is>
          <t>08:55:00</t>
        </is>
      </c>
      <c r="H431" t="n">
        <v>187313950</v>
      </c>
      <c r="I431" t="n">
        <v>197533950</v>
      </c>
      <c r="J431" t="n">
        <v>19910000</v>
      </c>
      <c r="K431" t="n">
        <v>9720000</v>
      </c>
      <c r="M431">
        <f>I431-(H431+J431-K431)- L431</f>
        <v/>
      </c>
      <c r="N431">
        <f>IF(M431=0,"Cuadrado",IF(M431&gt;0,"Faltante","Sobrante"))</f>
        <v/>
      </c>
      <c r="O431" t="inlineStr">
        <is>
          <t>La diferencia es contabilizada por la Gerencia De Autoservicios y Efectivo de manera centralizada a la cuenta de faltantes 168710093 el 09/03/2026, esta diferencia ingresa a proceso de investigación en el área para identificar a que corresponde.</t>
        </is>
      </c>
      <c r="P431" t="n">
        <v>39575034</v>
      </c>
    </row>
    <row r="432">
      <c r="A432" t="n">
        <v>511</v>
      </c>
      <c r="B432" t="n">
        <v>5122</v>
      </c>
      <c r="C432" t="inlineStr">
        <is>
          <t>BELLTECH</t>
        </is>
      </c>
      <c r="D432" t="inlineStr">
        <is>
          <t>BELLTECH</t>
        </is>
      </c>
      <c r="E432" s="3" t="n">
        <v>46090</v>
      </c>
      <c r="F432" s="3" t="n">
        <v>46087</v>
      </c>
      <c r="G432" t="inlineStr">
        <is>
          <t>14:50:00</t>
        </is>
      </c>
      <c r="H432" t="n">
        <v>213679800</v>
      </c>
      <c r="I432" t="n">
        <v>151493550</v>
      </c>
      <c r="J432" t="n">
        <v>22830000</v>
      </c>
      <c r="K432" t="n">
        <v>85016200</v>
      </c>
      <c r="M432">
        <f>I432-(H432+J432-K432)- L432</f>
        <v/>
      </c>
      <c r="N432">
        <f>IF(M432=0,"Cuadrado",IF(M432&gt;0,"Faltante","Sobrante"))</f>
        <v/>
      </c>
      <c r="O432" t="inlineStr">
        <is>
          <t>La diferencia es contabilizada por la Gerencia De Autoservicios y Efectivo de manera centralizada a la cuenta de sobrantes 279510020 el 09/03/2026</t>
        </is>
      </c>
      <c r="P432" t="n">
        <v>1152438348</v>
      </c>
    </row>
    <row r="433">
      <c r="A433" t="n">
        <v>101</v>
      </c>
      <c r="B433" t="n">
        <v>5128</v>
      </c>
      <c r="C433" t="inlineStr">
        <is>
          <t>BELLTECH</t>
        </is>
      </c>
      <c r="D433" t="inlineStr">
        <is>
          <t>BELLTECH</t>
        </is>
      </c>
      <c r="E433" s="3" t="n">
        <v>46090</v>
      </c>
      <c r="F433" s="3" t="n">
        <v>46087</v>
      </c>
      <c r="G433" t="inlineStr">
        <is>
          <t>11:53:00</t>
        </is>
      </c>
      <c r="H433" t="n">
        <v>269904400</v>
      </c>
      <c r="I433" t="n">
        <v>173597900</v>
      </c>
      <c r="J433" t="n">
        <v>17440000</v>
      </c>
      <c r="K433" t="n">
        <v>108350000</v>
      </c>
      <c r="M433">
        <f>I433-(H433+J433-K433)- L433</f>
        <v/>
      </c>
      <c r="N433">
        <f>IF(M433=0,"Cuadrado",IF(M433&gt;0,"Faltante","Sobrante"))</f>
        <v/>
      </c>
      <c r="O433" t="inlineStr">
        <is>
          <t>La diferencia es contabilizada por la Gerencia De Autoservicios y Efectivo de manera centralizada a la cuenta de sobrantes 279510020 el 09/03/2026</t>
        </is>
      </c>
      <c r="P433" t="n">
        <v>1033724729</v>
      </c>
    </row>
    <row r="434">
      <c r="A434" t="n">
        <v>829</v>
      </c>
      <c r="B434" t="n">
        <v>5137</v>
      </c>
      <c r="C434" t="inlineStr">
        <is>
          <t>BELLTECH</t>
        </is>
      </c>
      <c r="D434" t="inlineStr">
        <is>
          <t>BELLTECH</t>
        </is>
      </c>
      <c r="E434" s="3" t="n">
        <v>46090</v>
      </c>
      <c r="F434" s="3" t="n">
        <v>46087</v>
      </c>
      <c r="G434" t="inlineStr">
        <is>
          <t>08:35:00</t>
        </is>
      </c>
      <c r="H434" t="n">
        <v>277574300</v>
      </c>
      <c r="I434" t="n">
        <v>229823300</v>
      </c>
      <c r="J434" t="n">
        <v>4670000</v>
      </c>
      <c r="K434" t="n">
        <v>44900000</v>
      </c>
      <c r="M434">
        <f>I434-(H434+J434-K434)- L434</f>
        <v/>
      </c>
      <c r="N434">
        <f>IF(M434=0,"Cuadrado",IF(M434&gt;0,"Faltante","Sobrante"))</f>
        <v/>
      </c>
      <c r="O434" t="inlineStr">
        <is>
          <t>La diferencia es contabilizada por la Gerencia De Autoservicios y Efectivo de manera centralizada a la cuenta de sobrantes 279510020 el 09/03/2026</t>
        </is>
      </c>
      <c r="P434" t="n">
        <v>31306454</v>
      </c>
    </row>
    <row r="435">
      <c r="A435" t="n">
        <v>70</v>
      </c>
      <c r="B435" t="n">
        <v>5164</v>
      </c>
      <c r="C435" t="inlineStr">
        <is>
          <t>BELLTECH</t>
        </is>
      </c>
      <c r="D435" t="inlineStr">
        <is>
          <t>BELLTECH</t>
        </is>
      </c>
      <c r="E435" s="3" t="n">
        <v>46090</v>
      </c>
      <c r="F435" s="3" t="n">
        <v>46087</v>
      </c>
      <c r="G435" t="inlineStr">
        <is>
          <t>09:52:00</t>
        </is>
      </c>
      <c r="H435" t="n">
        <v>328925950</v>
      </c>
      <c r="I435" t="n">
        <v>325082100</v>
      </c>
      <c r="J435" t="n">
        <v>10040000</v>
      </c>
      <c r="K435" t="n">
        <v>17348850</v>
      </c>
      <c r="L435" t="n">
        <v>3465000</v>
      </c>
      <c r="M435">
        <f>I435-(H435+J435-K435)- L435</f>
        <v/>
      </c>
      <c r="N435">
        <f>IF(M435=0,"Cuadrado",IF(M435&gt;0,"Faltante","Sobrante"))</f>
        <v/>
      </c>
      <c r="O435" t="inlineStr">
        <is>
          <t>El faltante $3.465.000 es cruzado con sobrante contabilizado el día 05/03/2026 el cual es reversado por la seccion el día 09/03/2026</t>
        </is>
      </c>
      <c r="P435" t="n">
        <v>30231139</v>
      </c>
    </row>
    <row r="436">
      <c r="A436" t="n">
        <v>844</v>
      </c>
      <c r="B436" t="n">
        <v>6169</v>
      </c>
      <c r="C436" t="inlineStr">
        <is>
          <t>BELLTECH</t>
        </is>
      </c>
      <c r="D436" t="inlineStr">
        <is>
          <t>BELLTECH</t>
        </is>
      </c>
      <c r="E436" s="3" t="n">
        <v>46090</v>
      </c>
      <c r="F436" s="3" t="n">
        <v>46087</v>
      </c>
      <c r="G436" t="inlineStr">
        <is>
          <t>16:26:00</t>
        </is>
      </c>
      <c r="H436" t="n">
        <v>203337200</v>
      </c>
      <c r="I436" t="n">
        <v>488435650</v>
      </c>
      <c r="J436" t="n">
        <v>17820000</v>
      </c>
      <c r="K436" t="n">
        <v>206797950</v>
      </c>
      <c r="L436" t="n">
        <v>261131000</v>
      </c>
      <c r="M436">
        <f>I436-(H436+J436-K436)- L436</f>
        <v/>
      </c>
      <c r="N436">
        <f>IF(M436=0,"Cuadrado",IF(M436&gt;0,"Faltante","Sobrante"))</f>
        <v/>
      </c>
      <c r="O436" t="inlineStr">
        <is>
          <t>REPITIERON ARQUEO</t>
        </is>
      </c>
      <c r="P436" t="n">
        <v>86058432</v>
      </c>
    </row>
    <row r="437">
      <c r="A437" t="n">
        <v>236</v>
      </c>
      <c r="B437" t="n">
        <v>6242</v>
      </c>
      <c r="C437" t="inlineStr">
        <is>
          <t>BELLTECH</t>
        </is>
      </c>
      <c r="D437" t="inlineStr">
        <is>
          <t>BELLTECH</t>
        </is>
      </c>
      <c r="E437" s="3" t="n">
        <v>46090</v>
      </c>
      <c r="F437" s="3" t="n">
        <v>46087</v>
      </c>
      <c r="G437" t="inlineStr">
        <is>
          <t>15:27:00</t>
        </is>
      </c>
      <c r="H437" t="n">
        <v>137373500</v>
      </c>
      <c r="I437" t="n">
        <v>251443100</v>
      </c>
      <c r="J437" t="n">
        <v>48800000</v>
      </c>
      <c r="K437" t="n">
        <v>80529400</v>
      </c>
      <c r="L437" t="n">
        <v>173319000</v>
      </c>
      <c r="M437">
        <f>I437-(H437+J437-K437)- L437</f>
        <v/>
      </c>
      <c r="N437">
        <f>IF(M437=0,"Cuadrado",IF(M437&gt;0,"Faltante","Sobrante"))</f>
        <v/>
      </c>
      <c r="O437" t="inlineStr">
        <is>
          <t>La diferencia es contabilizada por la Gerencia De Autoservicios y Efectivo de manera centralizada a la cuenta de sobrantes 279510020 el 09/03/2026</t>
        </is>
      </c>
      <c r="P437" t="n">
        <v>71369714</v>
      </c>
    </row>
    <row r="438">
      <c r="A438" t="n">
        <v>96</v>
      </c>
      <c r="B438" t="n">
        <v>6735</v>
      </c>
      <c r="C438" t="inlineStr">
        <is>
          <t>BELLTECH</t>
        </is>
      </c>
      <c r="D438" t="inlineStr">
        <is>
          <t>BELLTECH</t>
        </is>
      </c>
      <c r="E438" s="3" t="n">
        <v>46090</v>
      </c>
      <c r="F438" s="3" t="n">
        <v>46086</v>
      </c>
      <c r="G438" t="inlineStr">
        <is>
          <t>10:44:00</t>
        </is>
      </c>
      <c r="H438" t="n">
        <v>178570950</v>
      </c>
      <c r="I438" t="n">
        <v>175067950</v>
      </c>
      <c r="J438" t="n">
        <v>38750000</v>
      </c>
      <c r="K438" t="n">
        <v>42700000</v>
      </c>
      <c r="M438">
        <f>I438-(H438+J438-K438)- L438</f>
        <v/>
      </c>
      <c r="N438">
        <f>IF(M438=0,"Cuadrado",IF(M438&gt;0,"Faltante","Sobrante"))</f>
        <v/>
      </c>
      <c r="O438" t="inlineStr">
        <is>
          <t>REPITIERON ARQUEO</t>
        </is>
      </c>
      <c r="P438" t="n">
        <v>39491642</v>
      </c>
    </row>
    <row r="439">
      <c r="A439" t="n">
        <v>172</v>
      </c>
      <c r="B439" t="n">
        <v>7429</v>
      </c>
      <c r="C439" t="inlineStr">
        <is>
          <t>BELLTECH</t>
        </is>
      </c>
      <c r="D439" t="inlineStr">
        <is>
          <t>BELLTECH</t>
        </is>
      </c>
      <c r="E439" s="3" t="n">
        <v>46090</v>
      </c>
      <c r="F439" s="3" t="n">
        <v>46087</v>
      </c>
      <c r="G439" t="inlineStr">
        <is>
          <t>15:39:00</t>
        </is>
      </c>
      <c r="H439" t="n">
        <v>409279650</v>
      </c>
      <c r="I439" t="n">
        <v>352117650</v>
      </c>
      <c r="J439" t="n">
        <v>16070000</v>
      </c>
      <c r="K439" t="n">
        <v>68064900</v>
      </c>
      <c r="M439">
        <f>I439-(H439+J439-K439)- L439</f>
        <v/>
      </c>
      <c r="N439">
        <f>IF(M439=0,"Cuadrado",IF(M439&gt;0,"Faltante","Sobrante"))</f>
        <v/>
      </c>
      <c r="O439" t="inlineStr">
        <is>
          <t>La diferencia es contabilizada por la Gerencia De Autoservicios y Efectivo de manera centralizada a la cuenta de sobrantes 279510020 el 09/03/2026</t>
        </is>
      </c>
      <c r="P439" t="n">
        <v>52156260</v>
      </c>
    </row>
    <row r="440">
      <c r="A440" t="n">
        <v>166</v>
      </c>
      <c r="B440" t="n">
        <v>7939</v>
      </c>
      <c r="C440" t="inlineStr">
        <is>
          <t>BELLTECH</t>
        </is>
      </c>
      <c r="D440" t="inlineStr">
        <is>
          <t>BELLTECH</t>
        </is>
      </c>
      <c r="E440" s="3" t="n">
        <v>46090</v>
      </c>
      <c r="F440" s="3" t="n">
        <v>46087</v>
      </c>
      <c r="G440" t="inlineStr">
        <is>
          <t>09:06:00</t>
        </is>
      </c>
      <c r="H440" t="n">
        <v>195168750</v>
      </c>
      <c r="I440" t="n">
        <v>192678750</v>
      </c>
      <c r="J440" t="n">
        <v>0</v>
      </c>
      <c r="K440" t="n">
        <v>0</v>
      </c>
      <c r="M440">
        <f>I440-(H440+J440-K440)- L440</f>
        <v/>
      </c>
      <c r="N440">
        <f>IF(M440=0,"Cuadrado",IF(M440&gt;0,"Faltante","Sobrante"))</f>
        <v/>
      </c>
      <c r="O440" t="inlineStr">
        <is>
          <t>La diferencia es contabilizada por la Gerencia De Autoservicios y Efectivo de manera centralizada a la cuenta de sobrantes 279510020 el 09/03/2026</t>
        </is>
      </c>
      <c r="P440" t="n">
        <v>50938822</v>
      </c>
    </row>
    <row r="441">
      <c r="A441" t="n">
        <v>291</v>
      </c>
      <c r="B441" t="n">
        <v>8139</v>
      </c>
      <c r="C441" t="inlineStr">
        <is>
          <t>DIEBOLD</t>
        </is>
      </c>
      <c r="D441" t="inlineStr">
        <is>
          <t>DIEBOLD</t>
        </is>
      </c>
      <c r="E441" s="3" t="n">
        <v>46090</v>
      </c>
      <c r="F441" s="3" t="n">
        <v>46087</v>
      </c>
      <c r="G441" t="inlineStr">
        <is>
          <t>10:52:00</t>
        </is>
      </c>
      <c r="H441" t="n">
        <v>283058050</v>
      </c>
      <c r="I441" t="n">
        <v>210516350</v>
      </c>
      <c r="J441" t="n">
        <v>7070000</v>
      </c>
      <c r="K441" t="n">
        <v>77611700</v>
      </c>
      <c r="M441">
        <f>I441-(H441+J441-K441)- L441</f>
        <v/>
      </c>
      <c r="N441">
        <f>IF(M441=0,"Cuadrado",IF(M441&gt;0,"Faltante","Sobrante"))</f>
        <v/>
      </c>
      <c r="O441" t="inlineStr">
        <is>
          <t>La diferencia es contabilizada por la Gerencia De Autoservicios y Efectivo de manera centralizada a la cuenta de sobrantes 279510020 el 09/03/2026</t>
        </is>
      </c>
      <c r="P441" t="n">
        <v>1095930956</v>
      </c>
    </row>
    <row r="442">
      <c r="A442" t="n">
        <v>915</v>
      </c>
      <c r="B442" t="n">
        <v>8313</v>
      </c>
      <c r="C442" t="inlineStr">
        <is>
          <t>BELLTECH</t>
        </is>
      </c>
      <c r="D442" t="inlineStr">
        <is>
          <t>BELLTECH</t>
        </is>
      </c>
      <c r="E442" s="3" t="n">
        <v>46090</v>
      </c>
      <c r="F442" s="3" t="n">
        <v>46087</v>
      </c>
      <c r="G442" t="inlineStr">
        <is>
          <t>10:13:00</t>
        </is>
      </c>
      <c r="H442" t="n">
        <v>204138050</v>
      </c>
      <c r="I442" t="n">
        <v>174842050</v>
      </c>
      <c r="J442" t="n">
        <v>100000</v>
      </c>
      <c r="K442" t="n">
        <v>11096000</v>
      </c>
      <c r="M442">
        <f>I442-(H442+J442-K442)- L442</f>
        <v/>
      </c>
      <c r="N442">
        <f>IF(M442=0,"Cuadrado",IF(M442&gt;0,"Faltante","Sobrante"))</f>
        <v/>
      </c>
      <c r="O442" t="inlineStr">
        <is>
          <t>La diferencia es contabilizada por la Gerencia De Autoservicios y Efectivo de manera centralizada a la cuenta de sobrantes 279510020 el 09/03/2026</t>
        </is>
      </c>
      <c r="P442" t="n">
        <v>52279779</v>
      </c>
    </row>
    <row r="443">
      <c r="A443" t="n">
        <v>915</v>
      </c>
      <c r="B443" t="n">
        <v>8314</v>
      </c>
      <c r="C443" t="inlineStr">
        <is>
          <t>BELLTECH</t>
        </is>
      </c>
      <c r="D443" t="inlineStr">
        <is>
          <t>BELLTECH</t>
        </is>
      </c>
      <c r="E443" s="3" t="n">
        <v>46090</v>
      </c>
      <c r="F443" s="3" t="n">
        <v>46087</v>
      </c>
      <c r="G443" t="inlineStr">
        <is>
          <t>09:35:00</t>
        </is>
      </c>
      <c r="H443" t="n">
        <v>268487500</v>
      </c>
      <c r="I443" t="n">
        <v>282533400</v>
      </c>
      <c r="J443" t="n">
        <v>4380000</v>
      </c>
      <c r="K443" t="n">
        <v>380000</v>
      </c>
      <c r="M443">
        <f>I443-(H443+J443-K443)- L443</f>
        <v/>
      </c>
      <c r="N443">
        <f>IF(M443=0,"Cuadrado",IF(M443&gt;0,"Faltante","Sobrante"))</f>
        <v/>
      </c>
      <c r="O443" t="inlineStr">
        <is>
          <t>REPITIERON ARQUEO</t>
        </is>
      </c>
      <c r="P443" t="n">
        <v>52279779</v>
      </c>
    </row>
    <row r="444">
      <c r="A444" t="n">
        <v>556</v>
      </c>
      <c r="B444" t="n">
        <v>8333</v>
      </c>
      <c r="C444" t="inlineStr">
        <is>
          <t>BELLTECH</t>
        </is>
      </c>
      <c r="D444" t="inlineStr">
        <is>
          <t>BELLTECH</t>
        </is>
      </c>
      <c r="E444" s="3" t="n">
        <v>46090</v>
      </c>
      <c r="F444" s="3" t="n">
        <v>46087</v>
      </c>
      <c r="G444" t="inlineStr">
        <is>
          <t>15:00:00</t>
        </is>
      </c>
      <c r="H444" t="n">
        <v>352150800</v>
      </c>
      <c r="I444" t="n">
        <v>274348500</v>
      </c>
      <c r="J444" t="n">
        <v>25610000</v>
      </c>
      <c r="K444" t="n">
        <v>103383600</v>
      </c>
      <c r="M444">
        <f>I444-(H444+J444-K444)- L444</f>
        <v/>
      </c>
      <c r="N444">
        <f>IF(M444=0,"Cuadrado",IF(M444&gt;0,"Faltante","Sobrante"))</f>
        <v/>
      </c>
      <c r="O444" t="inlineStr">
        <is>
          <t>La diferencia es contabilizada por la Gerencia De Autoservicios y Efectivo de manera centralizada a la cuenta de sobrantes 279510020 el 09/03/2026</t>
        </is>
      </c>
      <c r="P444" t="n">
        <v>39450196</v>
      </c>
    </row>
    <row r="445">
      <c r="A445" t="n">
        <v>728</v>
      </c>
      <c r="B445" t="n">
        <v>8586</v>
      </c>
      <c r="C445" t="inlineStr">
        <is>
          <t>BELLTECH</t>
        </is>
      </c>
      <c r="D445" t="inlineStr">
        <is>
          <t>BELLTECH</t>
        </is>
      </c>
      <c r="E445" s="3" t="n">
        <v>46090</v>
      </c>
      <c r="F445" s="3" t="n">
        <v>46087</v>
      </c>
      <c r="G445" t="inlineStr">
        <is>
          <t>14:33:00</t>
        </is>
      </c>
      <c r="H445" t="n">
        <v>115960150</v>
      </c>
      <c r="I445" t="n">
        <v>120815150</v>
      </c>
      <c r="J445" t="n">
        <v>40600000</v>
      </c>
      <c r="K445" t="n">
        <v>33634000</v>
      </c>
      <c r="L445" t="n">
        <v>-2111000</v>
      </c>
      <c r="M445">
        <f>I445-(H445+J445-K445)- L445</f>
        <v/>
      </c>
      <c r="N445">
        <f>IF(M445=0,"Cuadrado",IF(M445&gt;0,"Faltante","Sobrante"))</f>
        <v/>
      </c>
      <c r="O445" t="inlineStr">
        <is>
          <t>Cajero cuadrado, sin observación por parte de la sucursal</t>
        </is>
      </c>
      <c r="P445" t="n">
        <v>1112783690</v>
      </c>
    </row>
    <row r="446">
      <c r="A446" t="n">
        <v>728</v>
      </c>
      <c r="B446" t="n">
        <v>8587</v>
      </c>
      <c r="C446" t="inlineStr">
        <is>
          <t>BELLTECH</t>
        </is>
      </c>
      <c r="D446" t="inlineStr">
        <is>
          <t>BELLTECH</t>
        </is>
      </c>
      <c r="E446" s="3" t="n">
        <v>46090</v>
      </c>
      <c r="F446" s="3" t="n">
        <v>46087</v>
      </c>
      <c r="G446" t="inlineStr">
        <is>
          <t>14:16:00</t>
        </is>
      </c>
      <c r="H446" t="n">
        <v>167219850</v>
      </c>
      <c r="I446" t="n">
        <v>96449850</v>
      </c>
      <c r="J446" t="n">
        <v>22070000</v>
      </c>
      <c r="K446" t="n">
        <v>92820000</v>
      </c>
      <c r="L446" t="n">
        <v>-20000</v>
      </c>
      <c r="M446">
        <f>I446-(H446+J446-K446)- L446</f>
        <v/>
      </c>
      <c r="N446">
        <f>IF(M446=0,"Cuadrado",IF(M446&gt;0,"Faltante","Sobrante"))</f>
        <v/>
      </c>
      <c r="O446" t="inlineStr">
        <is>
          <t>Cajero cuadrado, sin observación por parte de la sucursal</t>
        </is>
      </c>
      <c r="P446" t="n">
        <v>1112783690</v>
      </c>
    </row>
    <row r="447">
      <c r="A447" t="n">
        <v>541</v>
      </c>
      <c r="B447" t="n">
        <v>8660</v>
      </c>
      <c r="C447" t="inlineStr">
        <is>
          <t>BELLTECH</t>
        </is>
      </c>
      <c r="D447" t="inlineStr">
        <is>
          <t>BELLTECH</t>
        </is>
      </c>
      <c r="E447" s="3" t="n">
        <v>46090</v>
      </c>
      <c r="F447" s="3" t="n">
        <v>46087</v>
      </c>
      <c r="G447" t="inlineStr">
        <is>
          <t>09:14:00</t>
        </is>
      </c>
      <c r="H447" t="n">
        <v>147279100</v>
      </c>
      <c r="I447" t="n">
        <v>150301100</v>
      </c>
      <c r="J447" t="n">
        <v>5020000</v>
      </c>
      <c r="K447" t="n">
        <v>1790000</v>
      </c>
      <c r="M447">
        <f>I447-(H447+J447-K447)- L447</f>
        <v/>
      </c>
      <c r="N447">
        <f>IF(M447=0,"Cuadrado",IF(M447&gt;0,"Faltante","Sobrante"))</f>
        <v/>
      </c>
      <c r="O447" t="inlineStr">
        <is>
          <t>La diferencia es contabilizada por la Gerencia De Autoservicios y Efectivo de manera centralizada a la cuenta de sobrantes 279510020 el 09/03/2026</t>
        </is>
      </c>
      <c r="P447" t="n">
        <v>1090148688</v>
      </c>
    </row>
    <row r="448">
      <c r="A448" t="n">
        <v>85</v>
      </c>
      <c r="B448" t="n">
        <v>8974</v>
      </c>
      <c r="C448" t="inlineStr">
        <is>
          <t>BELLTECH</t>
        </is>
      </c>
      <c r="D448" t="inlineStr">
        <is>
          <t>BELLTECH</t>
        </is>
      </c>
      <c r="E448" s="3" t="n">
        <v>46090</v>
      </c>
      <c r="F448" s="3" t="n">
        <v>46087</v>
      </c>
      <c r="G448" t="inlineStr">
        <is>
          <t>16:05:00</t>
        </is>
      </c>
      <c r="H448" t="n">
        <v>117970500</v>
      </c>
      <c r="I448" t="n">
        <v>200312700</v>
      </c>
      <c r="J448" t="n">
        <v>15150000</v>
      </c>
      <c r="K448" t="n">
        <v>121101950</v>
      </c>
      <c r="L448" t="n">
        <v>188284200</v>
      </c>
      <c r="M448">
        <f>I448-(H448+J448-K448)- L448</f>
        <v/>
      </c>
      <c r="N448">
        <f>IF(M448=0,"Cuadrado",IF(M448&gt;0,"Faltante","Sobrante"))</f>
        <v/>
      </c>
      <c r="O448" t="inlineStr">
        <is>
          <t>La diferencia es contabilizada por la Gerencia De Autoservicios y Efectivo de manera centralizada a la cuenta de faltantes 168710093 el 09/03/2026, esta diferencia ingresa a proceso de investigación en el área para identificar a que corresponde.</t>
        </is>
      </c>
      <c r="P448" t="n">
        <v>1047413788</v>
      </c>
    </row>
    <row r="449">
      <c r="A449" t="n">
        <v>849</v>
      </c>
      <c r="B449" t="n">
        <v>9725</v>
      </c>
      <c r="C449" t="inlineStr">
        <is>
          <t>BELLTECH</t>
        </is>
      </c>
      <c r="D449" t="inlineStr">
        <is>
          <t>BELLTECH</t>
        </is>
      </c>
      <c r="E449" s="3" t="n">
        <v>46090</v>
      </c>
      <c r="F449" s="3" t="n">
        <v>46087</v>
      </c>
      <c r="G449" t="inlineStr">
        <is>
          <t>16:27:00</t>
        </is>
      </c>
      <c r="H449" t="n">
        <v>102680550</v>
      </c>
      <c r="I449" t="n">
        <v>381471550</v>
      </c>
      <c r="J449" t="n">
        <v>19210000</v>
      </c>
      <c r="K449" t="n">
        <v>97244000</v>
      </c>
      <c r="L449" t="n">
        <v>356825000</v>
      </c>
      <c r="M449">
        <f>I449-(H449+J449-K449)- L449</f>
        <v/>
      </c>
      <c r="N449">
        <f>IF(M449=0,"Cuadrado",IF(M449&gt;0,"Faltante","Sobrante"))</f>
        <v/>
      </c>
      <c r="O449" t="inlineStr">
        <is>
          <t>El faltante $126.000 es cruzado con sobrante contabilizado el día 05/03/2026 el cual es reversado por la seccion el día 09/03/2026</t>
        </is>
      </c>
      <c r="P449" t="n">
        <v>86063461</v>
      </c>
    </row>
    <row r="450">
      <c r="A450" t="n">
        <v>499</v>
      </c>
      <c r="B450" t="n">
        <v>9811</v>
      </c>
      <c r="C450" t="inlineStr">
        <is>
          <t>BELLTECH</t>
        </is>
      </c>
      <c r="D450" t="inlineStr">
        <is>
          <t>BELLTECH</t>
        </is>
      </c>
      <c r="E450" s="3" t="n">
        <v>46090</v>
      </c>
      <c r="F450" s="3" t="n">
        <v>46087</v>
      </c>
      <c r="G450" t="inlineStr">
        <is>
          <t>12:04:00</t>
        </is>
      </c>
      <c r="H450" t="n">
        <v>14768100</v>
      </c>
      <c r="I450" t="n">
        <v>436758400</v>
      </c>
      <c r="J450" t="n">
        <v>8250000</v>
      </c>
      <c r="K450" t="n">
        <v>15806000</v>
      </c>
      <c r="L450" t="n">
        <v>426079000</v>
      </c>
      <c r="M450">
        <f>I450-(H450+J450-K450)- L450</f>
        <v/>
      </c>
      <c r="N450">
        <f>IF(M450=0,"Cuadrado",IF(M450&gt;0,"Faltante","Sobrante"))</f>
        <v/>
      </c>
      <c r="O450" t="inlineStr">
        <is>
          <t>REPITIERON ARQUEO</t>
        </is>
      </c>
      <c r="P450" t="n">
        <v>71337474</v>
      </c>
    </row>
    <row r="451">
      <c r="A451" t="n">
        <v>916</v>
      </c>
      <c r="B451" t="n">
        <v>5052</v>
      </c>
      <c r="C451" t="inlineStr">
        <is>
          <t>BELLTECH</t>
        </is>
      </c>
      <c r="D451" t="inlineStr">
        <is>
          <t>BELLTECH</t>
        </is>
      </c>
      <c r="E451" s="3" t="n">
        <v>46090</v>
      </c>
      <c r="F451" s="3" t="n">
        <v>46087</v>
      </c>
      <c r="G451" t="inlineStr">
        <is>
          <t>09:11:00</t>
        </is>
      </c>
      <c r="H451" t="n">
        <v>505364650</v>
      </c>
      <c r="I451" t="n">
        <v>505364650</v>
      </c>
      <c r="J451" t="n">
        <v>0</v>
      </c>
      <c r="K451" t="n">
        <v>0</v>
      </c>
      <c r="M451">
        <f>I451-(H451+J451-K451)- L451</f>
        <v/>
      </c>
      <c r="N451">
        <f>IF(M451=0,"Cuadrado",IF(M451&gt;0,"Faltante","Sobrante"))</f>
        <v/>
      </c>
      <c r="O451" t="inlineStr">
        <is>
          <t>Cajero cuadrado, sin observación por parte de la sucursal</t>
        </is>
      </c>
      <c r="P451" t="n">
        <v>1004306590</v>
      </c>
    </row>
    <row r="452">
      <c r="A452" t="n">
        <v>300</v>
      </c>
      <c r="B452" t="n">
        <v>5139</v>
      </c>
      <c r="C452" t="inlineStr">
        <is>
          <t>BELLTECH</t>
        </is>
      </c>
      <c r="D452" t="inlineStr">
        <is>
          <t>BELLTECH</t>
        </is>
      </c>
      <c r="E452" s="3" t="n">
        <v>46090</v>
      </c>
      <c r="F452" s="3" t="n">
        <v>46087</v>
      </c>
      <c r="G452" t="inlineStr">
        <is>
          <t>14:58:00</t>
        </is>
      </c>
      <c r="H452" t="n">
        <v>386433750</v>
      </c>
      <c r="I452" t="n">
        <v>370535200</v>
      </c>
      <c r="J452" t="n">
        <v>10440000</v>
      </c>
      <c r="K452" t="n">
        <v>26338550</v>
      </c>
      <c r="M452">
        <f>I452-(H452+J452-K452)- L452</f>
        <v/>
      </c>
      <c r="N452">
        <f>IF(M452=0,"Cuadrado",IF(M452&gt;0,"Faltante","Sobrante"))</f>
        <v/>
      </c>
      <c r="O452" t="inlineStr">
        <is>
          <t>Cajero cuadrado, sin observación por parte de la sucursal</t>
        </is>
      </c>
      <c r="P452" t="n">
        <v>53097567</v>
      </c>
    </row>
    <row r="453">
      <c r="A453" t="n">
        <v>667</v>
      </c>
      <c r="B453" t="n">
        <v>5167</v>
      </c>
      <c r="C453" t="inlineStr">
        <is>
          <t>BELLTECH</t>
        </is>
      </c>
      <c r="D453" t="inlineStr">
        <is>
          <t>BELLTECH</t>
        </is>
      </c>
      <c r="E453" s="3" t="n">
        <v>46090</v>
      </c>
      <c r="F453" s="3" t="n">
        <v>46087</v>
      </c>
      <c r="G453" t="inlineStr">
        <is>
          <t>09:47:00</t>
        </is>
      </c>
      <c r="H453" t="n">
        <v>188012450</v>
      </c>
      <c r="I453" t="n">
        <v>144037450</v>
      </c>
      <c r="J453" t="n">
        <v>4860000</v>
      </c>
      <c r="K453" t="n">
        <v>48835000</v>
      </c>
      <c r="M453">
        <f>I453-(H453+J453-K453)- L453</f>
        <v/>
      </c>
      <c r="N453">
        <f>IF(M453=0,"Cuadrado",IF(M453&gt;0,"Faltante","Sobrante"))</f>
        <v/>
      </c>
      <c r="O453" t="inlineStr">
        <is>
          <t>Cajero cuadrado, sin observación por parte de la sucursal</t>
        </is>
      </c>
      <c r="P453" t="n">
        <v>79953058</v>
      </c>
    </row>
    <row r="454">
      <c r="A454" t="n">
        <v>541</v>
      </c>
      <c r="B454" t="n">
        <v>5185</v>
      </c>
      <c r="C454" t="inlineStr">
        <is>
          <t>BELLTECH</t>
        </is>
      </c>
      <c r="D454" t="inlineStr">
        <is>
          <t>BELLTECH</t>
        </is>
      </c>
      <c r="E454" s="3" t="n">
        <v>46090</v>
      </c>
      <c r="F454" s="3" t="n">
        <v>46087</v>
      </c>
      <c r="G454" t="inlineStr">
        <is>
          <t>08:50:00</t>
        </is>
      </c>
      <c r="H454" t="n">
        <v>218159800</v>
      </c>
      <c r="I454" t="n">
        <v>202037100</v>
      </c>
      <c r="J454" t="n">
        <v>620000</v>
      </c>
      <c r="K454" t="n">
        <v>16742700</v>
      </c>
      <c r="M454">
        <f>I454-(H454+J454-K454)- L454</f>
        <v/>
      </c>
      <c r="N454">
        <f>IF(M454=0,"Cuadrado",IF(M454&gt;0,"Faltante","Sobrante"))</f>
        <v/>
      </c>
      <c r="O454" t="inlineStr">
        <is>
          <t>Cajero cuadrado, sin observación por parte de la sucursal</t>
        </is>
      </c>
      <c r="P454" t="n">
        <v>1090148688</v>
      </c>
    </row>
    <row r="455">
      <c r="A455" t="n">
        <v>674</v>
      </c>
      <c r="B455" t="n">
        <v>5200</v>
      </c>
      <c r="C455" t="inlineStr">
        <is>
          <t>BELLTECH</t>
        </is>
      </c>
      <c r="D455" t="inlineStr">
        <is>
          <t>BELLTECH</t>
        </is>
      </c>
      <c r="E455" s="3" t="n">
        <v>46090</v>
      </c>
      <c r="F455" s="3" t="n">
        <v>46087</v>
      </c>
      <c r="G455" t="inlineStr">
        <is>
          <t>15:23:00</t>
        </is>
      </c>
      <c r="H455" t="n">
        <v>178260250</v>
      </c>
      <c r="I455" t="n">
        <v>192902250</v>
      </c>
      <c r="J455" t="n">
        <v>34690000</v>
      </c>
      <c r="K455" t="n">
        <v>20048000</v>
      </c>
      <c r="L455" t="n">
        <v>0</v>
      </c>
      <c r="M455">
        <f>I455-(H455+J455-K455)- L455</f>
        <v/>
      </c>
      <c r="N455">
        <f>IF(M455=0,"Cuadrado",IF(M455&gt;0,"Faltante","Sobrante"))</f>
        <v/>
      </c>
      <c r="O455" t="inlineStr">
        <is>
          <t>El faltante $2.880.000 es cruzado con sobrante contabilizado el día 06/03/2026 el cual es reversado por la seccion el día 09/03/2026</t>
        </is>
      </c>
      <c r="P455" t="n">
        <v>79813088</v>
      </c>
    </row>
    <row r="456">
      <c r="A456" t="n">
        <v>331</v>
      </c>
      <c r="B456" t="n">
        <v>574</v>
      </c>
      <c r="C456" t="inlineStr">
        <is>
          <t>BELLTECH</t>
        </is>
      </c>
      <c r="D456" t="inlineStr">
        <is>
          <t>BELLTECH</t>
        </is>
      </c>
      <c r="E456" s="3" t="n">
        <v>46087</v>
      </c>
      <c r="F456" s="3" t="n">
        <v>46086</v>
      </c>
      <c r="G456" t="inlineStr">
        <is>
          <t>08:55:00</t>
        </is>
      </c>
      <c r="H456" t="n">
        <v>232051800</v>
      </c>
      <c r="I456" t="n">
        <v>401417850</v>
      </c>
      <c r="J456" t="n">
        <v>1690000</v>
      </c>
      <c r="K456" t="n">
        <v>23799000</v>
      </c>
      <c r="M456">
        <f>I456-(H456+J456-K456)- L456</f>
        <v/>
      </c>
      <c r="N456">
        <f>IF(M456=0,"Cuadrado",IF(M456&gt;0,"Faltante","Sobrante"))</f>
        <v/>
      </c>
      <c r="O456" t="inlineStr">
        <is>
          <t>REPITIERON ARQUEO</t>
        </is>
      </c>
      <c r="P456" t="n">
        <v>32244978</v>
      </c>
    </row>
    <row r="457">
      <c r="A457" t="n">
        <v>331</v>
      </c>
      <c r="B457" t="n">
        <v>575</v>
      </c>
      <c r="C457" t="inlineStr">
        <is>
          <t>BELLTECH</t>
        </is>
      </c>
      <c r="D457" t="inlineStr">
        <is>
          <t>BELLTECH</t>
        </is>
      </c>
      <c r="E457" s="3" t="n">
        <v>46087</v>
      </c>
      <c r="F457" s="3" t="n">
        <v>46086</v>
      </c>
      <c r="G457" t="inlineStr">
        <is>
          <t>09:26:00</t>
        </is>
      </c>
      <c r="H457" t="n">
        <v>171730250</v>
      </c>
      <c r="I457" t="n">
        <v>339250600</v>
      </c>
      <c r="J457" t="n">
        <v>3800000</v>
      </c>
      <c r="K457" t="n">
        <v>36430000</v>
      </c>
      <c r="M457">
        <f>I457-(H457+J457-K457)- L457</f>
        <v/>
      </c>
      <c r="N457">
        <f>IF(M457=0,"Cuadrado",IF(M457&gt;0,"Faltante","Sobrante"))</f>
        <v/>
      </c>
      <c r="O457" t="inlineStr">
        <is>
          <t xml:space="preserve">ACLARAR DIFERENCIA Y REPETIR EL ARQUEO </t>
        </is>
      </c>
      <c r="P457" t="n">
        <v>32244978</v>
      </c>
    </row>
    <row r="458">
      <c r="A458" t="n">
        <v>395</v>
      </c>
      <c r="B458" t="n">
        <v>1528</v>
      </c>
      <c r="C458" t="inlineStr">
        <is>
          <t>BELLTECH</t>
        </is>
      </c>
      <c r="D458" t="inlineStr">
        <is>
          <t>BELLTECH</t>
        </is>
      </c>
      <c r="E458" s="3" t="n">
        <v>46087</v>
      </c>
      <c r="F458" s="3" t="n">
        <v>46086</v>
      </c>
      <c r="G458" t="inlineStr">
        <is>
          <t>08:30:00</t>
        </is>
      </c>
      <c r="H458" t="n">
        <v>239312050</v>
      </c>
      <c r="I458" t="n">
        <v>193052750</v>
      </c>
      <c r="J458" t="n">
        <v>0</v>
      </c>
      <c r="K458" t="n">
        <v>19199900</v>
      </c>
      <c r="M458">
        <f>I458-(H458+J458-K458)- L458</f>
        <v/>
      </c>
      <c r="N458">
        <f>IF(M458=0,"Cuadrado",IF(M458&gt;0,"Faltante","Sobrante"))</f>
        <v/>
      </c>
      <c r="O458" t="inlineStr">
        <is>
          <t>La diferencia es contabilizada por la Gerencia De Autoservicios y Efectivo de manera centralizada a la cuenta de sobrantes 279510020 el 06/03/2026</t>
        </is>
      </c>
      <c r="P458" t="n">
        <v>1121857901</v>
      </c>
    </row>
    <row r="459">
      <c r="A459" t="n">
        <v>185</v>
      </c>
      <c r="B459" t="n">
        <v>2208</v>
      </c>
      <c r="C459" t="inlineStr">
        <is>
          <t>DIEBOLD</t>
        </is>
      </c>
      <c r="D459" t="inlineStr">
        <is>
          <t>BELLTECH</t>
        </is>
      </c>
      <c r="E459" s="3" t="n">
        <v>46087</v>
      </c>
      <c r="F459" s="3" t="n">
        <v>46086</v>
      </c>
      <c r="G459" t="inlineStr">
        <is>
          <t>15:10:00</t>
        </is>
      </c>
      <c r="H459" t="n">
        <v>112564500</v>
      </c>
      <c r="I459" t="n">
        <v>70537500</v>
      </c>
      <c r="J459" t="n">
        <v>13130000</v>
      </c>
      <c r="K459" t="n">
        <v>5234000</v>
      </c>
      <c r="L459" t="n">
        <v>-49923000</v>
      </c>
      <c r="M459">
        <f>I459-(H459+J459-K459)- L459</f>
        <v/>
      </c>
      <c r="N459">
        <f>IF(M459=0,"Cuadrado",IF(M459&gt;0,"Faltante","Sobrante"))</f>
        <v/>
      </c>
      <c r="O459" t="inlineStr">
        <is>
          <t>Cajero cuadrado, sin observación por parte de la sucursal</t>
        </is>
      </c>
      <c r="P459" t="n">
        <v>66784636</v>
      </c>
    </row>
    <row r="460">
      <c r="A460" t="n">
        <v>1</v>
      </c>
      <c r="B460" t="n">
        <v>5000</v>
      </c>
      <c r="C460" t="inlineStr">
        <is>
          <t>BELLTECH</t>
        </is>
      </c>
      <c r="D460" t="inlineStr">
        <is>
          <t>DIEBOLD</t>
        </is>
      </c>
      <c r="E460" s="3" t="n">
        <v>46087</v>
      </c>
      <c r="F460" s="3" t="n">
        <v>46086</v>
      </c>
      <c r="G460" t="inlineStr">
        <is>
          <t>09:51:00</t>
        </is>
      </c>
      <c r="H460" t="n">
        <v>197938800</v>
      </c>
      <c r="I460" t="n">
        <v>199422400</v>
      </c>
      <c r="J460" t="n">
        <v>8900000</v>
      </c>
      <c r="K460" t="n">
        <v>7416000</v>
      </c>
      <c r="M460">
        <f>I460-(H460+J460-K460)- L460</f>
        <v/>
      </c>
      <c r="N460">
        <f>IF(M460=0,"Cuadrado",IF(M460&gt;0,"Faltante","Sobrante"))</f>
        <v/>
      </c>
      <c r="O460" t="inlineStr">
        <is>
          <t>La diferencia es contabilizada por la Gerencia De Autoservicios y Efectivo de manera centralizada a la cuenta de sobrantes 279510020 el 06/03/2026</t>
        </is>
      </c>
      <c r="P460" t="n">
        <v>1017128064</v>
      </c>
    </row>
    <row r="461">
      <c r="A461" t="n">
        <v>59</v>
      </c>
      <c r="B461" t="n">
        <v>5002</v>
      </c>
      <c r="C461" t="inlineStr">
        <is>
          <t>BELLTECH</t>
        </is>
      </c>
      <c r="D461" t="inlineStr">
        <is>
          <t>BELLTECH</t>
        </is>
      </c>
      <c r="E461" s="3" t="n">
        <v>46087</v>
      </c>
      <c r="F461" s="3" t="n">
        <v>46086</v>
      </c>
      <c r="G461" t="inlineStr">
        <is>
          <t>07:50:00</t>
        </is>
      </c>
      <c r="H461" t="n">
        <v>184290750</v>
      </c>
      <c r="I461" t="n">
        <v>175425750</v>
      </c>
      <c r="J461" t="n">
        <v>3590000</v>
      </c>
      <c r="K461" t="n">
        <v>12154900</v>
      </c>
      <c r="M461">
        <f>I461-(H461+J461-K461)- L461</f>
        <v/>
      </c>
      <c r="N461">
        <f>IF(M461=0,"Cuadrado",IF(M461&gt;0,"Faltante","Sobrante"))</f>
        <v/>
      </c>
      <c r="O461" t="inlineStr">
        <is>
          <t>La diferencia es contabilizada por la Gerencia De Autoservicios y Efectivo de manera centralizada a la cuenta de sobrantes 279510020 el 06/03/2026</t>
        </is>
      </c>
      <c r="P461" t="n">
        <v>1060652821</v>
      </c>
    </row>
    <row r="462">
      <c r="A462" t="n">
        <v>825</v>
      </c>
      <c r="B462" t="n">
        <v>5023</v>
      </c>
      <c r="C462" t="inlineStr">
        <is>
          <t>BELLTECH</t>
        </is>
      </c>
      <c r="D462" t="inlineStr">
        <is>
          <t>DIEBOLD</t>
        </is>
      </c>
      <c r="E462" s="3" t="n">
        <v>46087</v>
      </c>
      <c r="F462" s="3" t="n">
        <v>46086</v>
      </c>
      <c r="G462" t="inlineStr">
        <is>
          <t>14:11:00</t>
        </is>
      </c>
      <c r="H462" t="n">
        <v>94249950</v>
      </c>
      <c r="I462" t="n">
        <v>120218300</v>
      </c>
      <c r="J462" t="n">
        <v>45300000</v>
      </c>
      <c r="K462" t="n">
        <v>18511650</v>
      </c>
      <c r="M462">
        <f>I462-(H462+J462-K462)- L462</f>
        <v/>
      </c>
      <c r="N462">
        <f>IF(M462=0,"Cuadrado",IF(M462&gt;0,"Faltante","Sobrante"))</f>
        <v/>
      </c>
      <c r="O462" t="inlineStr">
        <is>
          <t>La diferencia es contabilizada por la Gerencia De Autoservicios y Efectivo de manera centralizada a la cuenta de sobrantes 279510020 el 06/03/2026</t>
        </is>
      </c>
      <c r="P462" t="n">
        <v>1144124243</v>
      </c>
    </row>
    <row r="463">
      <c r="A463" t="n">
        <v>32</v>
      </c>
      <c r="B463" t="n">
        <v>5027</v>
      </c>
      <c r="C463" t="inlineStr">
        <is>
          <t>BELLTECH</t>
        </is>
      </c>
      <c r="D463" t="inlineStr">
        <is>
          <t>BELLTECH</t>
        </is>
      </c>
      <c r="E463" s="3" t="n">
        <v>46087</v>
      </c>
      <c r="F463" s="3" t="n">
        <v>46086</v>
      </c>
      <c r="G463" t="inlineStr">
        <is>
          <t>09:15:00</t>
        </is>
      </c>
      <c r="H463" t="n">
        <v>479485900</v>
      </c>
      <c r="I463" t="n">
        <v>480778700</v>
      </c>
      <c r="J463" t="n">
        <v>1300000</v>
      </c>
      <c r="K463" t="n">
        <v>0</v>
      </c>
      <c r="M463">
        <f>I463-(H463+J463-K463)- L463</f>
        <v/>
      </c>
      <c r="N463">
        <f>IF(M463=0,"Cuadrado",IF(M463&gt;0,"Faltante","Sobrante"))</f>
        <v/>
      </c>
      <c r="O463" t="inlineStr">
        <is>
          <t>La diferencia es contabilizada por la Gerencia De Autoservicios y Efectivo de manera centralizada a la cuenta de sobrantes 279510020 el 06/03/2026</t>
        </is>
      </c>
      <c r="P463" t="n">
        <v>79750158</v>
      </c>
    </row>
    <row r="464">
      <c r="A464" t="n">
        <v>275</v>
      </c>
      <c r="B464" t="n">
        <v>5034</v>
      </c>
      <c r="C464" t="inlineStr">
        <is>
          <t>BELLTECH</t>
        </is>
      </c>
      <c r="D464" t="inlineStr">
        <is>
          <t>BELLTECH</t>
        </is>
      </c>
      <c r="E464" s="3" t="n">
        <v>46087</v>
      </c>
      <c r="F464" s="3" t="n">
        <v>46086</v>
      </c>
      <c r="G464" t="inlineStr">
        <is>
          <t>11:01:00</t>
        </is>
      </c>
      <c r="H464" t="n">
        <v>86506950</v>
      </c>
      <c r="I464" t="n">
        <v>374996950</v>
      </c>
      <c r="J464" t="n">
        <v>14550000</v>
      </c>
      <c r="K464" t="n">
        <v>50721000</v>
      </c>
      <c r="L464" t="n">
        <v>325611000</v>
      </c>
      <c r="M464">
        <f>I464-(H464+J464-K464)- L464</f>
        <v/>
      </c>
      <c r="N464">
        <f>IF(M464=0,"Cuadrado",IF(M464&gt;0,"Faltante","Sobrante"))</f>
        <v/>
      </c>
      <c r="O464" t="inlineStr">
        <is>
          <t>La diferencia es contabilizada por la Gerencia De Autoservicios y Efectivo de manera centralizada a la cuenta de sobrantes 279510020 el 06/03/2026</t>
        </is>
      </c>
      <c r="P464" t="n">
        <v>16055613</v>
      </c>
    </row>
    <row r="465">
      <c r="A465" t="n">
        <v>682</v>
      </c>
      <c r="B465" t="n">
        <v>5049</v>
      </c>
      <c r="C465" t="inlineStr">
        <is>
          <t>BELLTECH</t>
        </is>
      </c>
      <c r="D465" t="inlineStr">
        <is>
          <t>BELLTECH</t>
        </is>
      </c>
      <c r="E465" s="3" t="n">
        <v>46087</v>
      </c>
      <c r="F465" s="3" t="n">
        <v>46086</v>
      </c>
      <c r="G465" t="inlineStr">
        <is>
          <t>11:31:00</t>
        </is>
      </c>
      <c r="H465" t="n">
        <v>197591900</v>
      </c>
      <c r="I465" t="n">
        <v>189947800</v>
      </c>
      <c r="J465" t="n">
        <v>21200000</v>
      </c>
      <c r="K465" t="n">
        <v>28849000</v>
      </c>
      <c r="L465" t="n">
        <v>4900</v>
      </c>
      <c r="M465">
        <f>I465-(H465+J465-K465)- L465</f>
        <v/>
      </c>
      <c r="N465">
        <f>IF(M465=0,"Cuadrado",IF(M465&gt;0,"Faltante","Sobrante"))</f>
        <v/>
      </c>
      <c r="O465" t="inlineStr">
        <is>
          <t>El faltante $4.900 es cruzado con sobrante contabilizado el día 03/03/2026 el cual es reversado por la seccion el día 06/03/2026</t>
        </is>
      </c>
      <c r="P465" t="n">
        <v>1018447800</v>
      </c>
    </row>
    <row r="466">
      <c r="A466" t="n">
        <v>419</v>
      </c>
      <c r="B466" t="n">
        <v>5077</v>
      </c>
      <c r="C466" t="inlineStr">
        <is>
          <t>BELLTECH</t>
        </is>
      </c>
      <c r="D466" t="inlineStr">
        <is>
          <t>BELLTECH</t>
        </is>
      </c>
      <c r="E466" s="3" t="n">
        <v>46087</v>
      </c>
      <c r="F466" s="3" t="n">
        <v>46086</v>
      </c>
      <c r="G466" t="inlineStr">
        <is>
          <t>08:28:00</t>
        </is>
      </c>
      <c r="H466" t="n">
        <v>121360500</v>
      </c>
      <c r="I466" t="n">
        <v>127255500</v>
      </c>
      <c r="J466" t="n">
        <v>0</v>
      </c>
      <c r="K466" t="n">
        <v>0</v>
      </c>
      <c r="L466" t="n">
        <v>5895000</v>
      </c>
      <c r="M466">
        <f>I466-(H466+J466-K466)- L466</f>
        <v/>
      </c>
      <c r="N466">
        <f>IF(M466=0,"Cuadrado",IF(M466&gt;0,"Faltante","Sobrante"))</f>
        <v/>
      </c>
      <c r="O466" t="inlineStr">
        <is>
          <t>El faltante $5.895.000 es cruzado con sobrante contabilizado el día 04/03/2026 el cual es reversado por la seccion el día 06/03/2026</t>
        </is>
      </c>
      <c r="P466" t="n">
        <v>79248430</v>
      </c>
    </row>
    <row r="467">
      <c r="A467" t="n">
        <v>8</v>
      </c>
      <c r="B467" t="n">
        <v>5079</v>
      </c>
      <c r="C467" t="inlineStr">
        <is>
          <t>BELLTECH</t>
        </is>
      </c>
      <c r="D467" t="inlineStr">
        <is>
          <t>BELLTECH</t>
        </is>
      </c>
      <c r="E467" s="3" t="n">
        <v>46087</v>
      </c>
      <c r="F467" s="3" t="n">
        <v>46086</v>
      </c>
      <c r="G467" t="inlineStr">
        <is>
          <t>10:35:00</t>
        </is>
      </c>
      <c r="H467" t="n">
        <v>291679550</v>
      </c>
      <c r="I467" t="n">
        <v>245691600</v>
      </c>
      <c r="J467" t="n">
        <v>9790000</v>
      </c>
      <c r="K467" t="n">
        <v>33515100</v>
      </c>
      <c r="M467">
        <f>I467-(H467+J467-K467)- L467</f>
        <v/>
      </c>
      <c r="N467">
        <f>IF(M467=0,"Cuadrado",IF(M467&gt;0,"Faltante","Sobrante"))</f>
        <v/>
      </c>
      <c r="O467" t="inlineStr">
        <is>
          <t>La diferencia es contabilizada por la Gerencia De Autoservicios y Efectivo de manera centralizada a la cuenta de sobrantes 279510020 el 06/03/2026</t>
        </is>
      </c>
      <c r="P467" t="n">
        <v>71738191</v>
      </c>
    </row>
    <row r="468">
      <c r="A468" t="n">
        <v>523</v>
      </c>
      <c r="B468" t="n">
        <v>5082</v>
      </c>
      <c r="C468" t="inlineStr">
        <is>
          <t>BELLTECH</t>
        </is>
      </c>
      <c r="D468" t="inlineStr">
        <is>
          <t>DIEBOLD</t>
        </is>
      </c>
      <c r="E468" s="3" t="n">
        <v>46087</v>
      </c>
      <c r="F468" s="3" t="n">
        <v>46086</v>
      </c>
      <c r="G468" t="inlineStr">
        <is>
          <t>10:44:00</t>
        </is>
      </c>
      <c r="H468" t="n">
        <v>178570950</v>
      </c>
      <c r="I468" t="n">
        <v>100552900</v>
      </c>
      <c r="J468" t="n">
        <v>0</v>
      </c>
      <c r="K468" t="n">
        <v>0</v>
      </c>
      <c r="M468">
        <f>I468-(H468+J468-K468)- L468</f>
        <v/>
      </c>
      <c r="N468">
        <f>IF(M468=0,"Cuadrado",IF(M468&gt;0,"Faltante","Sobrante"))</f>
        <v/>
      </c>
      <c r="O468" t="inlineStr">
        <is>
          <t>REPITIERON ARQUEO</t>
        </is>
      </c>
      <c r="P468" t="n">
        <v>39491642</v>
      </c>
    </row>
    <row r="469">
      <c r="A469" t="n">
        <v>265</v>
      </c>
      <c r="B469" t="n">
        <v>5083</v>
      </c>
      <c r="C469" t="inlineStr">
        <is>
          <t>BELLTECH</t>
        </is>
      </c>
      <c r="D469" t="inlineStr">
        <is>
          <t>BELLTECH</t>
        </is>
      </c>
      <c r="E469" s="3" t="n">
        <v>46087</v>
      </c>
      <c r="F469" s="3" t="n">
        <v>46086</v>
      </c>
      <c r="G469" t="inlineStr">
        <is>
          <t>09:54:00</t>
        </is>
      </c>
      <c r="H469" t="n">
        <v>144767750</v>
      </c>
      <c r="I469" t="n">
        <v>130715750</v>
      </c>
      <c r="J469" t="n">
        <v>0</v>
      </c>
      <c r="K469" t="n">
        <v>0</v>
      </c>
      <c r="M469">
        <f>I469-(H469+J469-K469)- L469</f>
        <v/>
      </c>
      <c r="N469">
        <f>IF(M469=0,"Cuadrado",IF(M469&gt;0,"Faltante","Sobrante"))</f>
        <v/>
      </c>
      <c r="O469" t="inlineStr">
        <is>
          <t>La diferencia es contabilizada por la Gerencia De Autoservicios y Efectivo de manera centralizada a la cuenta de sobrantes 279510020 el 06/03/2026</t>
        </is>
      </c>
      <c r="P469" t="n">
        <v>1107081130</v>
      </c>
    </row>
    <row r="470">
      <c r="A470" t="n">
        <v>634</v>
      </c>
      <c r="B470" t="n">
        <v>5087</v>
      </c>
      <c r="C470" t="inlineStr">
        <is>
          <t>BELLTECH</t>
        </is>
      </c>
      <c r="D470" t="inlineStr">
        <is>
          <t>BELLTECH</t>
        </is>
      </c>
      <c r="E470" s="3" t="n">
        <v>46087</v>
      </c>
      <c r="F470" s="3" t="n">
        <v>46086</v>
      </c>
      <c r="G470" t="inlineStr">
        <is>
          <t>16:21:00</t>
        </is>
      </c>
      <c r="H470" t="n">
        <v>106089700</v>
      </c>
      <c r="I470" t="n">
        <v>105511700</v>
      </c>
      <c r="J470" t="n">
        <v>75740000</v>
      </c>
      <c r="K470" t="n">
        <v>76311000</v>
      </c>
      <c r="M470">
        <f>I470-(H470+J470-K470)- L470</f>
        <v/>
      </c>
      <c r="N470">
        <f>IF(M470=0,"Cuadrado",IF(M470&gt;0,"Faltante","Sobrante"))</f>
        <v/>
      </c>
      <c r="O470" t="inlineStr">
        <is>
          <t>La diferencia es contabilizada por la Gerencia De Autoservicios y Efectivo de manera centralizada a la cuenta de sobrantes 279510020 el 06/03/2026</t>
        </is>
      </c>
      <c r="P470" t="n">
        <v>1032424944</v>
      </c>
    </row>
    <row r="471">
      <c r="A471" t="n">
        <v>430</v>
      </c>
      <c r="B471" t="n">
        <v>5104</v>
      </c>
      <c r="C471" t="inlineStr">
        <is>
          <t>BELLTECH</t>
        </is>
      </c>
      <c r="D471" t="inlineStr">
        <is>
          <t>BELLTECH</t>
        </is>
      </c>
      <c r="E471" s="3" t="n">
        <v>46087</v>
      </c>
      <c r="F471" s="3" t="n">
        <v>46086</v>
      </c>
      <c r="G471" t="inlineStr">
        <is>
          <t>15:19:00</t>
        </is>
      </c>
      <c r="H471" t="n">
        <v>369806800</v>
      </c>
      <c r="I471" t="n">
        <v>362667750</v>
      </c>
      <c r="J471" t="n">
        <v>41480000</v>
      </c>
      <c r="K471" t="n">
        <v>48593700</v>
      </c>
      <c r="M471">
        <f>I471-(H471+J471-K471)- L471</f>
        <v/>
      </c>
      <c r="N471">
        <f>IF(M471=0,"Cuadrado",IF(M471&gt;0,"Faltante","Sobrante"))</f>
        <v/>
      </c>
      <c r="O471" t="inlineStr">
        <is>
          <t>La diferencia es contabilizada por la Gerencia De Autoservicios y Efectivo de manera centralizada a la cuenta de sobrantes 279510020 el 06/03/2026</t>
        </is>
      </c>
      <c r="P471" t="n">
        <v>1035234232</v>
      </c>
    </row>
    <row r="472">
      <c r="A472" t="n">
        <v>743</v>
      </c>
      <c r="B472" t="n">
        <v>5106</v>
      </c>
      <c r="C472" t="inlineStr">
        <is>
          <t>BELLTECH</t>
        </is>
      </c>
      <c r="D472" t="inlineStr">
        <is>
          <t>BELLTECH</t>
        </is>
      </c>
      <c r="E472" s="3" t="n">
        <v>46087</v>
      </c>
      <c r="F472" s="3" t="n">
        <v>46086</v>
      </c>
      <c r="G472" t="inlineStr">
        <is>
          <t>10:48:00</t>
        </is>
      </c>
      <c r="H472" t="n">
        <v>58298000</v>
      </c>
      <c r="I472" t="n">
        <v>52889000</v>
      </c>
      <c r="J472" t="n">
        <v>27880000</v>
      </c>
      <c r="K472" t="n">
        <v>15092000</v>
      </c>
      <c r="M472">
        <f>I472-(H472+J472-K472)- L472</f>
        <v/>
      </c>
      <c r="N472">
        <f>IF(M472=0,"Cuadrado",IF(M472&gt;0,"Faltante","Sobrante"))</f>
        <v/>
      </c>
      <c r="O472" t="inlineStr">
        <is>
          <t>La diferencia es contabilizada por la Gerencia De Autoservicios y Efectivo de manera centralizada a la cuenta de sobrantes 279510020 el 06/03/2026</t>
        </is>
      </c>
      <c r="P472" t="n">
        <v>79887183</v>
      </c>
    </row>
    <row r="473">
      <c r="A473" t="n">
        <v>191</v>
      </c>
      <c r="B473" t="n">
        <v>5112</v>
      </c>
      <c r="C473" t="inlineStr">
        <is>
          <t>BELLTECH</t>
        </is>
      </c>
      <c r="D473" t="inlineStr">
        <is>
          <t>BELLTECH</t>
        </is>
      </c>
      <c r="E473" s="3" t="n">
        <v>46087</v>
      </c>
      <c r="F473" s="3" t="n">
        <v>46086</v>
      </c>
      <c r="G473" t="inlineStr">
        <is>
          <t>09:26:00</t>
        </is>
      </c>
      <c r="H473" t="n">
        <v>246928850</v>
      </c>
      <c r="I473" t="n">
        <v>244729050</v>
      </c>
      <c r="J473" t="n">
        <v>800000</v>
      </c>
      <c r="K473" t="n">
        <v>0</v>
      </c>
      <c r="M473">
        <f>I473-(H473+J473-K473)- L473</f>
        <v/>
      </c>
      <c r="N473">
        <f>IF(M473=0,"Cuadrado",IF(M473&gt;0,"Faltante","Sobrante"))</f>
        <v/>
      </c>
      <c r="O473" t="inlineStr">
        <is>
          <t>La diferencia es contabilizada por la Gerencia De Autoservicios y Efectivo de manera centralizada a la cuenta de sobrantes 279510020 el 06/03/2026</t>
        </is>
      </c>
      <c r="P473" t="n">
        <v>80812756</v>
      </c>
    </row>
    <row r="474">
      <c r="A474" t="n">
        <v>937</v>
      </c>
      <c r="B474" t="n">
        <v>5115</v>
      </c>
      <c r="C474" t="inlineStr">
        <is>
          <t>BELLTECH</t>
        </is>
      </c>
      <c r="D474" t="inlineStr">
        <is>
          <t>BELLTECH</t>
        </is>
      </c>
      <c r="E474" s="3" t="n">
        <v>46087</v>
      </c>
      <c r="F474" s="3" t="n">
        <v>46086</v>
      </c>
      <c r="G474" t="inlineStr">
        <is>
          <t>08:36:00</t>
        </is>
      </c>
      <c r="H474" t="n">
        <v>171168750</v>
      </c>
      <c r="I474" t="n">
        <v>170696850</v>
      </c>
      <c r="J474" t="n">
        <v>0</v>
      </c>
      <c r="K474" t="n">
        <v>473000</v>
      </c>
      <c r="L474" t="n">
        <v>1100</v>
      </c>
      <c r="M474">
        <f>I474-(H474+J474-K474)- L474</f>
        <v/>
      </c>
      <c r="N474">
        <f>IF(M474=0,"Cuadrado",IF(M474&gt;0,"Faltante","Sobrante"))</f>
        <v/>
      </c>
      <c r="O474" t="inlineStr">
        <is>
          <t>El faltante $1.100 es cruzado con sobrante contabilizado el día 04/03/2026 el cual es reversado por la seccion el día 06/03/2026</t>
        </is>
      </c>
      <c r="P474" t="n">
        <v>1061702364</v>
      </c>
    </row>
    <row r="475">
      <c r="A475" t="n">
        <v>292</v>
      </c>
      <c r="B475" t="n">
        <v>5116</v>
      </c>
      <c r="C475" t="inlineStr">
        <is>
          <t>BELLTECH</t>
        </is>
      </c>
      <c r="D475" t="inlineStr">
        <is>
          <t>BELLTECH</t>
        </is>
      </c>
      <c r="E475" s="3" t="n">
        <v>46087</v>
      </c>
      <c r="F475" s="3" t="n">
        <v>46086</v>
      </c>
      <c r="G475" t="inlineStr">
        <is>
          <t>09:12:00</t>
        </is>
      </c>
      <c r="H475" t="n">
        <v>198569250</v>
      </c>
      <c r="I475" t="n">
        <v>207441850</v>
      </c>
      <c r="J475" t="n">
        <v>15890000</v>
      </c>
      <c r="K475" t="n">
        <v>12444000</v>
      </c>
      <c r="L475" t="n">
        <v>5426600</v>
      </c>
      <c r="M475">
        <f>I475-(H475+J475-K475)- L475</f>
        <v/>
      </c>
      <c r="N475">
        <f>IF(M475=0,"Cuadrado",IF(M475&gt;0,"Faltante","Sobrante"))</f>
        <v/>
      </c>
      <c r="O475" t="inlineStr">
        <is>
          <t>El faltante $5.426.600 es cruzado con sobrante contabilizado el día 04/03/2026 el cual es reversado por la seccion el día 06/03/2026</t>
        </is>
      </c>
      <c r="P475" t="n">
        <v>44006127</v>
      </c>
    </row>
    <row r="476">
      <c r="A476" t="n">
        <v>511</v>
      </c>
      <c r="B476" t="n">
        <v>5122</v>
      </c>
      <c r="C476" t="inlineStr">
        <is>
          <t>BELLTECH</t>
        </is>
      </c>
      <c r="D476" t="inlineStr">
        <is>
          <t>BELLTECH</t>
        </is>
      </c>
      <c r="E476" s="3" t="n">
        <v>46087</v>
      </c>
      <c r="F476" s="3" t="n">
        <v>46086</v>
      </c>
      <c r="G476" t="inlineStr">
        <is>
          <t>11:54:00</t>
        </is>
      </c>
      <c r="H476" t="n">
        <v>161839300</v>
      </c>
      <c r="I476" t="n">
        <v>202510250</v>
      </c>
      <c r="J476" t="n">
        <v>19110000</v>
      </c>
      <c r="K476" t="n">
        <v>18439000</v>
      </c>
      <c r="M476">
        <f>I476-(H476+J476-K476)- L476</f>
        <v/>
      </c>
      <c r="N476">
        <f>IF(M476=0,"Cuadrado",IF(M476&gt;0,"Faltante","Sobrante"))</f>
        <v/>
      </c>
      <c r="O476" t="inlineStr">
        <is>
          <t>REPITIERON ARQUEO</t>
        </is>
      </c>
      <c r="P476" t="n">
        <v>1037597003</v>
      </c>
    </row>
    <row r="477">
      <c r="A477" t="n">
        <v>366</v>
      </c>
      <c r="B477" t="n">
        <v>5132</v>
      </c>
      <c r="C477" t="inlineStr">
        <is>
          <t>BELLTECH</t>
        </is>
      </c>
      <c r="D477" t="inlineStr">
        <is>
          <t>BELLTECH</t>
        </is>
      </c>
      <c r="E477" s="3" t="n">
        <v>46087</v>
      </c>
      <c r="F477" s="3" t="n">
        <v>46086</v>
      </c>
      <c r="G477" t="inlineStr">
        <is>
          <t>15:21:00</t>
        </is>
      </c>
      <c r="H477" t="n">
        <v>281513100</v>
      </c>
      <c r="I477" t="n">
        <v>264048100</v>
      </c>
      <c r="J477" t="n">
        <v>32420000</v>
      </c>
      <c r="K477" t="n">
        <v>46374000</v>
      </c>
      <c r="M477">
        <f>I477-(H477+J477-K477)- L477</f>
        <v/>
      </c>
      <c r="N477">
        <f>IF(M477=0,"Cuadrado",IF(M477&gt;0,"Faltante","Sobrante"))</f>
        <v/>
      </c>
      <c r="O477" t="inlineStr">
        <is>
          <t>La diferencia es contabilizada por la Gerencia De Autoservicios y Efectivo de manera centralizada a la cuenta de sobrantes 279510020 el 06/03/2026</t>
        </is>
      </c>
      <c r="P477" t="n">
        <v>1035426009</v>
      </c>
    </row>
    <row r="478">
      <c r="A478" t="n">
        <v>358</v>
      </c>
      <c r="B478" t="n">
        <v>5149</v>
      </c>
      <c r="C478" t="inlineStr">
        <is>
          <t>BELLTECH</t>
        </is>
      </c>
      <c r="D478" t="inlineStr">
        <is>
          <t>BELLTECH</t>
        </is>
      </c>
      <c r="E478" s="3" t="n">
        <v>46087</v>
      </c>
      <c r="F478" s="3" t="n">
        <v>46086</v>
      </c>
      <c r="G478" t="inlineStr">
        <is>
          <t>08:00:00</t>
        </is>
      </c>
      <c r="H478" t="n">
        <v>22620350</v>
      </c>
      <c r="I478" t="n">
        <v>22570850</v>
      </c>
      <c r="J478" t="n">
        <v>0</v>
      </c>
      <c r="K478" t="n">
        <v>0</v>
      </c>
      <c r="M478">
        <f>I478-(H478+J478-K478)- L478</f>
        <v/>
      </c>
      <c r="N478">
        <f>IF(M478=0,"Cuadrado",IF(M478&gt;0,"Faltante","Sobrante"))</f>
        <v/>
      </c>
      <c r="O478" t="inlineStr">
        <is>
          <t>La diferencia es contabilizada por la Gerencia De Autoservicios y Efectivo de manera centralizada a la cuenta de sobrantes 279510020 el 06/03/2026</t>
        </is>
      </c>
      <c r="P478" t="n">
        <v>46456877</v>
      </c>
    </row>
    <row r="479">
      <c r="A479" t="n">
        <v>388</v>
      </c>
      <c r="B479" t="n">
        <v>5169</v>
      </c>
      <c r="C479" t="inlineStr">
        <is>
          <t>BELLTECH</t>
        </is>
      </c>
      <c r="D479" t="inlineStr">
        <is>
          <t>BELLTECH</t>
        </is>
      </c>
      <c r="E479" s="3" t="n">
        <v>46087</v>
      </c>
      <c r="F479" s="3" t="n">
        <v>46086</v>
      </c>
      <c r="G479" t="inlineStr">
        <is>
          <t>09:34:00</t>
        </is>
      </c>
      <c r="H479" t="n">
        <v>22055900</v>
      </c>
      <c r="I479" t="n">
        <v>329397900</v>
      </c>
      <c r="J479" t="n">
        <v>630000</v>
      </c>
      <c r="K479" t="n">
        <v>0</v>
      </c>
      <c r="L479" t="n">
        <v>306712000</v>
      </c>
      <c r="M479">
        <f>I479-(H479+J479-K479)- L479</f>
        <v/>
      </c>
      <c r="N479">
        <f>IF(M479=0,"Cuadrado",IF(M479&gt;0,"Faltante","Sobrante"))</f>
        <v/>
      </c>
      <c r="O479" t="inlineStr">
        <is>
          <t>El faltante $507.000 es cruzado con sobrante contabilizado el día 04/03/2026 el cual es reversado por la seccion el día 06/03/2026</t>
        </is>
      </c>
      <c r="P479" t="n">
        <v>1023890720</v>
      </c>
    </row>
    <row r="480">
      <c r="A480" t="n">
        <v>253</v>
      </c>
      <c r="B480" t="n">
        <v>5176</v>
      </c>
      <c r="C480" t="inlineStr">
        <is>
          <t>BELLTECH</t>
        </is>
      </c>
      <c r="D480" t="inlineStr">
        <is>
          <t>BELLTECH</t>
        </is>
      </c>
      <c r="E480" s="3" t="n">
        <v>46087</v>
      </c>
      <c r="F480" s="3" t="n">
        <v>46086</v>
      </c>
      <c r="G480" t="inlineStr">
        <is>
          <t>10:35:00</t>
        </is>
      </c>
      <c r="H480" t="n">
        <v>216719950</v>
      </c>
      <c r="I480" t="n">
        <v>485872950</v>
      </c>
      <c r="J480" t="n">
        <v>9570000</v>
      </c>
      <c r="K480" t="n">
        <v>41515000</v>
      </c>
      <c r="L480" t="n">
        <v>300900000</v>
      </c>
      <c r="M480">
        <f>I480-(H480+J480-K480)- L480</f>
        <v/>
      </c>
      <c r="N480">
        <f>IF(M480=0,"Cuadrado",IF(M480&gt;0,"Faltante","Sobrante"))</f>
        <v/>
      </c>
      <c r="O480" t="inlineStr">
        <is>
          <t>REPITIERON ARQUEO</t>
        </is>
      </c>
      <c r="P480" t="n">
        <v>1017241432</v>
      </c>
    </row>
    <row r="481">
      <c r="A481" t="n">
        <v>432</v>
      </c>
      <c r="B481" t="n">
        <v>5195</v>
      </c>
      <c r="C481" t="inlineStr">
        <is>
          <t>BELLTECH</t>
        </is>
      </c>
      <c r="D481" t="inlineStr">
        <is>
          <t>BELLTECH</t>
        </is>
      </c>
      <c r="E481" s="3" t="n">
        <v>46087</v>
      </c>
      <c r="F481" s="3" t="n">
        <v>46086</v>
      </c>
      <c r="G481" t="inlineStr">
        <is>
          <t>14:59:00</t>
        </is>
      </c>
      <c r="H481" t="n">
        <v>251120200</v>
      </c>
      <c r="I481" t="n">
        <v>209185200</v>
      </c>
      <c r="J481" t="n">
        <v>19960000</v>
      </c>
      <c r="K481" t="n">
        <v>67749000</v>
      </c>
      <c r="L481" t="n">
        <v>5854000</v>
      </c>
      <c r="M481">
        <f>I481-(H481+J481-K481)- L481</f>
        <v/>
      </c>
      <c r="N481">
        <f>IF(M481=0,"Cuadrado",IF(M481&gt;0,"Faltante","Sobrante"))</f>
        <v/>
      </c>
      <c r="O481" t="inlineStr">
        <is>
          <t>El faltante $5.854.000 es cruzado con sobrante contabilizado el día 04/03/2026 el cual es reversado por la seccion el día 06/03/2026</t>
        </is>
      </c>
      <c r="P481" t="n">
        <v>71935844</v>
      </c>
    </row>
    <row r="482">
      <c r="A482" t="n">
        <v>606</v>
      </c>
      <c r="B482" t="n">
        <v>5201</v>
      </c>
      <c r="C482" t="inlineStr">
        <is>
          <t>BELLTECH</t>
        </is>
      </c>
      <c r="D482" t="inlineStr">
        <is>
          <t>BELLTECH</t>
        </is>
      </c>
      <c r="E482" s="3" t="n">
        <v>46087</v>
      </c>
      <c r="F482" s="3" t="n">
        <v>46086</v>
      </c>
      <c r="G482" t="inlineStr">
        <is>
          <t>11:47:00</t>
        </is>
      </c>
      <c r="H482" t="n">
        <v>278527850</v>
      </c>
      <c r="I482" t="n">
        <v>269966850</v>
      </c>
      <c r="J482" t="n">
        <v>19190000</v>
      </c>
      <c r="K482" t="n">
        <v>32881000</v>
      </c>
      <c r="L482" t="n">
        <v>5130000</v>
      </c>
      <c r="M482">
        <f>I482-(H482+J482-K482)- L482</f>
        <v/>
      </c>
      <c r="N482">
        <f>IF(M482=0,"Cuadrado",IF(M482&gt;0,"Faltante","Sobrante"))</f>
        <v/>
      </c>
      <c r="O482" t="inlineStr">
        <is>
          <t>El faltante $5.130.000 es cruzado con sobrante contabilizado el día 04/03/2026 el cual es reversado por la seccion el día 06/03/2026</t>
        </is>
      </c>
      <c r="P482" t="n">
        <v>33368879</v>
      </c>
    </row>
    <row r="483">
      <c r="A483" t="n">
        <v>16</v>
      </c>
      <c r="B483" t="n">
        <v>5219</v>
      </c>
      <c r="C483" t="inlineStr">
        <is>
          <t>BELLTECH</t>
        </is>
      </c>
      <c r="D483" t="inlineStr">
        <is>
          <t>BELLTECH</t>
        </is>
      </c>
      <c r="E483" s="3" t="n">
        <v>46087</v>
      </c>
      <c r="F483" s="3" t="n">
        <v>46086</v>
      </c>
      <c r="G483" t="inlineStr">
        <is>
          <t>02:41:00</t>
        </is>
      </c>
      <c r="H483" t="n">
        <v>112217850</v>
      </c>
      <c r="I483" t="n">
        <v>99111700</v>
      </c>
      <c r="J483" t="n">
        <v>0</v>
      </c>
      <c r="K483" t="n">
        <v>0</v>
      </c>
      <c r="M483">
        <f>I483-(H483+J483-K483)- L483</f>
        <v/>
      </c>
      <c r="N483">
        <f>IF(M483=0,"Cuadrado",IF(M483&gt;0,"Faltante","Sobrante"))</f>
        <v/>
      </c>
      <c r="O483" t="inlineStr">
        <is>
          <t>La diferencia es contabilizada por la Gerencia De Autoservicios y Efectivo de manera centralizada a la cuenta de sobrantes 279510020 el 06/03/2026</t>
        </is>
      </c>
      <c r="P483" t="n">
        <v>1128391338</v>
      </c>
    </row>
    <row r="484">
      <c r="A484" t="n">
        <v>941</v>
      </c>
      <c r="B484" t="n">
        <v>5220</v>
      </c>
      <c r="C484" t="inlineStr">
        <is>
          <t>BELLTECH</t>
        </is>
      </c>
      <c r="D484" t="inlineStr">
        <is>
          <t>BELLTECH</t>
        </is>
      </c>
      <c r="E484" s="3" t="n">
        <v>46087</v>
      </c>
      <c r="F484" s="3" t="n">
        <v>46086</v>
      </c>
      <c r="G484" t="inlineStr">
        <is>
          <t>07:38:00</t>
        </is>
      </c>
      <c r="H484" t="n">
        <v>220258900</v>
      </c>
      <c r="I484" t="n">
        <v>220561700</v>
      </c>
      <c r="J484" t="n">
        <v>0</v>
      </c>
      <c r="K484" t="n">
        <v>0</v>
      </c>
      <c r="M484">
        <f>I484-(H484+J484-K484)- L484</f>
        <v/>
      </c>
      <c r="N484">
        <f>IF(M484=0,"Cuadrado",IF(M484&gt;0,"Faltante","Sobrante"))</f>
        <v/>
      </c>
      <c r="O484" t="inlineStr">
        <is>
          <t>La diferencia es contabilizada por la Gerencia De Autoservicios y Efectivo de manera centralizada a la cuenta de faltantes 168710093 el 06/03/2026, esta diferencia ingresa a proceso de investigación en el área para identificar a que corresponde.</t>
        </is>
      </c>
      <c r="P484" t="n">
        <v>1075228904</v>
      </c>
    </row>
    <row r="485">
      <c r="A485" t="n">
        <v>54</v>
      </c>
      <c r="B485" t="n">
        <v>6204</v>
      </c>
      <c r="C485" t="inlineStr">
        <is>
          <t>BELLTECH</t>
        </is>
      </c>
      <c r="D485" t="inlineStr">
        <is>
          <t>BELLTECH</t>
        </is>
      </c>
      <c r="E485" s="3" t="n">
        <v>46087</v>
      </c>
      <c r="F485" s="3" t="n">
        <v>46086</v>
      </c>
      <c r="G485" t="inlineStr">
        <is>
          <t>09:22:00</t>
        </is>
      </c>
      <c r="H485" t="n">
        <v>141733400</v>
      </c>
      <c r="I485" t="n">
        <v>125946850</v>
      </c>
      <c r="J485" t="n">
        <v>1660000</v>
      </c>
      <c r="K485" t="n">
        <v>17535000</v>
      </c>
      <c r="L485" t="n">
        <v>88450</v>
      </c>
      <c r="M485">
        <f>I485-(H485+J485-K485)- L485</f>
        <v/>
      </c>
      <c r="N485">
        <f>IF(M485=0,"Cuadrado",IF(M485&gt;0,"Faltante","Sobrante"))</f>
        <v/>
      </c>
      <c r="O485" t="inlineStr">
        <is>
          <t>El faltante $88.600 es cruzado con sobrante contabilizado el día 03/03/2026 el cual es reversado por la seccion el día 06/03/2026</t>
        </is>
      </c>
      <c r="P485" t="n">
        <v>1019068822</v>
      </c>
    </row>
    <row r="486">
      <c r="A486" t="n">
        <v>178</v>
      </c>
      <c r="B486" t="n">
        <v>6218</v>
      </c>
      <c r="C486" t="inlineStr">
        <is>
          <t>BELLTECH</t>
        </is>
      </c>
      <c r="D486" t="inlineStr">
        <is>
          <t>BELLTECH</t>
        </is>
      </c>
      <c r="E486" s="3" t="n">
        <v>46087</v>
      </c>
      <c r="F486" s="3" t="n">
        <v>46086</v>
      </c>
      <c r="G486" t="inlineStr">
        <is>
          <t>10:06:00</t>
        </is>
      </c>
      <c r="H486" t="n">
        <v>301155400</v>
      </c>
      <c r="I486" t="n">
        <v>298945400</v>
      </c>
      <c r="J486" t="n">
        <v>2590000</v>
      </c>
      <c r="K486" t="n">
        <v>0</v>
      </c>
      <c r="M486">
        <f>I486-(H486+J486-K486)- L486</f>
        <v/>
      </c>
      <c r="N486">
        <f>IF(M486=0,"Cuadrado",IF(M486&gt;0,"Faltante","Sobrante"))</f>
        <v/>
      </c>
      <c r="O486" t="inlineStr">
        <is>
          <t>La diferencia es contabilizada por la Gerencia De Autoservicios y Efectivo de manera centralizada a la cuenta de sobrantes 279510020 el 06/03/2026</t>
        </is>
      </c>
      <c r="P486" t="n">
        <v>79516051</v>
      </c>
    </row>
    <row r="487">
      <c r="A487" t="n">
        <v>231</v>
      </c>
      <c r="B487" t="n">
        <v>6243</v>
      </c>
      <c r="C487" t="inlineStr">
        <is>
          <t>BELLTECH</t>
        </is>
      </c>
      <c r="D487" t="inlineStr">
        <is>
          <t>DIEBOLD</t>
        </is>
      </c>
      <c r="E487" s="3" t="n">
        <v>46087</v>
      </c>
      <c r="F487" s="3" t="n">
        <v>46086</v>
      </c>
      <c r="G487" t="inlineStr">
        <is>
          <t>09:27:00</t>
        </is>
      </c>
      <c r="H487" t="n">
        <v>182345150</v>
      </c>
      <c r="I487" t="n">
        <v>186175150</v>
      </c>
      <c r="J487" t="n">
        <v>7780000</v>
      </c>
      <c r="K487" t="n">
        <v>4000000</v>
      </c>
      <c r="L487" t="n">
        <v>50000</v>
      </c>
      <c r="M487">
        <f>I487-(H487+J487-K487)- L487</f>
        <v/>
      </c>
      <c r="N487">
        <f>IF(M487=0,"Cuadrado",IF(M487&gt;0,"Faltante","Sobrante"))</f>
        <v/>
      </c>
      <c r="O487" t="inlineStr">
        <is>
          <t>El faltante $50.000 es cruzado con sobrante contabilizado el día 04/03/2026 el cual es reversado por la seccion el día 06/03/2026</t>
        </is>
      </c>
      <c r="P487" t="n">
        <v>52979634</v>
      </c>
    </row>
    <row r="488">
      <c r="A488" t="n">
        <v>79</v>
      </c>
      <c r="B488" t="n">
        <v>6245</v>
      </c>
      <c r="C488" t="inlineStr">
        <is>
          <t>BELLTECH</t>
        </is>
      </c>
      <c r="D488" t="inlineStr">
        <is>
          <t>DIEBOLD</t>
        </is>
      </c>
      <c r="E488" s="3" t="n">
        <v>46087</v>
      </c>
      <c r="F488" s="3" t="n">
        <v>46086</v>
      </c>
      <c r="G488" t="inlineStr">
        <is>
          <t>08:35:00</t>
        </is>
      </c>
      <c r="H488" t="n">
        <v>3193400</v>
      </c>
      <c r="I488" t="n">
        <v>201375900</v>
      </c>
      <c r="J488" t="n">
        <v>0</v>
      </c>
      <c r="K488" t="n">
        <v>17488950</v>
      </c>
      <c r="L488" t="n">
        <v>220433000</v>
      </c>
      <c r="M488">
        <f>I488-(H488+J488-K488)- L488</f>
        <v/>
      </c>
      <c r="N488">
        <f>IF(M488=0,"Cuadrado",IF(M488&gt;0,"Faltante","Sobrante"))</f>
        <v/>
      </c>
      <c r="O488" t="inlineStr">
        <is>
          <t>La diferencia es contabilizada por la Gerencia De Autoservicios y Efectivo de manera centralizada a la cuenta de sobrantes 279510020 el 06/03/2026</t>
        </is>
      </c>
      <c r="P488" t="n">
        <v>79772242</v>
      </c>
    </row>
    <row r="489">
      <c r="A489" t="n">
        <v>78</v>
      </c>
      <c r="B489" t="n">
        <v>6246</v>
      </c>
      <c r="C489" t="inlineStr">
        <is>
          <t>BELLTECH</t>
        </is>
      </c>
      <c r="D489" t="inlineStr">
        <is>
          <t>BELLTECH</t>
        </is>
      </c>
      <c r="E489" s="3" t="n">
        <v>46087</v>
      </c>
      <c r="F489" s="3" t="n">
        <v>46086</v>
      </c>
      <c r="G489" t="inlineStr">
        <is>
          <t>07:47:00</t>
        </is>
      </c>
      <c r="H489" t="n">
        <v>179249150</v>
      </c>
      <c r="I489" t="n">
        <v>177039150</v>
      </c>
      <c r="J489" t="n">
        <v>560000</v>
      </c>
      <c r="K489" t="n">
        <v>8020000</v>
      </c>
      <c r="L489" t="n">
        <v>5250000</v>
      </c>
      <c r="M489">
        <f>I489-(H489+J489-K489)- L489</f>
        <v/>
      </c>
      <c r="N489">
        <f>IF(M489=0,"Cuadrado",IF(M489&gt;0,"Faltante","Sobrante"))</f>
        <v/>
      </c>
      <c r="O489" t="inlineStr">
        <is>
          <t>El faltante $5.250.000 es cruzado con sobrante contabilizado el día 04/03/2026 el cual es reversado por la seccion el día 06/03/2026</t>
        </is>
      </c>
      <c r="P489" t="n">
        <v>1098657131</v>
      </c>
    </row>
    <row r="490">
      <c r="A490" t="n">
        <v>718</v>
      </c>
      <c r="B490" t="n">
        <v>6248</v>
      </c>
      <c r="C490" t="inlineStr">
        <is>
          <t>BELLTECH</t>
        </is>
      </c>
      <c r="D490" t="inlineStr">
        <is>
          <t>BELLTECH</t>
        </is>
      </c>
      <c r="E490" s="3" t="n">
        <v>46087</v>
      </c>
      <c r="F490" s="3" t="n">
        <v>46086</v>
      </c>
      <c r="G490" t="inlineStr">
        <is>
          <t>08:35:00</t>
        </is>
      </c>
      <c r="H490" t="n">
        <v>303747800</v>
      </c>
      <c r="I490" t="n">
        <v>304257800</v>
      </c>
      <c r="J490" t="n">
        <v>0</v>
      </c>
      <c r="K490" t="n">
        <v>2000000</v>
      </c>
      <c r="L490" t="n">
        <v>2510000</v>
      </c>
      <c r="M490">
        <f>I490-(H490+J490-K490)- L490</f>
        <v/>
      </c>
      <c r="N490">
        <f>IF(M490=0,"Cuadrado",IF(M490&gt;0,"Faltante","Sobrante"))</f>
        <v/>
      </c>
      <c r="O490" t="inlineStr">
        <is>
          <t>El faltante $2.510.000 es cruzado con sobrante contabilizado el día 04/03/2026 el cual es reversado por la seccion el día 06/03/2026</t>
        </is>
      </c>
      <c r="P490" t="n">
        <v>1110458168</v>
      </c>
    </row>
    <row r="491">
      <c r="A491" t="n">
        <v>337</v>
      </c>
      <c r="B491" t="n">
        <v>6253</v>
      </c>
      <c r="C491" t="inlineStr">
        <is>
          <t>BELLTECH</t>
        </is>
      </c>
      <c r="D491" t="inlineStr">
        <is>
          <t>BELLTECH</t>
        </is>
      </c>
      <c r="E491" s="3" t="n">
        <v>46087</v>
      </c>
      <c r="F491" s="3" t="n">
        <v>46086</v>
      </c>
      <c r="G491" t="inlineStr">
        <is>
          <t>09:33:00</t>
        </is>
      </c>
      <c r="H491" t="n">
        <v>206397700</v>
      </c>
      <c r="I491" t="n">
        <v>209155700</v>
      </c>
      <c r="J491" t="n">
        <v>9590000</v>
      </c>
      <c r="K491" t="n">
        <v>6732000</v>
      </c>
      <c r="M491">
        <f>I491-(H491+J491-K491)- L491</f>
        <v/>
      </c>
      <c r="N491">
        <f>IF(M491=0,"Cuadrado",IF(M491&gt;0,"Faltante","Sobrante"))</f>
        <v/>
      </c>
      <c r="O491" t="inlineStr">
        <is>
          <t>La diferencia es contabilizada por la Gerencia De Autoservicios y Efectivo de manera centralizada a la cuenta de sobrantes 279510020 el 06/03/2026</t>
        </is>
      </c>
      <c r="P491" t="n">
        <v>80386330</v>
      </c>
    </row>
    <row r="492">
      <c r="A492" t="n">
        <v>317</v>
      </c>
      <c r="B492" t="n">
        <v>6613</v>
      </c>
      <c r="C492" t="inlineStr">
        <is>
          <t>DIEBOLD</t>
        </is>
      </c>
      <c r="D492" t="inlineStr">
        <is>
          <t>BELLTECH</t>
        </is>
      </c>
      <c r="E492" s="3" t="n">
        <v>46087</v>
      </c>
      <c r="F492" s="3" t="n">
        <v>46086</v>
      </c>
      <c r="G492" t="inlineStr">
        <is>
          <t>09:10:00</t>
        </is>
      </c>
      <c r="H492" t="n">
        <v>55302000</v>
      </c>
      <c r="I492" t="n">
        <v>318993000</v>
      </c>
      <c r="J492" t="n">
        <v>1550000</v>
      </c>
      <c r="K492" t="n">
        <v>23900000</v>
      </c>
      <c r="L492" t="n">
        <v>302802000</v>
      </c>
      <c r="M492">
        <f>I492-(H492+J492-K492)- L492</f>
        <v/>
      </c>
      <c r="N492">
        <f>IF(M492=0,"Cuadrado",IF(M492&gt;0,"Faltante","Sobrante"))</f>
        <v/>
      </c>
      <c r="O492" t="inlineStr">
        <is>
          <t>La diferencia es contabilizada por la Gerencia De Autoservicios y Efectivo de manera centralizada a la cuenta de sobrantes 279510020 el 06/03/2026</t>
        </is>
      </c>
      <c r="P492" t="n">
        <v>1116796671</v>
      </c>
    </row>
    <row r="493">
      <c r="A493" t="n">
        <v>352</v>
      </c>
      <c r="B493" t="n">
        <v>6618</v>
      </c>
      <c r="C493" t="inlineStr">
        <is>
          <t>BELLTECH</t>
        </is>
      </c>
      <c r="D493" t="inlineStr">
        <is>
          <t>BELLTECH</t>
        </is>
      </c>
      <c r="E493" s="3" t="n">
        <v>46087</v>
      </c>
      <c r="F493" s="3" t="n">
        <v>46086</v>
      </c>
      <c r="G493" t="inlineStr">
        <is>
          <t>10:03:00</t>
        </is>
      </c>
      <c r="H493" t="n">
        <v>168638000</v>
      </c>
      <c r="I493" t="n">
        <v>190430000</v>
      </c>
      <c r="J493" t="n">
        <v>9630000</v>
      </c>
      <c r="K493" t="n">
        <v>650000</v>
      </c>
      <c r="M493">
        <f>I493-(H493+J493-K493)- L493</f>
        <v/>
      </c>
      <c r="N493">
        <f>IF(M493=0,"Cuadrado",IF(M493&gt;0,"Faltante","Sobrante"))</f>
        <v/>
      </c>
      <c r="O493" t="inlineStr">
        <is>
          <t>REPITIERON ARQUEO</t>
        </is>
      </c>
      <c r="P493" t="n">
        <v>28559006</v>
      </c>
    </row>
    <row r="494">
      <c r="A494" t="n">
        <v>138</v>
      </c>
      <c r="B494" t="n">
        <v>6628</v>
      </c>
      <c r="C494" t="inlineStr">
        <is>
          <t>DIEBOLD</t>
        </is>
      </c>
      <c r="D494" t="inlineStr">
        <is>
          <t>DIEBOLD</t>
        </is>
      </c>
      <c r="E494" s="3" t="n">
        <v>46087</v>
      </c>
      <c r="F494" s="3" t="n">
        <v>46086</v>
      </c>
      <c r="G494" t="inlineStr">
        <is>
          <t>10:35:58</t>
        </is>
      </c>
      <c r="H494" t="n">
        <v>121980550</v>
      </c>
      <c r="I494" t="n">
        <v>127215100</v>
      </c>
      <c r="J494" t="n">
        <v>7460000</v>
      </c>
      <c r="K494" t="n">
        <v>12185000</v>
      </c>
      <c r="L494" t="n">
        <v>9959550</v>
      </c>
      <c r="M494">
        <f>I494-(H494+J494-K494)- L494</f>
        <v/>
      </c>
      <c r="N494">
        <f>IF(M494=0,"Cuadrado",IF(M494&gt;0,"Faltante","Sobrante"))</f>
        <v/>
      </c>
      <c r="O494" t="inlineStr">
        <is>
          <t>El faltante $9.960.550 es cruzado con sobrante contabilizado el día 04/03/2026 el cual es reversado por la seccion el día 06/03/2026</t>
        </is>
      </c>
      <c r="P494" t="n">
        <v>1023884092</v>
      </c>
    </row>
    <row r="495">
      <c r="A495" t="n">
        <v>764</v>
      </c>
      <c r="B495" t="n">
        <v>6715</v>
      </c>
      <c r="C495" t="inlineStr">
        <is>
          <t>BELLTECH</t>
        </is>
      </c>
      <c r="D495" t="inlineStr">
        <is>
          <t>BELLTECH</t>
        </is>
      </c>
      <c r="E495" s="3" t="n">
        <v>46087</v>
      </c>
      <c r="F495" s="3" t="n">
        <v>46086</v>
      </c>
      <c r="G495" t="inlineStr">
        <is>
          <t>09:26:00</t>
        </is>
      </c>
      <c r="H495" t="n">
        <v>196916850</v>
      </c>
      <c r="I495" t="n">
        <v>204586850</v>
      </c>
      <c r="J495" t="n">
        <v>14400000</v>
      </c>
      <c r="K495" t="n">
        <v>6670000</v>
      </c>
      <c r="M495">
        <f>I495-(H495+J495-K495)- L495</f>
        <v/>
      </c>
      <c r="N495">
        <f>IF(M495=0,"Cuadrado",IF(M495&gt;0,"Faltante","Sobrante"))</f>
        <v/>
      </c>
      <c r="O495" t="inlineStr">
        <is>
          <t>La diferencia es contabilizada por la Gerencia De Autoservicios y Efectivo de manera centralizada a la cuenta de sobrantes 279510020 el 06/03/2026</t>
        </is>
      </c>
      <c r="P495" t="n">
        <v>1112480917</v>
      </c>
    </row>
    <row r="496">
      <c r="A496" t="n">
        <v>371</v>
      </c>
      <c r="B496" t="n">
        <v>6718</v>
      </c>
      <c r="C496" t="inlineStr">
        <is>
          <t>BELLTECH</t>
        </is>
      </c>
      <c r="D496" t="inlineStr">
        <is>
          <t>BELLTECH</t>
        </is>
      </c>
      <c r="E496" s="3" t="n">
        <v>46087</v>
      </c>
      <c r="F496" s="3" t="n">
        <v>46086</v>
      </c>
      <c r="G496" t="inlineStr">
        <is>
          <t>09:36:00</t>
        </is>
      </c>
      <c r="H496" t="n">
        <v>222075650</v>
      </c>
      <c r="I496" t="n">
        <v>164874650</v>
      </c>
      <c r="J496" t="n">
        <v>6920000</v>
      </c>
      <c r="K496" t="n">
        <v>69476000</v>
      </c>
      <c r="L496" t="n">
        <v>5355000</v>
      </c>
      <c r="M496">
        <f>I496-(H496+J496-K496)- L496</f>
        <v/>
      </c>
      <c r="N496">
        <f>IF(M496=0,"Cuadrado",IF(M496&gt;0,"Faltante","Sobrante"))</f>
        <v/>
      </c>
      <c r="O496" t="inlineStr">
        <is>
          <t>El faltante $5.355.000 es cruzado con sobrante contabilizado el día 04/03/2026 el cual es reversado por la seccion el día 06/03/2026</t>
        </is>
      </c>
      <c r="P496" t="n">
        <v>39279278</v>
      </c>
    </row>
    <row r="497">
      <c r="A497" t="n">
        <v>888</v>
      </c>
      <c r="B497" t="n">
        <v>6818</v>
      </c>
      <c r="C497" t="inlineStr">
        <is>
          <t>BELLTECH</t>
        </is>
      </c>
      <c r="D497" t="inlineStr">
        <is>
          <t>BELLTECH</t>
        </is>
      </c>
      <c r="E497" s="3" t="n">
        <v>46087</v>
      </c>
      <c r="F497" s="3" t="n">
        <v>46086</v>
      </c>
      <c r="G497" t="inlineStr">
        <is>
          <t>14:28:00</t>
        </is>
      </c>
      <c r="H497" t="n">
        <v>518685200</v>
      </c>
      <c r="I497" t="n">
        <v>483375200</v>
      </c>
      <c r="J497" t="n">
        <v>19760000</v>
      </c>
      <c r="K497" t="n">
        <v>54300000</v>
      </c>
      <c r="M497">
        <f>I497-(H497+J497-K497)- L497</f>
        <v/>
      </c>
      <c r="N497">
        <f>IF(M497=0,"Cuadrado",IF(M497&gt;0,"Faltante","Sobrante"))</f>
        <v/>
      </c>
      <c r="O497" t="inlineStr">
        <is>
          <t>La diferencia es contabilizada por la Gerencia De Autoservicios y Efectivo de manera centralizada a la cuenta de sobrantes 279510020 el 06/03/2026</t>
        </is>
      </c>
      <c r="P497" t="n">
        <v>1085921765</v>
      </c>
    </row>
    <row r="498">
      <c r="A498" t="n">
        <v>741</v>
      </c>
      <c r="B498" t="n">
        <v>6843</v>
      </c>
      <c r="C498" t="inlineStr">
        <is>
          <t>DIEBOLD</t>
        </is>
      </c>
      <c r="D498" t="inlineStr">
        <is>
          <t>BELLTECH</t>
        </is>
      </c>
      <c r="E498" s="3" t="n">
        <v>46087</v>
      </c>
      <c r="F498" s="3" t="n">
        <v>46086</v>
      </c>
      <c r="G498" t="inlineStr">
        <is>
          <t>15:30:00</t>
        </is>
      </c>
      <c r="H498" t="n">
        <v>158973650</v>
      </c>
      <c r="I498" t="n">
        <v>202283500</v>
      </c>
      <c r="J498" t="n">
        <v>40000000</v>
      </c>
      <c r="K498" t="n">
        <v>35505000</v>
      </c>
      <c r="M498">
        <f>I498-(H498+J498-K498)- L498</f>
        <v/>
      </c>
      <c r="N498">
        <f>IF(M498=0,"Cuadrado",IF(M498&gt;0,"Faltante","Sobrante"))</f>
        <v/>
      </c>
      <c r="O498" t="inlineStr">
        <is>
          <t>REPITIERON ARQUEO</t>
        </is>
      </c>
      <c r="P498" t="n">
        <v>1130637714</v>
      </c>
    </row>
    <row r="499">
      <c r="A499" t="n">
        <v>651</v>
      </c>
      <c r="B499" t="n">
        <v>7318</v>
      </c>
      <c r="C499" t="inlineStr">
        <is>
          <t>DIEBOLD</t>
        </is>
      </c>
      <c r="D499" t="inlineStr">
        <is>
          <t>BELLTECH</t>
        </is>
      </c>
      <c r="E499" s="3" t="n">
        <v>46087</v>
      </c>
      <c r="F499" s="3" t="n">
        <v>46086</v>
      </c>
      <c r="G499" t="inlineStr">
        <is>
          <t>14:11:00</t>
        </is>
      </c>
      <c r="H499" t="n">
        <v>118567600</v>
      </c>
      <c r="I499" t="n">
        <v>126485600</v>
      </c>
      <c r="J499" t="n">
        <v>37270000</v>
      </c>
      <c r="K499" t="n">
        <v>27832000</v>
      </c>
      <c r="M499">
        <f>I499-(H499+J499-K499)- L499</f>
        <v/>
      </c>
      <c r="N499">
        <f>IF(M499=0,"Cuadrado",IF(M499&gt;0,"Faltante","Sobrante"))</f>
        <v/>
      </c>
      <c r="O499" t="inlineStr">
        <is>
          <t>La diferencia es contabilizada por la Gerencia De Autoservicios y Efectivo de manera centralizada a la cuenta de sobrantes 279510020 el 06/03/2026</t>
        </is>
      </c>
      <c r="P499" t="n">
        <v>70136398</v>
      </c>
    </row>
    <row r="500">
      <c r="A500" t="n">
        <v>41</v>
      </c>
      <c r="B500" t="n">
        <v>7341</v>
      </c>
      <c r="C500" t="inlineStr">
        <is>
          <t>DIEBOLD</t>
        </is>
      </c>
      <c r="D500" t="inlineStr">
        <is>
          <t>BELLTECH</t>
        </is>
      </c>
      <c r="E500" s="3" t="n">
        <v>46087</v>
      </c>
      <c r="F500" s="3" t="n">
        <v>46086</v>
      </c>
      <c r="G500" t="inlineStr">
        <is>
          <t>08:07:00</t>
        </is>
      </c>
      <c r="H500" t="n">
        <v>106740400</v>
      </c>
      <c r="I500" t="n">
        <v>302280350</v>
      </c>
      <c r="J500" t="n">
        <v>0</v>
      </c>
      <c r="K500" t="n">
        <v>0</v>
      </c>
      <c r="L500" t="n">
        <v>195910000</v>
      </c>
      <c r="M500">
        <f>I500-(H500+J500-K500)- L500</f>
        <v/>
      </c>
      <c r="N500">
        <f>IF(M500=0,"Cuadrado",IF(M500&gt;0,"Faltante","Sobrante"))</f>
        <v/>
      </c>
      <c r="O500" t="inlineStr">
        <is>
          <t>La diferencia es contabilizada por la Gerencia De Autoservicios y Efectivo de manera centralizada a la cuenta de sobrantes 279510020 el 06/03/2026</t>
        </is>
      </c>
      <c r="P500" t="n">
        <v>94508187</v>
      </c>
    </row>
    <row r="501">
      <c r="A501" t="n">
        <v>623</v>
      </c>
      <c r="B501" t="n">
        <v>7375</v>
      </c>
      <c r="C501" t="inlineStr">
        <is>
          <t>BELLTECH</t>
        </is>
      </c>
      <c r="D501" t="inlineStr">
        <is>
          <t>BELLTECH</t>
        </is>
      </c>
      <c r="E501" s="3" t="n">
        <v>46087</v>
      </c>
      <c r="F501" s="3" t="n">
        <v>46086</v>
      </c>
      <c r="G501" t="inlineStr">
        <is>
          <t>09:19:00</t>
        </is>
      </c>
      <c r="H501" t="n">
        <v>181099450</v>
      </c>
      <c r="I501" t="n">
        <v>180959850</v>
      </c>
      <c r="J501" t="n">
        <v>1310000</v>
      </c>
      <c r="K501" t="n">
        <v>1434000</v>
      </c>
      <c r="L501" t="n">
        <v>-15600</v>
      </c>
      <c r="M501">
        <f>I501-(H501+J501-K501)- L501</f>
        <v/>
      </c>
      <c r="N501">
        <f>IF(M501=0,"Cuadrado",IF(M501&gt;0,"Faltante","Sobrante"))</f>
        <v/>
      </c>
      <c r="O501" t="inlineStr">
        <is>
          <t>Cajero cuadrado, sin observación por parte de la sucursal</t>
        </is>
      </c>
      <c r="P501" t="n">
        <v>1012348871</v>
      </c>
    </row>
    <row r="502">
      <c r="A502" t="n">
        <v>944</v>
      </c>
      <c r="B502" t="n">
        <v>8354</v>
      </c>
      <c r="C502" t="inlineStr">
        <is>
          <t>BELLTECH</t>
        </is>
      </c>
      <c r="D502" t="inlineStr">
        <is>
          <t>BELLTECH</t>
        </is>
      </c>
      <c r="E502" s="3" t="n">
        <v>46087</v>
      </c>
      <c r="F502" s="3" t="n">
        <v>46086</v>
      </c>
      <c r="G502" t="inlineStr">
        <is>
          <t>11:48:00</t>
        </is>
      </c>
      <c r="H502" t="n">
        <v>17519050</v>
      </c>
      <c r="I502" t="n">
        <v>255044350</v>
      </c>
      <c r="J502" t="n">
        <v>20220000</v>
      </c>
      <c r="K502" t="n">
        <v>39022700</v>
      </c>
      <c r="L502" t="n">
        <v>256328000</v>
      </c>
      <c r="M502">
        <f>I502-(H502+J502-K502)- L502</f>
        <v/>
      </c>
      <c r="N502">
        <f>IF(M502=0,"Cuadrado",IF(M502&gt;0,"Faltante","Sobrante"))</f>
        <v/>
      </c>
      <c r="O502" t="inlineStr">
        <is>
          <t>El faltante $2.945.000 es cruzado con sobrante contabilizado el día 04/03/2026 el cual es reversado por la seccion el día 06/03/2026</t>
        </is>
      </c>
      <c r="P502" t="n">
        <v>79644034</v>
      </c>
    </row>
    <row r="503">
      <c r="A503" t="n">
        <v>495</v>
      </c>
      <c r="B503" t="n">
        <v>8482</v>
      </c>
      <c r="C503" t="inlineStr">
        <is>
          <t>BELLTECH</t>
        </is>
      </c>
      <c r="D503" t="inlineStr">
        <is>
          <t>DIEBOLD</t>
        </is>
      </c>
      <c r="E503" s="3" t="n">
        <v>46087</v>
      </c>
      <c r="F503" s="3" t="n">
        <v>46086</v>
      </c>
      <c r="G503" t="inlineStr">
        <is>
          <t>10:33:00</t>
        </is>
      </c>
      <c r="H503" t="n">
        <v>153231600</v>
      </c>
      <c r="I503" t="n">
        <v>155683600</v>
      </c>
      <c r="J503" t="n">
        <v>0</v>
      </c>
      <c r="K503" t="n">
        <v>0</v>
      </c>
      <c r="M503">
        <f>I503-(H503+J503-K503)- L503</f>
        <v/>
      </c>
      <c r="N503">
        <f>IF(M503=0,"Cuadrado",IF(M503&gt;0,"Faltante","Sobrante"))</f>
        <v/>
      </c>
      <c r="O503" t="inlineStr">
        <is>
          <t>REPITIERON ARQUEO</t>
        </is>
      </c>
      <c r="P503" t="n">
        <v>1052081923</v>
      </c>
    </row>
    <row r="504">
      <c r="A504" t="n">
        <v>728</v>
      </c>
      <c r="B504" t="n">
        <v>8586</v>
      </c>
      <c r="C504" t="inlineStr">
        <is>
          <t>BELLTECH</t>
        </is>
      </c>
      <c r="D504" t="inlineStr">
        <is>
          <t>BELLTECH</t>
        </is>
      </c>
      <c r="E504" s="3" t="n">
        <v>46087</v>
      </c>
      <c r="F504" s="3" t="n">
        <v>46086</v>
      </c>
      <c r="G504" t="inlineStr">
        <is>
          <t>08:21:00</t>
        </is>
      </c>
      <c r="H504" t="n">
        <v>197400800</v>
      </c>
      <c r="I504" t="n">
        <v>194709800</v>
      </c>
      <c r="J504" t="n">
        <v>6420000</v>
      </c>
      <c r="K504" t="n">
        <v>7000000</v>
      </c>
      <c r="M504">
        <f>I504-(H504+J504-K504)- L504</f>
        <v/>
      </c>
      <c r="N504">
        <f>IF(M504=0,"Cuadrado",IF(M504&gt;0,"Faltante","Sobrante"))</f>
        <v/>
      </c>
      <c r="O504" t="inlineStr">
        <is>
          <t>La diferencia es contabilizada por la Gerencia De Autoservicios y Efectivo de manera centralizada a la cuenta de sobrantes 279510020 el 06/03/2026</t>
        </is>
      </c>
      <c r="P504" t="n">
        <v>1112783690</v>
      </c>
    </row>
    <row r="505">
      <c r="A505" t="n">
        <v>728</v>
      </c>
      <c r="B505" t="n">
        <v>8587</v>
      </c>
      <c r="C505" t="inlineStr">
        <is>
          <t>BELLTECH</t>
        </is>
      </c>
      <c r="D505" t="inlineStr">
        <is>
          <t>BELLTECH</t>
        </is>
      </c>
      <c r="E505" s="3" t="n">
        <v>46087</v>
      </c>
      <c r="F505" s="3" t="n">
        <v>46086</v>
      </c>
      <c r="G505" t="inlineStr">
        <is>
          <t>07:58:00</t>
        </is>
      </c>
      <c r="H505" t="n">
        <v>152249850</v>
      </c>
      <c r="I505" t="n">
        <v>161403850</v>
      </c>
      <c r="J505" t="n">
        <v>9230000</v>
      </c>
      <c r="K505" t="n">
        <v>56000</v>
      </c>
      <c r="M505">
        <f>I505-(H505+J505-K505)- L505</f>
        <v/>
      </c>
      <c r="N505">
        <f>IF(M505=0,"Cuadrado",IF(M505&gt;0,"Faltante","Sobrante"))</f>
        <v/>
      </c>
      <c r="O505" t="inlineStr">
        <is>
          <t>La diferencia es contabilizada por la Gerencia De Autoservicios y Efectivo de manera centralizada a la cuenta de sobrantes 279510020 el 06/03/2026</t>
        </is>
      </c>
      <c r="P505" t="n">
        <v>1112783690</v>
      </c>
    </row>
    <row r="506">
      <c r="A506" t="n">
        <v>78</v>
      </c>
      <c r="B506" t="n">
        <v>8594</v>
      </c>
      <c r="C506" t="inlineStr">
        <is>
          <t>BELLTECH</t>
        </is>
      </c>
      <c r="D506" t="inlineStr">
        <is>
          <t>BELLTECH</t>
        </is>
      </c>
      <c r="E506" s="3" t="n">
        <v>46087</v>
      </c>
      <c r="F506" s="3" t="n">
        <v>46086</v>
      </c>
      <c r="G506" t="inlineStr">
        <is>
          <t>08:33:00</t>
        </is>
      </c>
      <c r="H506" t="n">
        <v>135632050</v>
      </c>
      <c r="I506" t="n">
        <v>147082050</v>
      </c>
      <c r="J506" t="n">
        <v>6040000</v>
      </c>
      <c r="K506" t="n">
        <v>0</v>
      </c>
      <c r="L506" t="n">
        <v>5410000</v>
      </c>
      <c r="M506">
        <f>I506-(H506+J506-K506)- L506</f>
        <v/>
      </c>
      <c r="N506">
        <f>IF(M506=0,"Cuadrado",IF(M506&gt;0,"Faltante","Sobrante"))</f>
        <v/>
      </c>
      <c r="O506" t="inlineStr">
        <is>
          <t>El faltante $5.410.000 es cruzado con sobrante contabilizado el día 04/03/2026 el cual es reversado por la seccion el día 06/03/2026</t>
        </is>
      </c>
      <c r="P506" t="n">
        <v>1098657131</v>
      </c>
    </row>
    <row r="507">
      <c r="A507" t="n">
        <v>60</v>
      </c>
      <c r="B507" t="n">
        <v>8727</v>
      </c>
      <c r="C507" t="inlineStr">
        <is>
          <t>BELLTECH</t>
        </is>
      </c>
      <c r="D507" t="inlineStr">
        <is>
          <t>BELLTECH</t>
        </is>
      </c>
      <c r="E507" s="3" t="n">
        <v>46087</v>
      </c>
      <c r="F507" s="3" t="n">
        <v>46086</v>
      </c>
      <c r="G507" t="inlineStr">
        <is>
          <t>09:55:00</t>
        </is>
      </c>
      <c r="H507" t="n">
        <v>195193800</v>
      </c>
      <c r="I507" t="n">
        <v>160851800</v>
      </c>
      <c r="J507" t="n">
        <v>5040000</v>
      </c>
      <c r="K507" t="n">
        <v>39240000</v>
      </c>
      <c r="M507">
        <f>I507-(H507+J507-K507)- L507</f>
        <v/>
      </c>
      <c r="N507">
        <f>IF(M507=0,"Cuadrado",IF(M507&gt;0,"Faltante","Sobrante"))</f>
        <v/>
      </c>
      <c r="O507" t="inlineStr">
        <is>
          <t>La diferencia es contabilizada por la Gerencia De Autoservicios y Efectivo de manera centralizada a la cuenta de sobrantes 279510020 el 06/03/2026</t>
        </is>
      </c>
      <c r="P507" t="n">
        <v>14697128</v>
      </c>
    </row>
    <row r="508">
      <c r="A508" t="n">
        <v>60</v>
      </c>
      <c r="B508" t="n">
        <v>8728</v>
      </c>
      <c r="C508" t="inlineStr">
        <is>
          <t>DIEBOLD</t>
        </is>
      </c>
      <c r="D508" t="inlineStr">
        <is>
          <t>BELLTECH</t>
        </is>
      </c>
      <c r="E508" s="3" t="n">
        <v>46087</v>
      </c>
      <c r="F508" s="3" t="n">
        <v>46086</v>
      </c>
      <c r="G508" t="inlineStr">
        <is>
          <t>10:16:00</t>
        </is>
      </c>
      <c r="H508" t="n">
        <v>104602550</v>
      </c>
      <c r="I508" t="n">
        <v>108312550</v>
      </c>
      <c r="J508" t="n">
        <v>4550000</v>
      </c>
      <c r="K508" t="n">
        <v>1032000</v>
      </c>
      <c r="M508">
        <f>I508-(H508+J508-K508)- L508</f>
        <v/>
      </c>
      <c r="N508">
        <f>IF(M508=0,"Cuadrado",IF(M508&gt;0,"Faltante","Sobrante"))</f>
        <v/>
      </c>
      <c r="O508" t="inlineStr">
        <is>
          <t>REPITIERON ARQUEO</t>
        </is>
      </c>
      <c r="P508" t="n">
        <v>14697128</v>
      </c>
    </row>
    <row r="509">
      <c r="A509" t="n">
        <v>60</v>
      </c>
      <c r="B509" t="n">
        <v>8729</v>
      </c>
      <c r="C509" t="inlineStr">
        <is>
          <t>BELLTECH</t>
        </is>
      </c>
      <c r="D509" t="inlineStr">
        <is>
          <t>BELLTECH</t>
        </is>
      </c>
      <c r="E509" s="3" t="n">
        <v>46087</v>
      </c>
      <c r="F509" s="3" t="n">
        <v>46086</v>
      </c>
      <c r="G509" t="inlineStr">
        <is>
          <t>10:41:00</t>
        </is>
      </c>
      <c r="H509" t="n">
        <v>118601550</v>
      </c>
      <c r="I509" t="n">
        <v>118662450</v>
      </c>
      <c r="J509" t="n">
        <v>7310000</v>
      </c>
      <c r="K509" t="n">
        <v>7299100</v>
      </c>
      <c r="L509" t="n">
        <v>-10000</v>
      </c>
      <c r="M509">
        <f>I509-(H509+J509-K509)- L509</f>
        <v/>
      </c>
      <c r="N509">
        <f>IF(M509=0,"Cuadrado",IF(M509&gt;0,"Faltante","Sobrante"))</f>
        <v/>
      </c>
      <c r="O509" t="inlineStr">
        <is>
          <t>REPITIERON ARQUEO</t>
        </is>
      </c>
      <c r="P509" t="n">
        <v>14697128</v>
      </c>
    </row>
    <row r="510">
      <c r="A510" t="n">
        <v>225</v>
      </c>
      <c r="B510" t="n">
        <v>8869</v>
      </c>
      <c r="C510" t="inlineStr">
        <is>
          <t>BELLTECH</t>
        </is>
      </c>
      <c r="D510" t="inlineStr">
        <is>
          <t>BELLTECH</t>
        </is>
      </c>
      <c r="E510" s="3" t="n">
        <v>46087</v>
      </c>
      <c r="F510" s="3" t="n">
        <v>46086</v>
      </c>
      <c r="G510" t="inlineStr">
        <is>
          <t>11:59:00</t>
        </is>
      </c>
      <c r="H510" t="n">
        <v>354412750</v>
      </c>
      <c r="I510" t="n">
        <v>368182750</v>
      </c>
      <c r="J510" t="n">
        <v>12460000</v>
      </c>
      <c r="K510" t="n">
        <v>0</v>
      </c>
      <c r="L510" t="n">
        <v>1310000</v>
      </c>
      <c r="M510">
        <f>I510-(H510+J510-K510)- L510</f>
        <v/>
      </c>
      <c r="N510">
        <f>IF(M510=0,"Cuadrado",IF(M510&gt;0,"Faltante","Sobrante"))</f>
        <v/>
      </c>
      <c r="O510" t="inlineStr">
        <is>
          <t>El faltante $1.310.000 es cruzado con sobrante contabilizado el día 04/03/2026 el cual es reversado por la seccion el día 06/03/2026</t>
        </is>
      </c>
      <c r="P510" t="n">
        <v>80212698</v>
      </c>
    </row>
    <row r="511">
      <c r="A511" t="n">
        <v>442</v>
      </c>
      <c r="B511" t="n">
        <v>8888</v>
      </c>
      <c r="C511" t="inlineStr">
        <is>
          <t>BELLTECH</t>
        </is>
      </c>
      <c r="D511" t="inlineStr">
        <is>
          <t>BELLTECH</t>
        </is>
      </c>
      <c r="E511" s="3" t="n">
        <v>46087</v>
      </c>
      <c r="F511" s="3" t="n">
        <v>46086</v>
      </c>
      <c r="G511" t="inlineStr">
        <is>
          <t>15:03:00</t>
        </is>
      </c>
      <c r="H511" t="n">
        <v>244102150</v>
      </c>
      <c r="I511" t="n">
        <v>121207800</v>
      </c>
      <c r="J511" t="n">
        <v>12080000</v>
      </c>
      <c r="K511" t="n">
        <v>133143000</v>
      </c>
      <c r="M511">
        <f>I511-(H511+J511-K511)- L511</f>
        <v/>
      </c>
      <c r="N511">
        <f>IF(M511=0,"Cuadrado",IF(M511&gt;0,"Faltante","Sobrante"))</f>
        <v/>
      </c>
      <c r="O511" t="inlineStr">
        <is>
          <t>La diferencia es contabilizada por la Gerencia De Autoservicios y Efectivo de manera centralizada a la cuenta de sobrantes 279510020 el 06/03/2026</t>
        </is>
      </c>
      <c r="P511" t="n">
        <v>1140853558</v>
      </c>
    </row>
    <row r="512">
      <c r="A512" t="n">
        <v>348</v>
      </c>
      <c r="B512" t="n">
        <v>9009</v>
      </c>
      <c r="C512" t="inlineStr">
        <is>
          <t>BELLTECH</t>
        </is>
      </c>
      <c r="D512" t="inlineStr">
        <is>
          <t>BELLTECH</t>
        </is>
      </c>
      <c r="E512" s="3" t="n">
        <v>46087</v>
      </c>
      <c r="F512" s="3" t="n">
        <v>46086</v>
      </c>
      <c r="G512" t="inlineStr">
        <is>
          <t>09:47:00</t>
        </is>
      </c>
      <c r="H512" t="n">
        <v>47362900</v>
      </c>
      <c r="I512" t="n">
        <v>311105900</v>
      </c>
      <c r="J512" t="n">
        <v>8700000</v>
      </c>
      <c r="K512" t="n">
        <v>54901000</v>
      </c>
      <c r="L512" t="n">
        <v>309944000</v>
      </c>
      <c r="M512">
        <f>I512-(H512+J512-K512)- L512</f>
        <v/>
      </c>
      <c r="N512">
        <f>IF(M512=0,"Cuadrado",IF(M512&gt;0,"Faltante","Sobrante"))</f>
        <v/>
      </c>
      <c r="O512" t="inlineStr">
        <is>
          <t>El faltante $2.374.000 es cruzado con sobrante contabilizado el día 04/03/2026 el cual es reversado por la seccion el día 06/03/2026</t>
        </is>
      </c>
      <c r="P512" t="n">
        <v>1123633014</v>
      </c>
    </row>
    <row r="513">
      <c r="A513" t="n">
        <v>367</v>
      </c>
      <c r="B513" t="n">
        <v>9580</v>
      </c>
      <c r="C513" t="inlineStr">
        <is>
          <t>BELLTECH</t>
        </is>
      </c>
      <c r="D513" t="inlineStr">
        <is>
          <t>BELLTECH</t>
        </is>
      </c>
      <c r="E513" s="3" t="n">
        <v>46087</v>
      </c>
      <c r="F513" s="3" t="n">
        <v>46086</v>
      </c>
      <c r="G513" t="inlineStr">
        <is>
          <t>11:12:00</t>
        </is>
      </c>
      <c r="H513" t="n">
        <v>61065800</v>
      </c>
      <c r="I513" t="n">
        <v>65582800</v>
      </c>
      <c r="J513" t="n">
        <v>22210000</v>
      </c>
      <c r="K513" t="n">
        <v>13800000</v>
      </c>
      <c r="M513">
        <f>I513-(H513+J513-K513)- L513</f>
        <v/>
      </c>
      <c r="N513">
        <f>IF(M513=0,"Cuadrado",IF(M513&gt;0,"Faltante","Sobrante"))</f>
        <v/>
      </c>
      <c r="O513" t="inlineStr">
        <is>
          <t>La diferencia es contabilizada por la Gerencia De Autoservicios y Efectivo de manera centralizada a la cuenta de sobrantes 279510020 el 06/03/2026</t>
        </is>
      </c>
      <c r="P513" t="n">
        <v>35264438</v>
      </c>
    </row>
    <row r="514">
      <c r="A514" t="n">
        <v>229</v>
      </c>
      <c r="B514" t="n">
        <v>9604</v>
      </c>
      <c r="C514" t="inlineStr">
        <is>
          <t>BELLTECH</t>
        </is>
      </c>
      <c r="D514" t="inlineStr">
        <is>
          <t>BELLTECH</t>
        </is>
      </c>
      <c r="E514" s="3" t="n">
        <v>46087</v>
      </c>
      <c r="F514" s="3" t="n">
        <v>46086</v>
      </c>
      <c r="G514" t="inlineStr">
        <is>
          <t>11:46:00</t>
        </is>
      </c>
      <c r="H514" t="n">
        <v>205966000</v>
      </c>
      <c r="I514" t="n">
        <v>195800100</v>
      </c>
      <c r="J514" t="n">
        <v>12880000</v>
      </c>
      <c r="K514" t="n">
        <v>22644950</v>
      </c>
      <c r="M514">
        <f>I514-(H514+J514-K514)- L514</f>
        <v/>
      </c>
      <c r="N514">
        <f>IF(M514=0,"Cuadrado",IF(M514&gt;0,"Faltante","Sobrante"))</f>
        <v/>
      </c>
      <c r="O514" t="inlineStr">
        <is>
          <t>La diferencia es contabilizada por la Gerencia De Autoservicios y Efectivo de manera centralizada a la cuenta de sobrantes 279510020 el 06/03/2026</t>
        </is>
      </c>
      <c r="P514" t="n">
        <v>79653318</v>
      </c>
    </row>
    <row r="515">
      <c r="A515" t="n">
        <v>623</v>
      </c>
      <c r="B515" t="n">
        <v>5047</v>
      </c>
      <c r="C515" t="inlineStr">
        <is>
          <t>BELLTECH</t>
        </is>
      </c>
      <c r="D515" t="inlineStr">
        <is>
          <t>BELLTECH</t>
        </is>
      </c>
      <c r="E515" s="3" t="n">
        <v>46087</v>
      </c>
      <c r="F515" s="3" t="n">
        <v>46086</v>
      </c>
      <c r="G515" t="inlineStr">
        <is>
          <t>09:45:00</t>
        </is>
      </c>
      <c r="H515" t="n">
        <v>203519800</v>
      </c>
      <c r="I515" t="n">
        <v>191719800</v>
      </c>
      <c r="J515" t="n">
        <v>900000</v>
      </c>
      <c r="K515" t="n">
        <v>12700000</v>
      </c>
      <c r="M515">
        <f>I515-(H515+J515-K515)- L515</f>
        <v/>
      </c>
      <c r="N515">
        <f>IF(M515=0,"Cuadrado",IF(M515&gt;0,"Faltante","Sobrante"))</f>
        <v/>
      </c>
      <c r="O515" t="inlineStr">
        <is>
          <t>Cajero cuadrado, sin observación por parte de la sucursal</t>
        </is>
      </c>
      <c r="P515" t="n">
        <v>1012348871</v>
      </c>
    </row>
    <row r="516">
      <c r="A516" t="n">
        <v>392</v>
      </c>
      <c r="B516" t="n">
        <v>5064</v>
      </c>
      <c r="C516" t="inlineStr">
        <is>
          <t>BELLTECH</t>
        </is>
      </c>
      <c r="D516" t="inlineStr">
        <is>
          <t>BELLTECH</t>
        </is>
      </c>
      <c r="E516" s="3" t="n">
        <v>46087</v>
      </c>
      <c r="F516" s="3" t="n">
        <v>46086</v>
      </c>
      <c r="G516" t="inlineStr">
        <is>
          <t>08:42:00</t>
        </is>
      </c>
      <c r="H516" t="n">
        <v>289959150</v>
      </c>
      <c r="I516" t="n">
        <v>297569150</v>
      </c>
      <c r="J516" t="n">
        <v>7610000</v>
      </c>
      <c r="K516" t="n">
        <v>0</v>
      </c>
      <c r="M516">
        <f>I516-(H516+J516-K516)- L516</f>
        <v/>
      </c>
      <c r="N516">
        <f>IF(M516=0,"Cuadrado",IF(M516&gt;0,"Faltante","Sobrante"))</f>
        <v/>
      </c>
      <c r="O516" t="inlineStr">
        <is>
          <t>Cajero cuadrado, sin observación por parte de la sucursal</t>
        </is>
      </c>
      <c r="P516" t="n">
        <v>1054547012</v>
      </c>
    </row>
    <row r="517">
      <c r="A517" t="n">
        <v>115</v>
      </c>
      <c r="B517" t="n">
        <v>5080</v>
      </c>
      <c r="C517" t="inlineStr">
        <is>
          <t>BELLTECH</t>
        </is>
      </c>
      <c r="D517" t="inlineStr">
        <is>
          <t>BELLTECH</t>
        </is>
      </c>
      <c r="E517" s="3" t="n">
        <v>46087</v>
      </c>
      <c r="F517" s="3" t="n">
        <v>46086</v>
      </c>
      <c r="G517" t="inlineStr">
        <is>
          <t>09:13:00</t>
        </is>
      </c>
      <c r="H517" t="n">
        <v>114724600</v>
      </c>
      <c r="I517" t="n">
        <v>104641600</v>
      </c>
      <c r="J517" t="n">
        <v>5250000</v>
      </c>
      <c r="K517" t="n">
        <v>15333000</v>
      </c>
      <c r="M517">
        <f>I517-(H517+J517-K517)- L517</f>
        <v/>
      </c>
      <c r="N517">
        <f>IF(M517=0,"Cuadrado",IF(M517&gt;0,"Faltante","Sobrante"))</f>
        <v/>
      </c>
      <c r="O517" t="inlineStr">
        <is>
          <t>Cajero cuadrado, sin observación por parte de la sucursal</t>
        </is>
      </c>
      <c r="P517" t="n">
        <v>42158306</v>
      </c>
    </row>
    <row r="518">
      <c r="A518" t="n">
        <v>571</v>
      </c>
      <c r="B518" t="n">
        <v>6150</v>
      </c>
      <c r="C518" t="inlineStr">
        <is>
          <t>BELLTECH</t>
        </is>
      </c>
      <c r="D518" t="inlineStr">
        <is>
          <t>BELLTECH</t>
        </is>
      </c>
      <c r="E518" s="3" t="n">
        <v>46087</v>
      </c>
      <c r="F518" s="3" t="n">
        <v>46086</v>
      </c>
      <c r="G518" t="inlineStr">
        <is>
          <t>10:18:00</t>
        </is>
      </c>
      <c r="H518" t="n">
        <v>242897600</v>
      </c>
      <c r="I518" t="n">
        <v>223325700</v>
      </c>
      <c r="J518" t="n">
        <v>4240000</v>
      </c>
      <c r="K518" t="n">
        <v>23811900</v>
      </c>
      <c r="M518">
        <f>I518-(H518+J518-K518)- L518</f>
        <v/>
      </c>
      <c r="N518">
        <f>IF(M518=0,"Cuadrado",IF(M518&gt;0,"Faltante","Sobrante"))</f>
        <v/>
      </c>
      <c r="O518" t="inlineStr">
        <is>
          <t>Cajero cuadrado, sin observación por parte de la sucursal</t>
        </is>
      </c>
      <c r="P518" t="n">
        <v>53159749</v>
      </c>
    </row>
    <row r="519">
      <c r="A519" t="n">
        <v>37</v>
      </c>
      <c r="B519" t="n">
        <v>6406</v>
      </c>
      <c r="C519" t="inlineStr">
        <is>
          <t>BELLTECH</t>
        </is>
      </c>
      <c r="D519" t="inlineStr">
        <is>
          <t>BELLTECH</t>
        </is>
      </c>
      <c r="E519" s="3" t="n">
        <v>46087</v>
      </c>
      <c r="F519" s="3" t="n">
        <v>46086</v>
      </c>
      <c r="G519" t="inlineStr">
        <is>
          <t>11:06:00</t>
        </is>
      </c>
      <c r="H519" t="n">
        <v>52402600</v>
      </c>
      <c r="I519" t="n">
        <v>72470600</v>
      </c>
      <c r="J519" t="n">
        <v>31540000</v>
      </c>
      <c r="K519" t="n">
        <v>11472000</v>
      </c>
      <c r="M519">
        <f>I519-(H519+J519-K519)- L519</f>
        <v/>
      </c>
      <c r="N519">
        <f>IF(M519=0,"Cuadrado",IF(M519&gt;0,"Faltante","Sobrante"))</f>
        <v/>
      </c>
      <c r="O519" t="inlineStr">
        <is>
          <t>Cajero cuadrado, sin observación por parte de la sucursal</t>
        </is>
      </c>
      <c r="P519" t="n">
        <v>1018444239</v>
      </c>
    </row>
    <row r="520">
      <c r="A520" t="n">
        <v>658</v>
      </c>
      <c r="B520" t="n">
        <v>7074</v>
      </c>
      <c r="C520" t="inlineStr">
        <is>
          <t>DIEBOLD</t>
        </is>
      </c>
      <c r="D520" t="inlineStr">
        <is>
          <t>DIEBOLD</t>
        </is>
      </c>
      <c r="E520" s="3" t="n">
        <v>46087</v>
      </c>
      <c r="F520" s="3" t="n">
        <v>46086</v>
      </c>
      <c r="G520" t="inlineStr">
        <is>
          <t>11:21:00</t>
        </is>
      </c>
      <c r="H520" t="n">
        <v>131652250</v>
      </c>
      <c r="I520" t="n">
        <v>133680750</v>
      </c>
      <c r="J520" t="n">
        <v>9600000</v>
      </c>
      <c r="K520" t="n">
        <v>7571500</v>
      </c>
      <c r="M520">
        <f>I520-(H520+J520-K520)- L520</f>
        <v/>
      </c>
      <c r="N520">
        <f>IF(M520=0,"Cuadrado",IF(M520&gt;0,"Faltante","Sobrante"))</f>
        <v/>
      </c>
      <c r="O520" t="inlineStr">
        <is>
          <t>Cajero cuadrado, sin observación por parte de la sucursal</t>
        </is>
      </c>
      <c r="P520" t="n">
        <v>53000424</v>
      </c>
    </row>
    <row r="521">
      <c r="A521" t="n">
        <v>233</v>
      </c>
      <c r="B521" t="n">
        <v>7212</v>
      </c>
      <c r="C521" t="inlineStr">
        <is>
          <t>BELLTECH</t>
        </is>
      </c>
      <c r="D521" t="inlineStr">
        <is>
          <t>BELLTECH</t>
        </is>
      </c>
      <c r="E521" s="3" t="n">
        <v>46087</v>
      </c>
      <c r="F521" s="3" t="n">
        <v>46086</v>
      </c>
      <c r="G521" t="inlineStr">
        <is>
          <t>12:22:00</t>
        </is>
      </c>
      <c r="H521" t="n">
        <v>118171400</v>
      </c>
      <c r="I521" t="n">
        <v>127957400</v>
      </c>
      <c r="J521" t="n">
        <v>23960000</v>
      </c>
      <c r="K521" t="n">
        <v>14174000</v>
      </c>
      <c r="M521">
        <f>I521-(H521+J521-K521)- L521</f>
        <v/>
      </c>
      <c r="N521">
        <f>IF(M521=0,"Cuadrado",IF(M521&gt;0,"Faltante","Sobrante"))</f>
        <v/>
      </c>
      <c r="O521" t="inlineStr">
        <is>
          <t>Cajero cuadrado, sin observación por parte de la sucursal</t>
        </is>
      </c>
      <c r="P521" t="n">
        <v>80271480</v>
      </c>
    </row>
    <row r="522">
      <c r="A522" t="n">
        <v>389</v>
      </c>
      <c r="B522" t="n">
        <v>7327</v>
      </c>
      <c r="C522" t="inlineStr">
        <is>
          <t>BELLTECH</t>
        </is>
      </c>
      <c r="D522" t="inlineStr">
        <is>
          <t>BELLTECH</t>
        </is>
      </c>
      <c r="E522" s="3" t="n">
        <v>46087</v>
      </c>
      <c r="F522" s="3" t="n">
        <v>46086</v>
      </c>
      <c r="G522" t="inlineStr">
        <is>
          <t>07:51:00</t>
        </is>
      </c>
      <c r="H522" t="n">
        <v>123987850</v>
      </c>
      <c r="I522" t="n">
        <v>124047850</v>
      </c>
      <c r="J522" t="n">
        <v>60000</v>
      </c>
      <c r="K522" t="n">
        <v>0</v>
      </c>
      <c r="M522">
        <f>I522-(H522+J522-K522)- L522</f>
        <v/>
      </c>
      <c r="N522">
        <f>IF(M522=0,"Cuadrado",IF(M522&gt;0,"Faltante","Sobrante"))</f>
        <v/>
      </c>
      <c r="O522" t="inlineStr">
        <is>
          <t>Cajero cuadrado, sin observación por parte de la sucursal</t>
        </is>
      </c>
      <c r="P522" t="n">
        <v>14319846</v>
      </c>
    </row>
    <row r="523">
      <c r="A523" t="n">
        <v>866</v>
      </c>
      <c r="B523" t="n">
        <v>8662</v>
      </c>
      <c r="C523" t="inlineStr">
        <is>
          <t>BELLTECH</t>
        </is>
      </c>
      <c r="D523" t="inlineStr">
        <is>
          <t>BELLTECH</t>
        </is>
      </c>
      <c r="E523" s="3" t="n">
        <v>46087</v>
      </c>
      <c r="F523" s="3" t="n">
        <v>46086</v>
      </c>
      <c r="G523" t="inlineStr">
        <is>
          <t>09:34:00</t>
        </is>
      </c>
      <c r="H523" t="n">
        <v>222373450</v>
      </c>
      <c r="I523" t="n">
        <v>250073450</v>
      </c>
      <c r="J523" t="n">
        <v>27700000</v>
      </c>
      <c r="K523" t="n">
        <v>0</v>
      </c>
      <c r="M523">
        <f>I523-(H523+J523-K523)- L523</f>
        <v/>
      </c>
      <c r="N523">
        <f>IF(M523=0,"Cuadrado",IF(M523&gt;0,"Faltante","Sobrante"))</f>
        <v/>
      </c>
      <c r="O523" t="inlineStr">
        <is>
          <t>Cajero cuadrado, sin observación por parte de la sucursal</t>
        </is>
      </c>
      <c r="P523" t="n">
        <v>1113674245</v>
      </c>
    </row>
    <row r="524">
      <c r="A524" t="n">
        <v>33</v>
      </c>
      <c r="B524" t="n">
        <v>8861</v>
      </c>
      <c r="C524" t="inlineStr">
        <is>
          <t>BELLTECH</t>
        </is>
      </c>
      <c r="D524" t="inlineStr">
        <is>
          <t>BELLTECH</t>
        </is>
      </c>
      <c r="E524" s="3" t="n">
        <v>46087</v>
      </c>
      <c r="F524" s="3" t="n">
        <v>46086</v>
      </c>
      <c r="G524" t="inlineStr">
        <is>
          <t>13:59:00</t>
        </is>
      </c>
      <c r="H524" t="n">
        <v>150039000</v>
      </c>
      <c r="I524" t="n">
        <v>178218000</v>
      </c>
      <c r="J524" t="n">
        <v>40400000</v>
      </c>
      <c r="K524" t="n">
        <v>12221000</v>
      </c>
      <c r="M524">
        <f>I524-(H524+J524-K524)- L524</f>
        <v/>
      </c>
      <c r="N524">
        <f>IF(M524=0,"Cuadrado",IF(M524&gt;0,"Faltante","Sobrante"))</f>
        <v/>
      </c>
      <c r="O524" t="inlineStr">
        <is>
          <t>Cajero cuadrado, sin observación por parte de la sucursal</t>
        </is>
      </c>
      <c r="P524" t="n">
        <v>79659379</v>
      </c>
    </row>
    <row r="525">
      <c r="A525" t="n">
        <v>33</v>
      </c>
      <c r="B525" t="n">
        <v>8861</v>
      </c>
      <c r="C525" t="inlineStr">
        <is>
          <t>BELLTECH</t>
        </is>
      </c>
      <c r="D525" t="inlineStr">
        <is>
          <t>BELLTECH</t>
        </is>
      </c>
      <c r="E525" s="3" t="n">
        <v>46086</v>
      </c>
      <c r="F525" s="3" t="n">
        <v>46085</v>
      </c>
      <c r="G525" t="inlineStr">
        <is>
          <t>09:26:00</t>
        </is>
      </c>
      <c r="H525" t="n">
        <v>150096000</v>
      </c>
      <c r="I525" t="n">
        <v>165586000</v>
      </c>
      <c r="J525" t="n">
        <v>15490000</v>
      </c>
      <c r="K525" t="n">
        <v>0</v>
      </c>
      <c r="M525">
        <f>I525-(H525+J525-K525)- L525</f>
        <v/>
      </c>
      <c r="N525">
        <f>IF(M525=0,"Cuadrado",IF(M525&gt;0,"Faltante","Sobrante"))</f>
        <v/>
      </c>
      <c r="O525" t="inlineStr">
        <is>
          <t>Cajero cuadrado, sin observación por parte de la sucursal</t>
        </is>
      </c>
      <c r="P525" t="n">
        <v>79659379</v>
      </c>
    </row>
    <row r="526">
      <c r="A526" t="n">
        <v>61</v>
      </c>
      <c r="B526" t="n">
        <v>788</v>
      </c>
      <c r="C526" t="inlineStr">
        <is>
          <t>BELLTECH</t>
        </is>
      </c>
      <c r="D526" t="inlineStr">
        <is>
          <t>BELLTECH</t>
        </is>
      </c>
      <c r="E526" s="3" t="n">
        <v>46086</v>
      </c>
      <c r="F526" s="3" t="n">
        <v>46085</v>
      </c>
      <c r="G526" t="inlineStr">
        <is>
          <t>09:23:00</t>
        </is>
      </c>
      <c r="H526" t="n">
        <v>386695450</v>
      </c>
      <c r="I526" t="n">
        <v>390715450</v>
      </c>
      <c r="J526" t="n">
        <v>6560000</v>
      </c>
      <c r="K526" t="n">
        <v>700000</v>
      </c>
      <c r="M526">
        <f>I526-(H526+J526-K526)- L526</f>
        <v/>
      </c>
      <c r="N526">
        <f>IF(M526=0,"Cuadrado",IF(M526&gt;0,"Faltante","Sobrante"))</f>
        <v/>
      </c>
      <c r="O526" t="inlineStr">
        <is>
          <t>La diferencia es contabilizada por la Gerencia De Autoservicios y Efectivo de manera centralizada a la cuenta de sobrantes 279510020 el 05/03/2026</t>
        </is>
      </c>
      <c r="P526" t="n">
        <v>1144070638</v>
      </c>
    </row>
    <row r="527">
      <c r="A527" t="n">
        <v>70</v>
      </c>
      <c r="B527" t="n">
        <v>5164</v>
      </c>
      <c r="C527" t="inlineStr">
        <is>
          <t>BELLTECH</t>
        </is>
      </c>
      <c r="D527" t="inlineStr">
        <is>
          <t>BELLTECH</t>
        </is>
      </c>
      <c r="E527" s="3" t="n">
        <v>46086</v>
      </c>
      <c r="F527" s="3" t="n">
        <v>46085</v>
      </c>
      <c r="G527" t="inlineStr">
        <is>
          <t>10:19:00</t>
        </is>
      </c>
      <c r="H527" t="n">
        <v>254910900</v>
      </c>
      <c r="I527" t="n">
        <v>236263200</v>
      </c>
      <c r="J527" t="n">
        <v>7010000</v>
      </c>
      <c r="K527" t="n">
        <v>17266000</v>
      </c>
      <c r="M527">
        <f>I527-(H527+J527-K527)- L527</f>
        <v/>
      </c>
      <c r="N527">
        <f>IF(M527=0,"Cuadrado",IF(M527&gt;0,"Faltante","Sobrante"))</f>
        <v/>
      </c>
      <c r="O527" t="inlineStr">
        <is>
          <t>La diferencia es contabilizada por la Gerencia De Autoservicios y Efectivo de manera centralizada a la cuenta de sobrantes 279510020 el 05/03/2026</t>
        </is>
      </c>
      <c r="P527" t="n">
        <v>30231139</v>
      </c>
    </row>
    <row r="528">
      <c r="A528" t="n">
        <v>73</v>
      </c>
      <c r="B528" t="n">
        <v>5108</v>
      </c>
      <c r="C528" t="inlineStr">
        <is>
          <t>BELLTECH</t>
        </is>
      </c>
      <c r="D528" t="inlineStr">
        <is>
          <t>BELLTECH</t>
        </is>
      </c>
      <c r="E528" s="3" t="n">
        <v>46086</v>
      </c>
      <c r="F528" s="3" t="n">
        <v>46085</v>
      </c>
      <c r="G528" t="inlineStr">
        <is>
          <t>09:28:33</t>
        </is>
      </c>
      <c r="H528" t="n">
        <v>161090900</v>
      </c>
      <c r="I528" t="n">
        <v>161415900</v>
      </c>
      <c r="J528" t="n">
        <v>1680000</v>
      </c>
      <c r="K528" t="n">
        <v>1324950</v>
      </c>
      <c r="L528" t="n">
        <v>-30000</v>
      </c>
      <c r="M528">
        <f>I528-(H528+J528-K528)- L528</f>
        <v/>
      </c>
      <c r="N528">
        <f>IF(M528=0,"Cuadrado",IF(M528&gt;0,"Faltante","Sobrante"))</f>
        <v/>
      </c>
      <c r="O528" t="inlineStr">
        <is>
          <t>La diferencia es contabilizada por la Gerencia De Autoservicios y Efectivo de manera centralizada a la cuenta de sobrantes 279510020 el 05/03/2026</t>
        </is>
      </c>
      <c r="P528" t="n">
        <v>42157515</v>
      </c>
    </row>
    <row r="529">
      <c r="A529" t="n">
        <v>74</v>
      </c>
      <c r="B529" t="n">
        <v>6215</v>
      </c>
      <c r="C529" t="inlineStr">
        <is>
          <t>DIEBOLD</t>
        </is>
      </c>
      <c r="D529" t="inlineStr">
        <is>
          <t>BELLTECH</t>
        </is>
      </c>
      <c r="E529" s="3" t="n">
        <v>46086</v>
      </c>
      <c r="F529" s="3" t="n">
        <v>46085</v>
      </c>
      <c r="G529" t="inlineStr">
        <is>
          <t>16:57:00</t>
        </is>
      </c>
      <c r="H529" t="n">
        <v>268116700</v>
      </c>
      <c r="I529" t="n">
        <v>128726700</v>
      </c>
      <c r="J529" t="n">
        <v>11480000</v>
      </c>
      <c r="K529" t="n">
        <v>145198000</v>
      </c>
      <c r="L529" t="n">
        <v>-1938000</v>
      </c>
      <c r="M529">
        <f>I529-(H529+J529-K529)- L529</f>
        <v/>
      </c>
      <c r="N529">
        <f>IF(M529=0,"Cuadrado",IF(M529&gt;0,"Faltante","Sobrante"))</f>
        <v/>
      </c>
      <c r="O529" t="inlineStr">
        <is>
          <t>La diferencia es contabilizada por la Gerencia De Autoservicios y Efectivo de manera centralizada a la cuenta de sobrantes 279510020 el 05/03/2026</t>
        </is>
      </c>
      <c r="P529" t="n">
        <v>59314706</v>
      </c>
    </row>
    <row r="530">
      <c r="A530" t="n">
        <v>85</v>
      </c>
      <c r="B530" t="n">
        <v>8974</v>
      </c>
      <c r="C530" t="inlineStr">
        <is>
          <t>BELLTECH</t>
        </is>
      </c>
      <c r="D530" t="inlineStr">
        <is>
          <t>BELLTECH</t>
        </is>
      </c>
      <c r="E530" s="3" t="n">
        <v>46086</v>
      </c>
      <c r="F530" s="3" t="n">
        <v>46085</v>
      </c>
      <c r="G530" t="inlineStr">
        <is>
          <t>14:59:00</t>
        </is>
      </c>
      <c r="H530" t="n">
        <v>197096700</v>
      </c>
      <c r="I530" t="n">
        <v>81733000</v>
      </c>
      <c r="J530" t="n">
        <v>14640000</v>
      </c>
      <c r="K530" t="n">
        <v>130025800</v>
      </c>
      <c r="M530">
        <f>I530-(H530+J530-K530)- L530</f>
        <v/>
      </c>
      <c r="N530">
        <f>IF(M530=0,"Cuadrado",IF(M530&gt;0,"Faltante","Sobrante"))</f>
        <v/>
      </c>
      <c r="O530" t="inlineStr">
        <is>
          <t>REPITIERON ARQUEO</t>
        </is>
      </c>
      <c r="P530" t="n">
        <v>1047413788</v>
      </c>
    </row>
    <row r="531">
      <c r="A531" t="n">
        <v>91</v>
      </c>
      <c r="B531" t="n">
        <v>5148</v>
      </c>
      <c r="C531" t="inlineStr">
        <is>
          <t>BELLTECH</t>
        </is>
      </c>
      <c r="D531" t="inlineStr">
        <is>
          <t>BELLTECH</t>
        </is>
      </c>
      <c r="E531" s="3" t="n">
        <v>46086</v>
      </c>
      <c r="F531" s="3" t="n">
        <v>46085</v>
      </c>
      <c r="G531" t="inlineStr">
        <is>
          <t>11:34:00</t>
        </is>
      </c>
      <c r="H531" t="n">
        <v>254880550</v>
      </c>
      <c r="I531" t="n">
        <v>221930400</v>
      </c>
      <c r="J531" t="n">
        <v>4180000</v>
      </c>
      <c r="K531" t="n">
        <v>26257000</v>
      </c>
      <c r="M531">
        <f>I531-(H531+J531-K531)- L531</f>
        <v/>
      </c>
      <c r="N531">
        <f>IF(M531=0,"Cuadrado",IF(M531&gt;0,"Faltante","Sobrante"))</f>
        <v/>
      </c>
      <c r="O531" t="inlineStr">
        <is>
          <t>REPITIERON ARQUEO</t>
        </is>
      </c>
      <c r="P531" t="n">
        <v>1067844638</v>
      </c>
    </row>
    <row r="532">
      <c r="A532" t="n">
        <v>108</v>
      </c>
      <c r="B532" t="n">
        <v>2254</v>
      </c>
      <c r="C532" t="inlineStr">
        <is>
          <t>DIEBOLD</t>
        </is>
      </c>
      <c r="D532" t="inlineStr">
        <is>
          <t>BELLTECH</t>
        </is>
      </c>
      <c r="E532" s="3" t="n">
        <v>46086</v>
      </c>
      <c r="F532" s="3" t="n">
        <v>46085</v>
      </c>
      <c r="G532" t="inlineStr">
        <is>
          <t>09:14:30</t>
        </is>
      </c>
      <c r="H532" t="n">
        <v>179018600</v>
      </c>
      <c r="I532" t="n">
        <v>176742800</v>
      </c>
      <c r="J532" t="n">
        <v>1530000</v>
      </c>
      <c r="K532" t="n">
        <v>2120000</v>
      </c>
      <c r="M532">
        <f>I532-(H532+J532-K532)- L532</f>
        <v/>
      </c>
      <c r="N532">
        <f>IF(M532=0,"Cuadrado",IF(M532&gt;0,"Faltante","Sobrante"))</f>
        <v/>
      </c>
      <c r="O532" t="inlineStr">
        <is>
          <t>La diferencia es contabilizada por la Gerencia De Autoservicios y Efectivo de manera centralizada a la cuenta de sobrantes 279510020 el 05/03/2026</t>
        </is>
      </c>
      <c r="P532" t="n">
        <v>80206469</v>
      </c>
    </row>
    <row r="533">
      <c r="A533" t="n">
        <v>167</v>
      </c>
      <c r="B533" t="n">
        <v>5030</v>
      </c>
      <c r="C533" t="inlineStr">
        <is>
          <t>BELLTECH</t>
        </is>
      </c>
      <c r="D533" t="inlineStr">
        <is>
          <t>BELLTECH</t>
        </is>
      </c>
      <c r="E533" s="3" t="n">
        <v>46086</v>
      </c>
      <c r="F533" s="3" t="n">
        <v>46085</v>
      </c>
      <c r="G533" t="inlineStr">
        <is>
          <t>08:05:00</t>
        </is>
      </c>
      <c r="H533" t="n">
        <v>355239350</v>
      </c>
      <c r="I533" t="n">
        <v>354189150</v>
      </c>
      <c r="J533" t="n">
        <v>110000</v>
      </c>
      <c r="K533" t="n">
        <v>525000</v>
      </c>
      <c r="M533">
        <f>I533-(H533+J533-K533)- L533</f>
        <v/>
      </c>
      <c r="N533">
        <f>IF(M533=0,"Cuadrado",IF(M533&gt;0,"Faltante","Sobrante"))</f>
        <v/>
      </c>
      <c r="O533" t="inlineStr">
        <is>
          <t>La diferencia es contabilizada por la Gerencia De Autoservicios y Efectivo de manera centralizada a la cuenta de sobrantes 279510020 el 05/03/2026</t>
        </is>
      </c>
      <c r="P533" t="n">
        <v>80076538</v>
      </c>
    </row>
    <row r="534">
      <c r="A534" t="n">
        <v>197</v>
      </c>
      <c r="B534" t="n">
        <v>5084</v>
      </c>
      <c r="C534" t="inlineStr">
        <is>
          <t>BELLTECH</t>
        </is>
      </c>
      <c r="D534" t="inlineStr">
        <is>
          <t>BELLTECH</t>
        </is>
      </c>
      <c r="E534" s="3" t="n">
        <v>46086</v>
      </c>
      <c r="F534" s="3" t="n">
        <v>46084</v>
      </c>
      <c r="G534" t="inlineStr">
        <is>
          <t>08:13:00</t>
        </is>
      </c>
      <c r="H534" t="n">
        <v>547184600</v>
      </c>
      <c r="I534" t="n">
        <v>547479600</v>
      </c>
      <c r="J534" t="n">
        <v>0</v>
      </c>
      <c r="K534" t="n">
        <v>0</v>
      </c>
      <c r="M534">
        <f>I534-(H534+J534-K534)- L534</f>
        <v/>
      </c>
      <c r="N534">
        <f>IF(M534=0,"Cuadrado",IF(M534&gt;0,"Faltante","Sobrante"))</f>
        <v/>
      </c>
      <c r="O534" t="inlineStr">
        <is>
          <t>REPITIERON ARQUEO</t>
        </is>
      </c>
      <c r="P534" t="n">
        <v>1065607404</v>
      </c>
    </row>
    <row r="535">
      <c r="A535" t="n">
        <v>261</v>
      </c>
      <c r="B535" t="n">
        <v>5048</v>
      </c>
      <c r="C535" t="inlineStr">
        <is>
          <t>BELLTECH</t>
        </is>
      </c>
      <c r="D535" t="inlineStr">
        <is>
          <t>BELLTECH</t>
        </is>
      </c>
      <c r="E535" s="3" t="n">
        <v>46086</v>
      </c>
      <c r="F535" s="3" t="n">
        <v>46085</v>
      </c>
      <c r="G535" t="inlineStr">
        <is>
          <t>15:52:00</t>
        </is>
      </c>
      <c r="H535" t="n">
        <v>424951150</v>
      </c>
      <c r="I535" t="n">
        <v>193329350</v>
      </c>
      <c r="J535" t="n">
        <v>15540000</v>
      </c>
      <c r="K535" t="n">
        <v>233166250</v>
      </c>
      <c r="M535">
        <f>I535-(H535+J535-K535)- L535</f>
        <v/>
      </c>
      <c r="N535">
        <f>IF(M535=0,"Cuadrado",IF(M535&gt;0,"Faltante","Sobrante"))</f>
        <v/>
      </c>
      <c r="O535" t="inlineStr">
        <is>
          <t>La diferencia es contabilizada por la Gerencia De Autoservicios y Efectivo de manera centralizada a la cuenta de sobrantes 279510020 el 05/03/2026</t>
        </is>
      </c>
      <c r="P535" t="n">
        <v>34327627</v>
      </c>
    </row>
    <row r="536">
      <c r="A536" t="n">
        <v>279</v>
      </c>
      <c r="B536" t="n">
        <v>5147</v>
      </c>
      <c r="C536" t="inlineStr">
        <is>
          <t>BELLTECH</t>
        </is>
      </c>
      <c r="D536" t="inlineStr">
        <is>
          <t>BELLTECH</t>
        </is>
      </c>
      <c r="E536" s="3" t="n">
        <v>46086</v>
      </c>
      <c r="F536" s="3" t="n">
        <v>46084</v>
      </c>
      <c r="G536" t="inlineStr">
        <is>
          <t>17:18:00</t>
        </is>
      </c>
      <c r="H536" t="n">
        <v>144642850</v>
      </c>
      <c r="I536" t="n">
        <v>108730700</v>
      </c>
      <c r="J536" t="n">
        <v>32610000</v>
      </c>
      <c r="K536" t="n">
        <v>68305150</v>
      </c>
      <c r="M536">
        <f>I536-(H536+J536-K536)- L536</f>
        <v/>
      </c>
      <c r="N536">
        <f>IF(M536=0,"Cuadrado",IF(M536&gt;0,"Faltante","Sobrante"))</f>
        <v/>
      </c>
      <c r="O536" t="inlineStr">
        <is>
          <t>La diferencia es contabilizada por la Gerencia De Autoservicios y Efectivo de manera centralizada a la cuenta de sobrantes 279510020 el 05/03/2026</t>
        </is>
      </c>
      <c r="P536" t="n">
        <v>42826913</v>
      </c>
    </row>
    <row r="537">
      <c r="A537" t="n">
        <v>291</v>
      </c>
      <c r="B537" t="n">
        <v>5114</v>
      </c>
      <c r="C537" t="inlineStr">
        <is>
          <t>BELLTECH</t>
        </is>
      </c>
      <c r="D537" t="inlineStr">
        <is>
          <t>BELLTECH</t>
        </is>
      </c>
      <c r="E537" s="3" t="n">
        <v>46086</v>
      </c>
      <c r="F537" s="3" t="n">
        <v>46085</v>
      </c>
      <c r="G537" t="inlineStr">
        <is>
          <t>09:15:00</t>
        </is>
      </c>
      <c r="H537" t="n">
        <v>269360100</v>
      </c>
      <c r="I537" t="n">
        <v>267510800</v>
      </c>
      <c r="J537" t="n">
        <v>3700000</v>
      </c>
      <c r="K537" t="n">
        <v>3989300</v>
      </c>
      <c r="M537">
        <f>I537-(H537+J537-K537)- L537</f>
        <v/>
      </c>
      <c r="N537">
        <f>IF(M537=0,"Cuadrado",IF(M537&gt;0,"Faltante","Sobrante"))</f>
        <v/>
      </c>
      <c r="O537" t="inlineStr">
        <is>
          <t>La diferencia es contabilizada por la Gerencia De Autoservicios y Efectivo de manera centralizada a la cuenta de sobrantes 279510020 el 05/03/2026</t>
        </is>
      </c>
      <c r="P537" t="n">
        <v>1095930956</v>
      </c>
    </row>
    <row r="538">
      <c r="A538" t="n">
        <v>322</v>
      </c>
      <c r="B538" t="n">
        <v>2444</v>
      </c>
      <c r="C538" t="inlineStr">
        <is>
          <t>BELLTECH</t>
        </is>
      </c>
      <c r="D538" t="inlineStr">
        <is>
          <t>BELLTECH</t>
        </is>
      </c>
      <c r="E538" s="3" t="n">
        <v>46086</v>
      </c>
      <c r="F538" s="3" t="n">
        <v>46085</v>
      </c>
      <c r="G538" t="inlineStr">
        <is>
          <t>09:05:00</t>
        </is>
      </c>
      <c r="H538" t="n">
        <v>83943900</v>
      </c>
      <c r="I538" t="n">
        <v>96291900</v>
      </c>
      <c r="J538" t="n">
        <v>10900000</v>
      </c>
      <c r="K538" t="n">
        <v>15552000</v>
      </c>
      <c r="M538">
        <f>I538-(H538+J538-K538)- L538</f>
        <v/>
      </c>
      <c r="N538">
        <f>IF(M538=0,"Cuadrado",IF(M538&gt;0,"Faltante","Sobrante"))</f>
        <v/>
      </c>
      <c r="O538" t="inlineStr">
        <is>
          <t>La diferencia es contabilizada por la Gerencia De Autoservicios y Efectivo de manera centralizada a la cuenta de faltantes 168710093 el 05/03/2026, esta diferencia ingresa a proceso de investigación en el área para identificar a que corresponde.</t>
        </is>
      </c>
      <c r="P538" t="n">
        <v>1101320155</v>
      </c>
    </row>
    <row r="539">
      <c r="A539" t="n">
        <v>332</v>
      </c>
      <c r="B539" t="n">
        <v>7569</v>
      </c>
      <c r="C539" t="inlineStr">
        <is>
          <t>BELLTECH</t>
        </is>
      </c>
      <c r="D539" t="inlineStr">
        <is>
          <t>DIEBOLD</t>
        </is>
      </c>
      <c r="E539" s="3" t="n">
        <v>46086</v>
      </c>
      <c r="F539" s="3" t="n">
        <v>46085</v>
      </c>
      <c r="G539" t="inlineStr">
        <is>
          <t>14:37:00</t>
        </is>
      </c>
      <c r="H539" t="n">
        <v>132013300</v>
      </c>
      <c r="I539" t="n">
        <v>189455350</v>
      </c>
      <c r="J539" t="n">
        <v>26080000</v>
      </c>
      <c r="K539" t="n">
        <v>66447950</v>
      </c>
      <c r="M539">
        <f>I539-(H539+J539-K539)- L539</f>
        <v/>
      </c>
      <c r="N539">
        <f>IF(M539=0,"Cuadrado",IF(M539&gt;0,"Faltante","Sobrante"))</f>
        <v/>
      </c>
      <c r="O539" t="inlineStr">
        <is>
          <t>La diferencia es contabilizada por la Gerencia De Autoservicios y Efectivo de manera centralizada a la cuenta de faltantes 168710093 el 05/03/2026, esta diferencia ingresa a proceso de investigación en el área para identificar a que corresponde.</t>
        </is>
      </c>
      <c r="P539" t="n">
        <v>80541675</v>
      </c>
    </row>
    <row r="540">
      <c r="A540" t="n">
        <v>395</v>
      </c>
      <c r="B540" t="n">
        <v>1528</v>
      </c>
      <c r="C540" t="inlineStr">
        <is>
          <t>BELLTECH</t>
        </is>
      </c>
      <c r="D540" t="inlineStr">
        <is>
          <t>BELLTECH</t>
        </is>
      </c>
      <c r="E540" s="3" t="n">
        <v>46086</v>
      </c>
      <c r="F540" s="3" t="n">
        <v>46085</v>
      </c>
      <c r="G540" t="inlineStr">
        <is>
          <t>09:47:00</t>
        </is>
      </c>
      <c r="H540" t="n">
        <v>337842050</v>
      </c>
      <c r="I540" t="n">
        <v>292232750</v>
      </c>
      <c r="J540" t="n">
        <v>2390000</v>
      </c>
      <c r="K540" t="n">
        <v>20940000</v>
      </c>
      <c r="M540">
        <f>I540-(H540+J540-K540)- L540</f>
        <v/>
      </c>
      <c r="N540">
        <f>IF(M540=0,"Cuadrado",IF(M540&gt;0,"Faltante","Sobrante"))</f>
        <v/>
      </c>
      <c r="O540" t="inlineStr">
        <is>
          <t>REPITIERON ARQUEO</t>
        </is>
      </c>
      <c r="P540" t="n">
        <v>1121857901</v>
      </c>
    </row>
    <row r="541">
      <c r="A541" t="n">
        <v>395</v>
      </c>
      <c r="B541" t="n">
        <v>1529</v>
      </c>
      <c r="C541" t="inlineStr">
        <is>
          <t>BELLTECH</t>
        </is>
      </c>
      <c r="D541" t="inlineStr">
        <is>
          <t>BELLTECH</t>
        </is>
      </c>
      <c r="E541" s="3" t="n">
        <v>46086</v>
      </c>
      <c r="F541" s="3" t="n">
        <v>46085</v>
      </c>
      <c r="G541" t="inlineStr">
        <is>
          <t>10:22:00</t>
        </is>
      </c>
      <c r="H541" t="n">
        <v>238215450</v>
      </c>
      <c r="I541" t="n">
        <v>231770450</v>
      </c>
      <c r="J541" t="n">
        <v>11880000</v>
      </c>
      <c r="K541" t="n">
        <v>21925000</v>
      </c>
      <c r="L541" t="n">
        <v>3600000</v>
      </c>
      <c r="M541">
        <f>I541-(H541+J541-K541)- L541</f>
        <v/>
      </c>
      <c r="N541">
        <f>IF(M541=0,"Cuadrado",IF(M541&gt;0,"Faltante","Sobrante"))</f>
        <v/>
      </c>
      <c r="O541" t="inlineStr">
        <is>
          <t>El faltante  de $3.600.000 es cruzado con sobrante contabilizado el día 03/03/2026 el cual es reversado por la seccion el día 05/03/2026</t>
        </is>
      </c>
      <c r="P541" t="n">
        <v>1121857901</v>
      </c>
    </row>
    <row r="542">
      <c r="A542" t="n">
        <v>451</v>
      </c>
      <c r="B542" t="n">
        <v>9434</v>
      </c>
      <c r="C542" t="inlineStr">
        <is>
          <t>BELLTECH</t>
        </is>
      </c>
      <c r="D542" t="inlineStr">
        <is>
          <t>BELLTECH</t>
        </is>
      </c>
      <c r="E542" s="3" t="n">
        <v>46086</v>
      </c>
      <c r="F542" s="3" t="n">
        <v>46084</v>
      </c>
      <c r="G542" t="inlineStr">
        <is>
          <t>16:36:00</t>
        </is>
      </c>
      <c r="H542" t="n">
        <v>140519800</v>
      </c>
      <c r="I542" t="n">
        <v>-274620200</v>
      </c>
      <c r="J542" t="n">
        <v>67360000</v>
      </c>
      <c r="K542" t="n">
        <v>27500000</v>
      </c>
      <c r="L542" t="n">
        <v>-142757000</v>
      </c>
      <c r="M542">
        <f>I542-(H542+J542-K542)- L542</f>
        <v/>
      </c>
      <c r="N542">
        <f>IF(M542=0,"Cuadrado",IF(M542&gt;0,"Faltante","Sobrante"))</f>
        <v/>
      </c>
      <c r="O542" t="inlineStr">
        <is>
          <t>REPITIERON ARQUEO</t>
        </is>
      </c>
      <c r="P542" t="n">
        <v>1123206969</v>
      </c>
    </row>
    <row r="543">
      <c r="A543" t="n">
        <v>453</v>
      </c>
      <c r="B543" t="n">
        <v>8019</v>
      </c>
      <c r="C543" t="inlineStr">
        <is>
          <t>BELLTECH</t>
        </is>
      </c>
      <c r="D543" t="inlineStr">
        <is>
          <t>BELLTECH</t>
        </is>
      </c>
      <c r="E543" s="3" t="n">
        <v>46086</v>
      </c>
      <c r="F543" s="3" t="n">
        <v>46085</v>
      </c>
      <c r="G543" t="inlineStr">
        <is>
          <t>08:08:00</t>
        </is>
      </c>
      <c r="H543" t="n">
        <v>335517100</v>
      </c>
      <c r="I543" t="n">
        <v>327457100</v>
      </c>
      <c r="J543" t="n">
        <v>0</v>
      </c>
      <c r="K543" t="n">
        <v>0</v>
      </c>
      <c r="L543" t="n">
        <v>-2610000</v>
      </c>
      <c r="M543">
        <f>I543-(H543+J543-K543)- L543</f>
        <v/>
      </c>
      <c r="N543">
        <f>IF(M543=0,"Cuadrado",IF(M543&gt;0,"Faltante","Sobrante"))</f>
        <v/>
      </c>
      <c r="O543" t="inlineStr">
        <is>
          <t>La diferencia es contabilizada por la Gerencia De Autoservicios y Efectivo de manera centralizada a la cuenta de sobrantes 279510020 el 05/03/2026</t>
        </is>
      </c>
      <c r="P543" t="n">
        <v>1083897578</v>
      </c>
    </row>
    <row r="544">
      <c r="A544" t="n">
        <v>499</v>
      </c>
      <c r="B544" t="n">
        <v>9811</v>
      </c>
      <c r="C544" t="inlineStr">
        <is>
          <t>BELLTECH</t>
        </is>
      </c>
      <c r="D544" t="inlineStr">
        <is>
          <t>BELLTECH</t>
        </is>
      </c>
      <c r="E544" s="3" t="n">
        <v>46086</v>
      </c>
      <c r="F544" s="3" t="n">
        <v>46084</v>
      </c>
      <c r="G544" t="inlineStr">
        <is>
          <t>16:02:00</t>
        </is>
      </c>
      <c r="H544" t="n">
        <v>145895100</v>
      </c>
      <c r="I544" t="n">
        <v>552062600</v>
      </c>
      <c r="J544" t="n">
        <v>24230000</v>
      </c>
      <c r="K544" t="n">
        <v>146733500</v>
      </c>
      <c r="L544" t="n">
        <v>221143000</v>
      </c>
      <c r="M544">
        <f>I544-(H544+J544-K544)- L544</f>
        <v/>
      </c>
      <c r="N544">
        <f>IF(M544=0,"Cuadrado",IF(M544&gt;0,"Faltante","Sobrante"))</f>
        <v/>
      </c>
      <c r="O544" t="inlineStr">
        <is>
          <t>ACLARAR DIFERENCIA Y REPETIR EL ARQUEO ( SE ESCRIBE A LA SUC - SE ENCONTRO REMANENTE GRABADO EN LA CUENTA DE CAJA)</t>
        </is>
      </c>
      <c r="P544" t="n">
        <v>71337474</v>
      </c>
    </row>
    <row r="545">
      <c r="A545" t="n">
        <v>516</v>
      </c>
      <c r="B545" t="n">
        <v>9729</v>
      </c>
      <c r="C545" t="inlineStr">
        <is>
          <t>BELLTECH</t>
        </is>
      </c>
      <c r="D545" t="inlineStr">
        <is>
          <t>BELLTECH</t>
        </is>
      </c>
      <c r="E545" s="3" t="n">
        <v>46086</v>
      </c>
      <c r="F545" s="3" t="n">
        <v>46085</v>
      </c>
      <c r="G545" t="inlineStr">
        <is>
          <t>10:28:00</t>
        </is>
      </c>
      <c r="H545" t="n">
        <v>178070650</v>
      </c>
      <c r="I545" t="n">
        <v>168006650</v>
      </c>
      <c r="J545" t="n">
        <v>7300000</v>
      </c>
      <c r="K545" t="n">
        <v>12364000</v>
      </c>
      <c r="M545">
        <f>I545-(H545+J545-K545)- L545</f>
        <v/>
      </c>
      <c r="N545">
        <f>IF(M545=0,"Cuadrado",IF(M545&gt;0,"Faltante","Sobrante"))</f>
        <v/>
      </c>
      <c r="O545" t="inlineStr">
        <is>
          <t>La diferencia es contabilizada por la Gerencia De Autoservicios y Efectivo de manera centralizada a la cuenta de sobrantes 279510020 el 05/03/2026</t>
        </is>
      </c>
      <c r="P545" t="n">
        <v>57292451</v>
      </c>
    </row>
    <row r="546">
      <c r="A546" t="n">
        <v>523</v>
      </c>
      <c r="B546" t="n">
        <v>5082</v>
      </c>
      <c r="C546" t="inlineStr">
        <is>
          <t>BELLTECH</t>
        </is>
      </c>
      <c r="D546" t="inlineStr">
        <is>
          <t>BELLTECH</t>
        </is>
      </c>
      <c r="E546" s="3" t="n">
        <v>46086</v>
      </c>
      <c r="F546" s="3" t="n">
        <v>46085</v>
      </c>
      <c r="G546" t="inlineStr">
        <is>
          <t>00:00:00</t>
        </is>
      </c>
      <c r="H546" t="n">
        <v>45435650</v>
      </c>
      <c r="I546" t="n">
        <v>426664400</v>
      </c>
      <c r="J546" t="n">
        <v>0</v>
      </c>
      <c r="K546" t="n">
        <v>0</v>
      </c>
      <c r="M546">
        <f>I546-(H546+J546-K546)- L546</f>
        <v/>
      </c>
      <c r="N546">
        <f>IF(M546=0,"Cuadrado",IF(M546&gt;0,"Faltante","Sobrante"))</f>
        <v/>
      </c>
      <c r="O546" t="inlineStr">
        <is>
          <t>REPITIERON ARQUEO</t>
        </is>
      </c>
      <c r="P546" t="n">
        <v>39491642</v>
      </c>
    </row>
    <row r="547">
      <c r="A547" t="n">
        <v>536</v>
      </c>
      <c r="B547" t="n">
        <v>8988</v>
      </c>
      <c r="C547" t="inlineStr">
        <is>
          <t>DIEBOLD</t>
        </is>
      </c>
      <c r="D547" t="inlineStr">
        <is>
          <t>BELLTECH</t>
        </is>
      </c>
      <c r="E547" s="3" t="n">
        <v>46086</v>
      </c>
      <c r="F547" s="3" t="n">
        <v>46085</v>
      </c>
      <c r="G547" t="inlineStr">
        <is>
          <t>17:31:00</t>
        </is>
      </c>
      <c r="H547" t="n">
        <v>101561150</v>
      </c>
      <c r="I547" t="n">
        <v>308446400</v>
      </c>
      <c r="J547" t="n">
        <v>65600000</v>
      </c>
      <c r="K547" t="n">
        <v>144462150</v>
      </c>
      <c r="L547" t="n">
        <v>295000000</v>
      </c>
      <c r="M547">
        <f>I547-(H547+J547-K547)- L547</f>
        <v/>
      </c>
      <c r="N547">
        <f>IF(M547=0,"Cuadrado",IF(M547&gt;0,"Faltante","Sobrante"))</f>
        <v/>
      </c>
      <c r="O547" t="inlineStr">
        <is>
          <t>La diferencia es contabilizada por la Gerencia De Autoservicios y Efectivo de manera centralizada a la cuenta de sobrantes 279510020 el 05/03/2026</t>
        </is>
      </c>
      <c r="P547" t="n">
        <v>35891536</v>
      </c>
    </row>
    <row r="548">
      <c r="A548" t="n">
        <v>609</v>
      </c>
      <c r="B548" t="n">
        <v>7875</v>
      </c>
      <c r="C548" t="inlineStr">
        <is>
          <t>BELLTECH</t>
        </is>
      </c>
      <c r="D548" t="inlineStr">
        <is>
          <t>BELLTECH</t>
        </is>
      </c>
      <c r="E548" s="3" t="n">
        <v>46086</v>
      </c>
      <c r="F548" s="3" t="n">
        <v>46085</v>
      </c>
      <c r="G548" t="inlineStr">
        <is>
          <t>09:32:00</t>
        </is>
      </c>
      <c r="H548" t="n">
        <v>191573750</v>
      </c>
      <c r="I548" t="n">
        <v>79680750</v>
      </c>
      <c r="J548" t="n">
        <v>23450000</v>
      </c>
      <c r="K548" t="n">
        <v>14450000</v>
      </c>
      <c r="M548">
        <f>I548-(H548+J548-K548)- L548</f>
        <v/>
      </c>
      <c r="N548">
        <f>IF(M548=0,"Cuadrado",IF(M548&gt;0,"Faltante","Sobrante"))</f>
        <v/>
      </c>
      <c r="O548" t="inlineStr">
        <is>
          <t>La diferencia es contabilizada por la Gerencia De Autoservicios y Efectivo de manera centralizada a la cuenta de sobrantes 279510020 el 05/03/2026</t>
        </is>
      </c>
      <c r="P548" t="n">
        <v>98695047</v>
      </c>
    </row>
    <row r="549">
      <c r="A549" t="n">
        <v>609</v>
      </c>
      <c r="B549" t="n">
        <v>7888</v>
      </c>
      <c r="C549" t="inlineStr">
        <is>
          <t>BELLTECH</t>
        </is>
      </c>
      <c r="D549" t="inlineStr">
        <is>
          <t>BELLTECH</t>
        </is>
      </c>
      <c r="E549" s="3" t="n">
        <v>46086</v>
      </c>
      <c r="F549" s="3" t="n">
        <v>46085</v>
      </c>
      <c r="G549" t="inlineStr">
        <is>
          <t>08:53:00</t>
        </is>
      </c>
      <c r="H549" t="n">
        <v>139026500</v>
      </c>
      <c r="I549" t="n">
        <v>157952150</v>
      </c>
      <c r="J549" t="n">
        <v>49090000</v>
      </c>
      <c r="K549" t="n">
        <v>14070000</v>
      </c>
      <c r="M549">
        <f>I549-(H549+J549-K549)- L549</f>
        <v/>
      </c>
      <c r="N549">
        <f>IF(M549=0,"Cuadrado",IF(M549&gt;0,"Faltante","Sobrante"))</f>
        <v/>
      </c>
      <c r="O549" t="inlineStr">
        <is>
          <t>REPITIERON ARQUEO</t>
        </is>
      </c>
      <c r="P549" t="n">
        <v>98695047</v>
      </c>
    </row>
    <row r="550">
      <c r="A550" t="n">
        <v>623</v>
      </c>
      <c r="B550" t="n">
        <v>7375</v>
      </c>
      <c r="C550" t="inlineStr">
        <is>
          <t>BELLTECH</t>
        </is>
      </c>
      <c r="D550" t="inlineStr">
        <is>
          <t>BELLTECH</t>
        </is>
      </c>
      <c r="E550" s="3" t="n">
        <v>46086</v>
      </c>
      <c r="F550" s="3" t="n">
        <v>46085</v>
      </c>
      <c r="G550" t="inlineStr">
        <is>
          <t>15:02:00</t>
        </is>
      </c>
      <c r="H550" t="n">
        <v>266162450</v>
      </c>
      <c r="I550" t="n">
        <v>219601050</v>
      </c>
      <c r="J550" t="n">
        <v>22340000</v>
      </c>
      <c r="K550" t="n">
        <v>68885800</v>
      </c>
      <c r="L550" t="n">
        <v>0</v>
      </c>
      <c r="M550">
        <f>I550-(H550+J550-K550)- L550</f>
        <v/>
      </c>
      <c r="N550">
        <f>IF(M550=0,"Cuadrado",IF(M550&gt;0,"Faltante","Sobrante"))</f>
        <v/>
      </c>
      <c r="O550" t="inlineStr">
        <is>
          <t>La diferencia es contabilizada por la Gerencia De Autoservicios y Efectivo de manera centralizada a la cuenta de sobrantes 279510020 el 05/03/2026</t>
        </is>
      </c>
      <c r="P550" t="n">
        <v>1060651791</v>
      </c>
    </row>
    <row r="551">
      <c r="A551" t="n">
        <v>667</v>
      </c>
      <c r="B551" t="n">
        <v>5167</v>
      </c>
      <c r="C551" t="inlineStr">
        <is>
          <t>BELLTECH</t>
        </is>
      </c>
      <c r="D551" t="inlineStr">
        <is>
          <t>BELLTECH</t>
        </is>
      </c>
      <c r="E551" s="3" t="n">
        <v>46086</v>
      </c>
      <c r="F551" s="3" t="n">
        <v>46085</v>
      </c>
      <c r="G551" t="inlineStr">
        <is>
          <t>09:15:00</t>
        </is>
      </c>
      <c r="H551" t="n">
        <v>314483250</v>
      </c>
      <c r="I551" t="n">
        <v>325793150</v>
      </c>
      <c r="J551" t="n">
        <v>11220000</v>
      </c>
      <c r="K551" t="n">
        <v>0</v>
      </c>
      <c r="L551" t="n">
        <v>89900</v>
      </c>
      <c r="M551">
        <f>I551-(H551+J551-K551)- L551</f>
        <v/>
      </c>
      <c r="N551">
        <f>IF(M551=0,"Cuadrado",IF(M551&gt;0,"Faltante","Sobrante"))</f>
        <v/>
      </c>
      <c r="O551" t="inlineStr">
        <is>
          <t>El faltante  de $89.900 es cruzado con sobrante contabilizado el día 03/03/2026 el cual es reversado por la seccion el día 05/03/2026</t>
        </is>
      </c>
      <c r="P551" t="n">
        <v>79953058</v>
      </c>
    </row>
    <row r="552">
      <c r="A552" t="n">
        <v>698</v>
      </c>
      <c r="B552" t="n">
        <v>5187</v>
      </c>
      <c r="C552" t="inlineStr">
        <is>
          <t>BELLTECH</t>
        </is>
      </c>
      <c r="D552" t="inlineStr">
        <is>
          <t>BELLTECH</t>
        </is>
      </c>
      <c r="E552" s="3" t="n">
        <v>46086</v>
      </c>
      <c r="F552" s="3" t="n">
        <v>46085</v>
      </c>
      <c r="G552" t="inlineStr">
        <is>
          <t>08:50:00</t>
        </is>
      </c>
      <c r="H552" t="n">
        <v>236650300</v>
      </c>
      <c r="I552" t="n">
        <v>236650300</v>
      </c>
      <c r="J552" t="n">
        <v>0</v>
      </c>
      <c r="K552" t="n">
        <v>0</v>
      </c>
      <c r="M552">
        <f>I552-(H552+J552-K552)- L552</f>
        <v/>
      </c>
      <c r="N552">
        <f>IF(M552=0,"Cuadrado",IF(M552&gt;0,"Faltante","Sobrante"))</f>
        <v/>
      </c>
      <c r="O552" t="inlineStr">
        <is>
          <t>Cajero cuadrado, sin observación por parte de la sucursal</t>
        </is>
      </c>
      <c r="P552" t="n">
        <v>80177355</v>
      </c>
    </row>
    <row r="553">
      <c r="A553" t="n">
        <v>750</v>
      </c>
      <c r="B553" t="n">
        <v>5157</v>
      </c>
      <c r="C553" t="inlineStr">
        <is>
          <t>BELLTECH</t>
        </is>
      </c>
      <c r="D553" t="inlineStr">
        <is>
          <t>BELLTECH</t>
        </is>
      </c>
      <c r="E553" s="3" t="n">
        <v>46086</v>
      </c>
      <c r="F553" s="3" t="n">
        <v>46085</v>
      </c>
      <c r="G553" t="inlineStr">
        <is>
          <t>08:27:17</t>
        </is>
      </c>
      <c r="H553" t="n">
        <v>302661050</v>
      </c>
      <c r="I553" t="n">
        <v>294514350</v>
      </c>
      <c r="J553" t="n">
        <v>5670000</v>
      </c>
      <c r="K553" t="n">
        <v>18017700</v>
      </c>
      <c r="L553" t="n">
        <v>1041000</v>
      </c>
      <c r="M553">
        <f>I553-(H553+J553-K553)- L553</f>
        <v/>
      </c>
      <c r="N553">
        <f>IF(M553=0,"Cuadrado",IF(M553&gt;0,"Faltante","Sobrante"))</f>
        <v/>
      </c>
      <c r="O553" t="inlineStr">
        <is>
          <t>REPITIERON ARQUEO</t>
        </is>
      </c>
      <c r="P553" t="n">
        <v>31529631</v>
      </c>
    </row>
    <row r="554">
      <c r="A554" t="n">
        <v>762</v>
      </c>
      <c r="B554" t="n">
        <v>5181</v>
      </c>
      <c r="C554" t="inlineStr">
        <is>
          <t>BELLTECH</t>
        </is>
      </c>
      <c r="D554" t="inlineStr">
        <is>
          <t>BELLTECH</t>
        </is>
      </c>
      <c r="E554" s="3" t="n">
        <v>46086</v>
      </c>
      <c r="F554" s="3" t="n">
        <v>46085</v>
      </c>
      <c r="G554" t="inlineStr">
        <is>
          <t>09:26:40</t>
        </is>
      </c>
      <c r="H554" t="n">
        <v>164054250</v>
      </c>
      <c r="I554" t="n">
        <v>161524250</v>
      </c>
      <c r="J554" t="n">
        <v>0</v>
      </c>
      <c r="K554" t="n">
        <v>0</v>
      </c>
      <c r="M554">
        <f>I554-(H554+J554-K554)- L554</f>
        <v/>
      </c>
      <c r="N554">
        <f>IF(M554=0,"Cuadrado",IF(M554&gt;0,"Faltante","Sobrante"))</f>
        <v/>
      </c>
      <c r="O554" t="inlineStr">
        <is>
          <t>La diferencia es contabilizada por la Gerencia De Autoservicios y Efectivo de manera centralizada a la cuenta de sobrantes 279510020 el 05/03/2026</t>
        </is>
      </c>
      <c r="P554" t="n">
        <v>94364510</v>
      </c>
    </row>
    <row r="555">
      <c r="A555" t="n">
        <v>781</v>
      </c>
      <c r="B555" t="n">
        <v>5057</v>
      </c>
      <c r="C555" t="inlineStr">
        <is>
          <t>BELLTECH</t>
        </is>
      </c>
      <c r="D555" t="inlineStr">
        <is>
          <t>BELLTECH</t>
        </is>
      </c>
      <c r="E555" s="3" t="n">
        <v>46086</v>
      </c>
      <c r="F555" s="3" t="n">
        <v>46085</v>
      </c>
      <c r="G555" t="inlineStr">
        <is>
          <t>10:01:00</t>
        </is>
      </c>
      <c r="H555" t="n">
        <v>394854350</v>
      </c>
      <c r="I555" t="n">
        <v>361021550</v>
      </c>
      <c r="J555" t="n">
        <v>14990000</v>
      </c>
      <c r="K555" t="n">
        <v>29653000</v>
      </c>
      <c r="M555">
        <f>I555-(H555+J555-K555)- L555</f>
        <v/>
      </c>
      <c r="N555">
        <f>IF(M555=0,"Cuadrado",IF(M555&gt;0,"Faltante","Sobrante"))</f>
        <v/>
      </c>
      <c r="O555" t="inlineStr">
        <is>
          <t>La diferencia es contabilizada por la Gerencia De Autoservicios y Efectivo de manera centralizada a la cuenta de sobrantes 279510020 el 05/03/2026</t>
        </is>
      </c>
      <c r="P555" t="n">
        <v>1082848167</v>
      </c>
    </row>
    <row r="556">
      <c r="A556" t="n">
        <v>795</v>
      </c>
      <c r="B556" t="n">
        <v>1029</v>
      </c>
      <c r="C556" t="inlineStr">
        <is>
          <t>BELLTECH</t>
        </is>
      </c>
      <c r="D556" t="inlineStr">
        <is>
          <t>BELLTECH</t>
        </is>
      </c>
      <c r="E556" s="3" t="n">
        <v>46086</v>
      </c>
      <c r="F556" s="3" t="n">
        <v>46085</v>
      </c>
      <c r="G556" t="inlineStr">
        <is>
          <t>10:13:00</t>
        </is>
      </c>
      <c r="H556" t="n">
        <v>223953000</v>
      </c>
      <c r="I556" t="n">
        <v>170468000</v>
      </c>
      <c r="J556" t="n">
        <v>17780000</v>
      </c>
      <c r="K556" t="n">
        <v>64095000</v>
      </c>
      <c r="M556">
        <f>I556-(H556+J556-K556)- L556</f>
        <v/>
      </c>
      <c r="N556">
        <f>IF(M556=0,"Cuadrado",IF(M556&gt;0,"Faltante","Sobrante"))</f>
        <v/>
      </c>
      <c r="O556" t="inlineStr">
        <is>
          <t>La diferencia es contabilizada por la Gerencia De Autoservicios y Efectivo de manera centralizada a la cuenta de sobrantes 279510020 el 05/03/2026</t>
        </is>
      </c>
      <c r="P556" t="n">
        <v>91274094</v>
      </c>
    </row>
    <row r="557">
      <c r="A557" t="n">
        <v>796</v>
      </c>
      <c r="B557" t="n">
        <v>6911</v>
      </c>
      <c r="C557" t="inlineStr">
        <is>
          <t>BELLTECH</t>
        </is>
      </c>
      <c r="D557" t="inlineStr">
        <is>
          <t>BELLTECH</t>
        </is>
      </c>
      <c r="E557" s="3" t="n">
        <v>46086</v>
      </c>
      <c r="F557" s="3" t="n">
        <v>46085</v>
      </c>
      <c r="G557" t="inlineStr">
        <is>
          <t>13:49:00</t>
        </is>
      </c>
      <c r="H557" t="n">
        <v>177799250</v>
      </c>
      <c r="I557" t="n">
        <v>133528050</v>
      </c>
      <c r="J557" t="n">
        <v>22080000</v>
      </c>
      <c r="K557" t="n">
        <v>50397000</v>
      </c>
      <c r="M557">
        <f>I557-(H557+J557-K557)- L557</f>
        <v/>
      </c>
      <c r="N557">
        <f>IF(M557=0,"Cuadrado",IF(M557&gt;0,"Faltante","Sobrante"))</f>
        <v/>
      </c>
      <c r="O557" t="inlineStr">
        <is>
          <t>La diferencia es contabilizada por la Gerencia De Autoservicios y Efectivo de manera centralizada a la cuenta de sobrantes 279510020 el 05/03/2026</t>
        </is>
      </c>
      <c r="P557" t="n">
        <v>1095802301</v>
      </c>
    </row>
    <row r="558">
      <c r="A558" t="n">
        <v>844</v>
      </c>
      <c r="B558" t="n">
        <v>6169</v>
      </c>
      <c r="C558" t="inlineStr">
        <is>
          <t>BELLTECH</t>
        </is>
      </c>
      <c r="D558" t="inlineStr">
        <is>
          <t>BELLTECH</t>
        </is>
      </c>
      <c r="E558" s="3" t="n">
        <v>46086</v>
      </c>
      <c r="F558" s="3" t="n">
        <v>46085</v>
      </c>
      <c r="G558" t="inlineStr">
        <is>
          <t>08:53:00</t>
        </is>
      </c>
      <c r="H558" t="n">
        <v>254272600</v>
      </c>
      <c r="I558" t="n">
        <v>468338000</v>
      </c>
      <c r="J558" t="n">
        <v>1120000</v>
      </c>
      <c r="K558" t="n">
        <v>0</v>
      </c>
      <c r="M558">
        <f>I558-(H558+J558-K558)- L558</f>
        <v/>
      </c>
      <c r="N558">
        <f>IF(M558=0,"Cuadrado",IF(M558&gt;0,"Faltante","Sobrante"))</f>
        <v/>
      </c>
      <c r="O558" t="inlineStr">
        <is>
          <t>REPITIERON ARQUEO</t>
        </is>
      </c>
      <c r="P558" t="n">
        <v>86058432</v>
      </c>
    </row>
    <row r="559">
      <c r="A559" t="n">
        <v>849</v>
      </c>
      <c r="B559" t="n">
        <v>9724</v>
      </c>
      <c r="C559" t="inlineStr">
        <is>
          <t>BELLTECH</t>
        </is>
      </c>
      <c r="D559" t="inlineStr">
        <is>
          <t>BELLTECH</t>
        </is>
      </c>
      <c r="E559" s="3" t="n">
        <v>46086</v>
      </c>
      <c r="F559" s="3" t="n">
        <v>46085</v>
      </c>
      <c r="G559" t="inlineStr">
        <is>
          <t>16:33:00</t>
        </is>
      </c>
      <c r="H559" t="n">
        <v>224399300</v>
      </c>
      <c r="I559" t="n">
        <v>271496200</v>
      </c>
      <c r="J559" t="n">
        <v>53220000</v>
      </c>
      <c r="K559" t="n">
        <v>239372100</v>
      </c>
      <c r="L559" t="n">
        <v>245249000</v>
      </c>
      <c r="M559">
        <f>I559-(H559+J559-K559)- L559</f>
        <v/>
      </c>
      <c r="N559">
        <f>IF(M559=0,"Cuadrado",IF(M559&gt;0,"Faltante","Sobrante"))</f>
        <v/>
      </c>
      <c r="O559" t="inlineStr">
        <is>
          <t>La diferencia es contabilizada por la Gerencia De Autoservicios y Efectivo de manera centralizada a la cuenta de sobrantes 279510020 el 05/03/2026</t>
        </is>
      </c>
      <c r="P559" t="n">
        <v>86063461</v>
      </c>
    </row>
    <row r="560">
      <c r="A560" t="n">
        <v>849</v>
      </c>
      <c r="B560" t="n">
        <v>9725</v>
      </c>
      <c r="C560" t="inlineStr">
        <is>
          <t>BELLTECH</t>
        </is>
      </c>
      <c r="D560" t="inlineStr">
        <is>
          <t>DIEBOLD</t>
        </is>
      </c>
      <c r="E560" s="3" t="n">
        <v>46086</v>
      </c>
      <c r="F560" s="3" t="n">
        <v>46084</v>
      </c>
      <c r="G560" t="inlineStr">
        <is>
          <t>16:33:00</t>
        </is>
      </c>
      <c r="H560" t="n">
        <v>236004250</v>
      </c>
      <c r="I560" t="n">
        <v>371192950</v>
      </c>
      <c r="J560" t="n">
        <v>52030000</v>
      </c>
      <c r="K560" t="n">
        <v>258989300</v>
      </c>
      <c r="L560" t="n">
        <v>342274000</v>
      </c>
      <c r="M560">
        <f>I560-(H560+J560-K560)- L560</f>
        <v/>
      </c>
      <c r="N560">
        <f>IF(M560=0,"Cuadrado",IF(M560&gt;0,"Faltante","Sobrante"))</f>
        <v/>
      </c>
      <c r="O560" t="inlineStr">
        <is>
          <t>La diferencia es contabilizada por la Gerencia De Autoservicios y Efectivo de manera centralizada a la cuenta de sobrantes 279510020 el 05/03/2026</t>
        </is>
      </c>
      <c r="P560" t="n">
        <v>86063461</v>
      </c>
    </row>
    <row r="561">
      <c r="A561" t="n">
        <v>866</v>
      </c>
      <c r="B561" t="n">
        <v>8662</v>
      </c>
      <c r="C561" t="inlineStr">
        <is>
          <t>BELLTECH</t>
        </is>
      </c>
      <c r="D561" t="inlineStr">
        <is>
          <t>BELLTECH</t>
        </is>
      </c>
      <c r="E561" s="3" t="n">
        <v>46086</v>
      </c>
      <c r="F561" s="3" t="n">
        <v>46085</v>
      </c>
      <c r="G561" t="inlineStr">
        <is>
          <t>15:27:00</t>
        </is>
      </c>
      <c r="H561" t="n">
        <v>66818450</v>
      </c>
      <c r="I561" t="n">
        <v>93518450</v>
      </c>
      <c r="J561" t="n">
        <v>36890000</v>
      </c>
      <c r="K561" t="n">
        <v>10190000</v>
      </c>
      <c r="M561">
        <f>I561-(H561+J561-K561)- L561</f>
        <v/>
      </c>
      <c r="N561">
        <f>IF(M561=0,"Cuadrado",IF(M561&gt;0,"Faltante","Sobrante"))</f>
        <v/>
      </c>
      <c r="O561" t="inlineStr">
        <is>
          <t>Cajero cuadrado, sin observación por parte de la sucursal</t>
        </is>
      </c>
      <c r="P561" t="n">
        <v>1113674245</v>
      </c>
    </row>
    <row r="562">
      <c r="A562" t="n">
        <v>890</v>
      </c>
      <c r="B562" t="n">
        <v>9584</v>
      </c>
      <c r="C562" t="inlineStr">
        <is>
          <t>BELLTECH</t>
        </is>
      </c>
      <c r="D562" t="inlineStr">
        <is>
          <t>BELLTECH</t>
        </is>
      </c>
      <c r="E562" s="3" t="n">
        <v>46086</v>
      </c>
      <c r="F562" s="3" t="n">
        <v>46085</v>
      </c>
      <c r="G562" t="inlineStr">
        <is>
          <t>09:11:00</t>
        </is>
      </c>
      <c r="H562" t="n">
        <v>238430950</v>
      </c>
      <c r="I562" t="n">
        <v>249230950</v>
      </c>
      <c r="J562" t="n">
        <v>14200000</v>
      </c>
      <c r="K562" t="n">
        <v>3400000</v>
      </c>
      <c r="M562">
        <f>I562-(H562+J562-K562)- L562</f>
        <v/>
      </c>
      <c r="N562">
        <f>IF(M562=0,"Cuadrado",IF(M562&gt;0,"Faltante","Sobrante"))</f>
        <v/>
      </c>
      <c r="O562" t="inlineStr">
        <is>
          <t>Cajero cuadrado, sin observación por parte de la sucursal</t>
        </is>
      </c>
      <c r="P562" t="n">
        <v>1053835867</v>
      </c>
    </row>
    <row r="563">
      <c r="A563" t="n">
        <v>915</v>
      </c>
      <c r="B563" t="n">
        <v>8313</v>
      </c>
      <c r="C563" t="inlineStr">
        <is>
          <t>BELLTECH</t>
        </is>
      </c>
      <c r="D563" t="inlineStr">
        <is>
          <t>DIEBOLD</t>
        </is>
      </c>
      <c r="E563" s="3" t="n">
        <v>46086</v>
      </c>
      <c r="F563" s="3" t="n">
        <v>46085</v>
      </c>
      <c r="G563" t="inlineStr">
        <is>
          <t>10:13:00</t>
        </is>
      </c>
      <c r="H563" t="n">
        <v>382047100</v>
      </c>
      <c r="I563" t="n">
        <v>365612100</v>
      </c>
      <c r="J563" t="n">
        <v>3270000</v>
      </c>
      <c r="K563" t="n">
        <v>6705000</v>
      </c>
      <c r="M563">
        <f>I563-(H563+J563-K563)- L563</f>
        <v/>
      </c>
      <c r="N563">
        <f>IF(M563=0,"Cuadrado",IF(M563&gt;0,"Faltante","Sobrante"))</f>
        <v/>
      </c>
      <c r="O563" t="inlineStr">
        <is>
          <t>REPITIERON ARQUEO</t>
        </is>
      </c>
      <c r="P563" t="n">
        <v>52279779</v>
      </c>
    </row>
    <row r="564">
      <c r="A564" t="n">
        <v>915</v>
      </c>
      <c r="B564" t="n">
        <v>8314</v>
      </c>
      <c r="C564" t="inlineStr">
        <is>
          <t>BELLTECH</t>
        </is>
      </c>
      <c r="D564" t="inlineStr">
        <is>
          <t>BELLTECH</t>
        </is>
      </c>
      <c r="E564" s="3" t="n">
        <v>46086</v>
      </c>
      <c r="F564" s="3" t="n">
        <v>46085</v>
      </c>
      <c r="G564" t="inlineStr">
        <is>
          <t>11:40:00</t>
        </is>
      </c>
      <c r="H564" t="n">
        <v>349886600</v>
      </c>
      <c r="I564" t="n">
        <v>358370200</v>
      </c>
      <c r="J564" t="n">
        <v>8430000</v>
      </c>
      <c r="K564" t="n">
        <v>0</v>
      </c>
      <c r="M564">
        <f>I564-(H564+J564-K564)- L564</f>
        <v/>
      </c>
      <c r="N564">
        <f>IF(M564=0,"Cuadrado",IF(M564&gt;0,"Faltante","Sobrante"))</f>
        <v/>
      </c>
      <c r="O564" t="inlineStr">
        <is>
          <t>REPITIERON ARQUEO</t>
        </is>
      </c>
      <c r="P564" t="n">
        <v>52279779</v>
      </c>
    </row>
    <row r="565">
      <c r="A565" t="n">
        <v>916</v>
      </c>
      <c r="B565" t="n">
        <v>5052</v>
      </c>
      <c r="C565" t="inlineStr">
        <is>
          <t>BELLTECH</t>
        </is>
      </c>
      <c r="D565" t="inlineStr">
        <is>
          <t>BELLTECH</t>
        </is>
      </c>
      <c r="E565" s="3" t="n">
        <v>46086</v>
      </c>
      <c r="F565" s="3" t="n">
        <v>46085</v>
      </c>
      <c r="G565" t="inlineStr">
        <is>
          <t>08:46:00</t>
        </is>
      </c>
      <c r="H565" t="n">
        <v>423926800</v>
      </c>
      <c r="I565" t="n">
        <v>422835800</v>
      </c>
      <c r="J565" t="n">
        <v>1220000</v>
      </c>
      <c r="K565" t="n">
        <v>2310000</v>
      </c>
      <c r="M565">
        <f>I565-(H565+J565-K565)- L565</f>
        <v/>
      </c>
      <c r="N565">
        <f>IF(M565=0,"Cuadrado",IF(M565&gt;0,"Faltante","Sobrante"))</f>
        <v/>
      </c>
      <c r="O565" t="inlineStr">
        <is>
          <t>La diferencia es contabilizada por la Gerencia De Autoservicios y Efectivo de manera centralizada a la cuenta de sobrantes 279510020 el 05/03/2026</t>
        </is>
      </c>
      <c r="P565" t="n">
        <v>1004306590</v>
      </c>
    </row>
    <row r="566">
      <c r="A566" t="n">
        <v>1</v>
      </c>
      <c r="B566" t="n">
        <v>5000</v>
      </c>
      <c r="C566" t="inlineStr">
        <is>
          <t>BELLTECH</t>
        </is>
      </c>
      <c r="D566" t="inlineStr">
        <is>
          <t>BELLTECH</t>
        </is>
      </c>
      <c r="E566" s="3" t="n">
        <v>46085</v>
      </c>
      <c r="F566" s="3" t="n">
        <v>46084</v>
      </c>
      <c r="G566" t="inlineStr">
        <is>
          <t>15:25:00</t>
        </is>
      </c>
      <c r="H566" t="n">
        <v>196112400</v>
      </c>
      <c r="I566" t="n">
        <v>246926400</v>
      </c>
      <c r="J566" t="n">
        <v>75910000</v>
      </c>
      <c r="K566" t="n">
        <v>24702000</v>
      </c>
      <c r="M566">
        <f>I566-(H566+J566-K566)- L566</f>
        <v/>
      </c>
      <c r="N566">
        <f>IF(M566=0,"Cuadrado",IF(M566&gt;0,"Faltante","Sobrante"))</f>
        <v/>
      </c>
      <c r="O566" t="inlineStr">
        <is>
          <t>La diferencia es contabilizada por la Gerencia De Autoservicios y Efectivo de manera centralizada a la cuenta de sobrantes 279510020 el 04/03/2026</t>
        </is>
      </c>
      <c r="P566" t="n">
        <v>1017128064</v>
      </c>
    </row>
    <row r="567">
      <c r="A567" t="n">
        <v>93</v>
      </c>
      <c r="B567" t="n">
        <v>7126</v>
      </c>
      <c r="C567" t="inlineStr">
        <is>
          <t>BELLTECH</t>
        </is>
      </c>
      <c r="D567" t="inlineStr">
        <is>
          <t>BELLTECH</t>
        </is>
      </c>
      <c r="E567" s="3" t="n">
        <v>46085</v>
      </c>
      <c r="F567" s="3" t="n">
        <v>46084</v>
      </c>
      <c r="G567" t="inlineStr">
        <is>
          <t>15:40:00</t>
        </is>
      </c>
      <c r="H567" t="n">
        <v>141650850</v>
      </c>
      <c r="I567" t="n">
        <v>150308850</v>
      </c>
      <c r="J567" t="n">
        <v>19680000</v>
      </c>
      <c r="K567" t="n">
        <v>11022000</v>
      </c>
      <c r="M567">
        <f>I567-(H567+J567-K567)- L567</f>
        <v/>
      </c>
      <c r="N567">
        <f>IF(M567=0,"Cuadrado",IF(M567&gt;0,"Faltante","Sobrante"))</f>
        <v/>
      </c>
      <c r="O567" t="inlineStr">
        <is>
          <t>Cajero cuadrado, sin observación por parte de la sucursal</t>
        </is>
      </c>
      <c r="P567" t="n">
        <v>1067931735</v>
      </c>
    </row>
    <row r="568">
      <c r="A568" t="n">
        <v>166</v>
      </c>
      <c r="B568" t="n">
        <v>7940</v>
      </c>
      <c r="C568" t="inlineStr">
        <is>
          <t>BELLTECH</t>
        </is>
      </c>
      <c r="D568" t="inlineStr">
        <is>
          <t>DIEBOLD</t>
        </is>
      </c>
      <c r="E568" s="3" t="n">
        <v>46085</v>
      </c>
      <c r="F568" s="3" t="n">
        <v>46084</v>
      </c>
      <c r="G568" t="inlineStr">
        <is>
          <t>14:51:00</t>
        </is>
      </c>
      <c r="H568" t="n">
        <v>337097000</v>
      </c>
      <c r="I568" t="n">
        <v>204376600</v>
      </c>
      <c r="J568" t="n">
        <v>40230000</v>
      </c>
      <c r="K568" t="n">
        <v>169096500</v>
      </c>
      <c r="M568">
        <f>I568-(H568+J568-K568)- L568</f>
        <v/>
      </c>
      <c r="N568">
        <f>IF(M568=0,"Cuadrado",IF(M568&gt;0,"Faltante","Sobrante"))</f>
        <v/>
      </c>
      <c r="O568" t="inlineStr">
        <is>
          <t>La diferencia es contabilizada por la Gerencia De Autoservicios y Efectivo de manera centralizada a la cuenta de sobrantes 279510020 el 04/03/2026</t>
        </is>
      </c>
      <c r="P568" t="n">
        <v>50938822</v>
      </c>
    </row>
    <row r="569">
      <c r="A569" t="n">
        <v>185</v>
      </c>
      <c r="B569" t="n">
        <v>2208</v>
      </c>
      <c r="C569" t="inlineStr">
        <is>
          <t>DIEBOLD</t>
        </is>
      </c>
      <c r="D569" t="inlineStr">
        <is>
          <t>BELLTECH</t>
        </is>
      </c>
      <c r="E569" s="3" t="n">
        <v>46085</v>
      </c>
      <c r="F569" s="3" t="n">
        <v>46084</v>
      </c>
      <c r="G569" t="inlineStr">
        <is>
          <t>11:03:00</t>
        </is>
      </c>
      <c r="H569" t="n">
        <v>45108500</v>
      </c>
      <c r="I569" t="n">
        <v>44373200</v>
      </c>
      <c r="J569" t="n">
        <v>2850000</v>
      </c>
      <c r="K569" t="n">
        <v>5110000</v>
      </c>
      <c r="M569">
        <f>I569-(H569+J569-K569)- L569</f>
        <v/>
      </c>
      <c r="N569">
        <f>IF(M569=0,"Cuadrado",IF(M569&gt;0,"Faltante","Sobrante"))</f>
        <v/>
      </c>
      <c r="O569" t="inlineStr">
        <is>
          <t>La diferencia es contabilizada por la Gerencia De Autoservicios y Efectivo de manera centralizada a la cuenta de faltantes 168710093 el 04/03/2026, esta diferencia ingresa a proceso de investigación en el área para identificar a que corresponde.</t>
        </is>
      </c>
      <c r="P569" t="n">
        <v>66784636</v>
      </c>
    </row>
    <row r="570">
      <c r="A570" t="n">
        <v>233</v>
      </c>
      <c r="B570" t="n">
        <v>7212</v>
      </c>
      <c r="C570" t="inlineStr">
        <is>
          <t>BELLTECH</t>
        </is>
      </c>
      <c r="D570" t="inlineStr">
        <is>
          <t>DIEBOLD</t>
        </is>
      </c>
      <c r="E570" s="3" t="n">
        <v>46085</v>
      </c>
      <c r="F570" s="3" t="n">
        <v>46084</v>
      </c>
      <c r="G570" t="inlineStr">
        <is>
          <t>09:14:00</t>
        </is>
      </c>
      <c r="H570" t="n">
        <v>233874400</v>
      </c>
      <c r="I570" t="n">
        <v>238254400</v>
      </c>
      <c r="J570" t="n">
        <v>2100000</v>
      </c>
      <c r="K570" t="n">
        <v>220000</v>
      </c>
      <c r="M570">
        <f>I570-(H570+J570-K570)- L570</f>
        <v/>
      </c>
      <c r="N570">
        <f>IF(M570=0,"Cuadrado",IF(M570&gt;0,"Faltante","Sobrante"))</f>
        <v/>
      </c>
      <c r="O570" t="inlineStr">
        <is>
          <t>REPITIERON ARQUEO</t>
        </is>
      </c>
      <c r="P570" t="n">
        <v>80271480</v>
      </c>
    </row>
    <row r="571">
      <c r="A571" t="n">
        <v>291</v>
      </c>
      <c r="B571" t="n">
        <v>8139</v>
      </c>
      <c r="C571" t="inlineStr">
        <is>
          <t>DIEBOLD</t>
        </is>
      </c>
      <c r="D571" t="inlineStr">
        <is>
          <t>BELLTECH</t>
        </is>
      </c>
      <c r="E571" s="3" t="n">
        <v>46085</v>
      </c>
      <c r="F571" s="3" t="n">
        <v>46084</v>
      </c>
      <c r="G571" t="inlineStr">
        <is>
          <t>09:16:00</t>
        </is>
      </c>
      <c r="H571" t="n">
        <v>98387300</v>
      </c>
      <c r="I571" t="n">
        <v>111026600</v>
      </c>
      <c r="J571" t="n">
        <v>16070000</v>
      </c>
      <c r="K571" t="n">
        <v>3450000</v>
      </c>
      <c r="L571" t="n">
        <v>19300</v>
      </c>
      <c r="M571">
        <f>I571-(H571+J571-K571)- L571</f>
        <v/>
      </c>
      <c r="N571">
        <f>IF(M571=0,"Cuadrado",IF(M571&gt;0,"Faltante","Sobrante"))</f>
        <v/>
      </c>
      <c r="O571" t="inlineStr">
        <is>
          <t>El faltante de $19.300 es cruzado con sobrante contabilizado el día 23/02/2026 el cual es reversado por la seccion el día 04/03/2026</t>
        </is>
      </c>
      <c r="P571" t="n">
        <v>1095930956</v>
      </c>
    </row>
    <row r="572">
      <c r="A572" t="n">
        <v>331</v>
      </c>
      <c r="B572" t="n">
        <v>574</v>
      </c>
      <c r="C572" t="inlineStr">
        <is>
          <t>BELLTECH</t>
        </is>
      </c>
      <c r="D572" t="inlineStr">
        <is>
          <t>BELLTECH</t>
        </is>
      </c>
      <c r="E572" s="3" t="n">
        <v>46085</v>
      </c>
      <c r="F572" s="3" t="n">
        <v>46084</v>
      </c>
      <c r="G572" t="inlineStr">
        <is>
          <t>14:47:00</t>
        </is>
      </c>
      <c r="H572" t="n">
        <v>110266600</v>
      </c>
      <c r="I572" t="n">
        <v>419768750</v>
      </c>
      <c r="J572" t="n">
        <v>27370000</v>
      </c>
      <c r="K572" t="n">
        <v>175978850</v>
      </c>
      <c r="L572" t="n">
        <v>266636000</v>
      </c>
      <c r="M572">
        <f>I572-(H572+J572-K572)- L572</f>
        <v/>
      </c>
      <c r="N572">
        <f>IF(M572=0,"Cuadrado",IF(M572&gt;0,"Faltante","Sobrante"))</f>
        <v/>
      </c>
      <c r="O572" t="inlineStr">
        <is>
          <t>REPITIERON ARQUEO</t>
        </is>
      </c>
      <c r="P572" t="n">
        <v>32244978</v>
      </c>
    </row>
    <row r="573">
      <c r="A573" t="n">
        <v>392</v>
      </c>
      <c r="B573" t="n">
        <v>5064</v>
      </c>
      <c r="C573" t="inlineStr">
        <is>
          <t>BELLTECH</t>
        </is>
      </c>
      <c r="D573" t="inlineStr">
        <is>
          <t>BELLTECH</t>
        </is>
      </c>
      <c r="E573" s="3" t="n">
        <v>46085</v>
      </c>
      <c r="F573" s="3" t="n">
        <v>46084</v>
      </c>
      <c r="G573" t="inlineStr">
        <is>
          <t>11:47:00</t>
        </is>
      </c>
      <c r="H573" t="n">
        <v>156577650</v>
      </c>
      <c r="I573" t="n">
        <v>158719650</v>
      </c>
      <c r="J573" t="n">
        <v>45650000</v>
      </c>
      <c r="K573" t="n">
        <v>44635000</v>
      </c>
      <c r="L573" t="n">
        <v>1127000</v>
      </c>
      <c r="M573">
        <f>I573-(H573+J573-K573)- L573</f>
        <v/>
      </c>
      <c r="N573">
        <f>IF(M573=0,"Cuadrado",IF(M573&gt;0,"Faltante","Sobrante"))</f>
        <v/>
      </c>
      <c r="O573" t="inlineStr">
        <is>
          <t>El faltante de $1.127.000 es cruzado con sobrante contabilizado el día 17/02/2026 el cual es reversado por la seccion el día 04/03/2026</t>
        </is>
      </c>
      <c r="P573" t="n">
        <v>1054547012</v>
      </c>
    </row>
    <row r="574">
      <c r="A574" t="n">
        <v>430</v>
      </c>
      <c r="B574" t="n">
        <v>5104</v>
      </c>
      <c r="C574" t="inlineStr">
        <is>
          <t>BELLTECH</t>
        </is>
      </c>
      <c r="D574" t="inlineStr">
        <is>
          <t>BELLTECH</t>
        </is>
      </c>
      <c r="E574" s="3" t="n">
        <v>46085</v>
      </c>
      <c r="F574" s="3" t="n">
        <v>46084</v>
      </c>
      <c r="G574" t="inlineStr">
        <is>
          <t>10:17:00</t>
        </is>
      </c>
      <c r="H574" t="n">
        <v>336412000</v>
      </c>
      <c r="I574" t="n">
        <v>303428650</v>
      </c>
      <c r="J574" t="n">
        <v>15920000</v>
      </c>
      <c r="K574" t="n">
        <v>49488000</v>
      </c>
      <c r="M574">
        <f>I574-(H574+J574-K574)- L574</f>
        <v/>
      </c>
      <c r="N574">
        <f>IF(M574=0,"Cuadrado",IF(M574&gt;0,"Faltante","Sobrante"))</f>
        <v/>
      </c>
      <c r="O574" t="inlineStr">
        <is>
          <t>REPITIERON ARQUEO</t>
        </is>
      </c>
      <c r="P574" t="n">
        <v>1035234232</v>
      </c>
    </row>
    <row r="575">
      <c r="A575" t="n">
        <v>453</v>
      </c>
      <c r="B575" t="n">
        <v>8018</v>
      </c>
      <c r="C575" t="inlineStr">
        <is>
          <t>BELLTECH</t>
        </is>
      </c>
      <c r="D575" t="inlineStr">
        <is>
          <t>BELLTECH</t>
        </is>
      </c>
      <c r="E575" s="3" t="n">
        <v>46085</v>
      </c>
      <c r="F575" s="3" t="n">
        <v>46084</v>
      </c>
      <c r="G575" t="inlineStr">
        <is>
          <t>09:00:00</t>
        </is>
      </c>
      <c r="H575" t="n">
        <v>317539300</v>
      </c>
      <c r="I575" t="n">
        <v>276186300</v>
      </c>
      <c r="J575" t="n">
        <v>4780000</v>
      </c>
      <c r="K575" t="n">
        <v>18220000</v>
      </c>
      <c r="M575">
        <f>I575-(H575+J575-K575)- L575</f>
        <v/>
      </c>
      <c r="N575">
        <f>IF(M575=0,"Cuadrado",IF(M575&gt;0,"Faltante","Sobrante"))</f>
        <v/>
      </c>
      <c r="O575" t="inlineStr">
        <is>
          <t>La diferencia es contabilizada por la Gerencia De Autoservicios y Efectivo de manera centralizada a la cuenta de sobrantes 279510020 el 04/03/2026</t>
        </is>
      </c>
      <c r="P575" t="n">
        <v>1083897578</v>
      </c>
    </row>
    <row r="576">
      <c r="A576" t="n">
        <v>453</v>
      </c>
      <c r="B576" t="n">
        <v>8019</v>
      </c>
      <c r="C576" t="inlineStr">
        <is>
          <t>BELLTECH</t>
        </is>
      </c>
      <c r="D576" t="inlineStr">
        <is>
          <t>BELLTECH</t>
        </is>
      </c>
      <c r="E576" s="3" t="n">
        <v>46085</v>
      </c>
      <c r="F576" s="3" t="n">
        <v>46084</v>
      </c>
      <c r="G576" t="inlineStr">
        <is>
          <t>08:06:00</t>
        </is>
      </c>
      <c r="H576" t="n">
        <v>290564100</v>
      </c>
      <c r="I576" t="n">
        <v>260374100</v>
      </c>
      <c r="J576" t="n">
        <v>7170000</v>
      </c>
      <c r="K576" t="n">
        <v>34750000</v>
      </c>
      <c r="M576">
        <f>I576-(H576+J576-K576)- L576</f>
        <v/>
      </c>
      <c r="N576">
        <f>IF(M576=0,"Cuadrado",IF(M576&gt;0,"Faltante","Sobrante"))</f>
        <v/>
      </c>
      <c r="O576" t="inlineStr">
        <is>
          <t>La diferencia es contabilizada por la Gerencia De Autoservicios y Efectivo de manera centralizada a la cuenta de sobrantes 279510020 el 04/03/2026</t>
        </is>
      </c>
      <c r="P576" t="n">
        <v>1083897578</v>
      </c>
    </row>
    <row r="577">
      <c r="A577" t="n">
        <v>509</v>
      </c>
      <c r="B577" t="n">
        <v>8835</v>
      </c>
      <c r="C577" t="inlineStr">
        <is>
          <t>BELLTECH</t>
        </is>
      </c>
      <c r="D577" t="inlineStr">
        <is>
          <t>BELLTECH</t>
        </is>
      </c>
      <c r="E577" s="3" t="n">
        <v>46085</v>
      </c>
      <c r="F577" s="3" t="n">
        <v>46084</v>
      </c>
      <c r="G577" t="inlineStr">
        <is>
          <t>09:58:00</t>
        </is>
      </c>
      <c r="H577" t="n">
        <v>289365350</v>
      </c>
      <c r="I577" t="n">
        <v>230723250</v>
      </c>
      <c r="J577" t="n">
        <v>4280000</v>
      </c>
      <c r="K577" t="n">
        <v>64171700</v>
      </c>
      <c r="M577">
        <f>I577-(H577+J577-K577)- L577</f>
        <v/>
      </c>
      <c r="N577">
        <f>IF(M577=0,"Cuadrado",IF(M577&gt;0,"Faltante","Sobrante"))</f>
        <v/>
      </c>
      <c r="O577" t="inlineStr">
        <is>
          <t>La diferencia es contabilizada por la Gerencia De Autoservicios y Efectivo de manera centralizada a la cuenta de faltantes 168710093 el 04/03/2026, esta diferencia ingresa a proceso de investigación en el área para identificar a que corresponde.</t>
        </is>
      </c>
      <c r="P577" t="n">
        <v>1143370364</v>
      </c>
    </row>
    <row r="578">
      <c r="A578" t="n">
        <v>524</v>
      </c>
      <c r="B578" t="n">
        <v>6336</v>
      </c>
      <c r="C578" t="inlineStr">
        <is>
          <t>BELLTECH</t>
        </is>
      </c>
      <c r="D578" t="inlineStr">
        <is>
          <t>BELLTECH</t>
        </is>
      </c>
      <c r="E578" s="3" t="n">
        <v>46085</v>
      </c>
      <c r="F578" s="3" t="n">
        <v>46084</v>
      </c>
      <c r="G578" t="inlineStr">
        <is>
          <t>08:49:00</t>
        </is>
      </c>
      <c r="H578" t="n">
        <v>260115300</v>
      </c>
      <c r="I578" t="n">
        <v>260773100</v>
      </c>
      <c r="J578" t="n">
        <v>660000</v>
      </c>
      <c r="K578" t="n">
        <v>0</v>
      </c>
      <c r="M578">
        <f>I578-(H578+J578-K578)- L578</f>
        <v/>
      </c>
      <c r="N578">
        <f>IF(M578=0,"Cuadrado",IF(M578&gt;0,"Faltante","Sobrante"))</f>
        <v/>
      </c>
      <c r="O578" t="inlineStr">
        <is>
          <t>La diferencia es contabilizada por la Gerencia De Autoservicios y Efectivo de manera centralizada a la cuenta de sobrantes 279510020 el 04/03/2026</t>
        </is>
      </c>
      <c r="P578" t="n">
        <v>1004211532</v>
      </c>
    </row>
    <row r="579">
      <c r="A579" t="n">
        <v>551</v>
      </c>
      <c r="B579" t="n">
        <v>9644</v>
      </c>
      <c r="C579" t="inlineStr">
        <is>
          <t>BELLTECH</t>
        </is>
      </c>
      <c r="D579" t="inlineStr">
        <is>
          <t>BELLTECH</t>
        </is>
      </c>
      <c r="E579" s="3" t="n">
        <v>46085</v>
      </c>
      <c r="F579" s="3" t="n">
        <v>46084</v>
      </c>
      <c r="G579" t="inlineStr">
        <is>
          <t>15:57:29</t>
        </is>
      </c>
      <c r="H579" t="n">
        <v>389260600</v>
      </c>
      <c r="I579" t="n">
        <v>295698550</v>
      </c>
      <c r="J579" t="n">
        <v>54650000</v>
      </c>
      <c r="K579" t="n">
        <v>133333050</v>
      </c>
      <c r="M579">
        <f>I579-(H579+J579-K579)- L579</f>
        <v/>
      </c>
      <c r="N579">
        <f>IF(M579=0,"Cuadrado",IF(M579&gt;0,"Faltante","Sobrante"))</f>
        <v/>
      </c>
      <c r="O579" t="inlineStr">
        <is>
          <t>REPITIERON ARQUEO</t>
        </is>
      </c>
      <c r="P579" t="n">
        <v>1152213498</v>
      </c>
    </row>
    <row r="580">
      <c r="A580" t="n">
        <v>571</v>
      </c>
      <c r="B580" t="n">
        <v>6150</v>
      </c>
      <c r="C580" t="inlineStr">
        <is>
          <t>BELLTECH</t>
        </is>
      </c>
      <c r="D580" t="inlineStr">
        <is>
          <t>BELLTECH</t>
        </is>
      </c>
      <c r="E580" s="3" t="n">
        <v>46085</v>
      </c>
      <c r="F580" s="3" t="n">
        <v>46084</v>
      </c>
      <c r="G580" t="inlineStr">
        <is>
          <t>15:37:00</t>
        </is>
      </c>
      <c r="H580" t="n">
        <v>81955300</v>
      </c>
      <c r="I580" t="n">
        <v>67953850</v>
      </c>
      <c r="J580" t="n">
        <v>61680000</v>
      </c>
      <c r="K580" t="n">
        <v>75648900</v>
      </c>
      <c r="M580">
        <f>I580-(H580+J580-K580)- L580</f>
        <v/>
      </c>
      <c r="N580">
        <f>IF(M580=0,"Cuadrado",IF(M580&gt;0,"Faltante","Sobrante"))</f>
        <v/>
      </c>
      <c r="O580" t="inlineStr">
        <is>
          <t>La diferencia es contabilizada por la Gerencia De Autoservicios y Efectivo de manera centralizada a la cuenta de sobrantes 279510020 el 04/03/2026</t>
        </is>
      </c>
      <c r="P580" t="n">
        <v>1019116828</v>
      </c>
    </row>
    <row r="581">
      <c r="A581" t="n">
        <v>623</v>
      </c>
      <c r="B581" t="n">
        <v>5047</v>
      </c>
      <c r="C581" t="inlineStr">
        <is>
          <t>BELLTECH</t>
        </is>
      </c>
      <c r="D581" t="inlineStr">
        <is>
          <t>BELLTECH</t>
        </is>
      </c>
      <c r="E581" s="3" t="n">
        <v>46085</v>
      </c>
      <c r="F581" s="3" t="n">
        <v>46084</v>
      </c>
      <c r="G581" t="inlineStr">
        <is>
          <t>10:54:00</t>
        </is>
      </c>
      <c r="H581" t="n">
        <v>212035800</v>
      </c>
      <c r="I581" t="n">
        <v>221845800</v>
      </c>
      <c r="J581" t="n">
        <v>10260000</v>
      </c>
      <c r="K581" t="n">
        <v>0</v>
      </c>
      <c r="M581">
        <f>I581-(H581+J581-K581)- L581</f>
        <v/>
      </c>
      <c r="N581">
        <f>IF(M581=0,"Cuadrado",IF(M581&gt;0,"Faltante","Sobrante"))</f>
        <v/>
      </c>
      <c r="O581" t="inlineStr">
        <is>
          <t>La diferencia es contabilizada por la Gerencia De Autoservicios y Efectivo de manera centralizada a la cuenta de sobrantes 279510020 el 04/03/2026</t>
        </is>
      </c>
      <c r="P581" t="n">
        <v>1060651791</v>
      </c>
    </row>
    <row r="582">
      <c r="A582" t="n">
        <v>674</v>
      </c>
      <c r="B582" t="n">
        <v>5200</v>
      </c>
      <c r="C582" t="inlineStr">
        <is>
          <t>BELLTECH</t>
        </is>
      </c>
      <c r="D582" t="inlineStr">
        <is>
          <t>BELLTECH</t>
        </is>
      </c>
      <c r="E582" s="3" t="n">
        <v>46085</v>
      </c>
      <c r="F582" s="3" t="n">
        <v>46084</v>
      </c>
      <c r="G582" t="inlineStr">
        <is>
          <t>08:34:00</t>
        </is>
      </c>
      <c r="H582" t="n">
        <v>71893250</v>
      </c>
      <c r="I582" t="n">
        <v>28043300</v>
      </c>
      <c r="J582" t="n">
        <v>19150000</v>
      </c>
      <c r="K582" t="n">
        <v>0</v>
      </c>
      <c r="L582" t="n">
        <v>-62999950</v>
      </c>
      <c r="M582">
        <f>I582-(H582+J582-K582)- L582</f>
        <v/>
      </c>
      <c r="N582">
        <f>IF(M582=0,"Cuadrado",IF(M582&gt;0,"Faltante","Sobrante"))</f>
        <v/>
      </c>
      <c r="O582" t="inlineStr">
        <is>
          <t>El faltante  de $50 es cruzado con sobrante contabilizado el día 27/02/2026 el cual es reversado por la seccion el día 04/03/2026</t>
        </is>
      </c>
      <c r="P582" t="n">
        <v>79813088</v>
      </c>
    </row>
    <row r="583">
      <c r="A583" t="n">
        <v>678</v>
      </c>
      <c r="B583" t="n">
        <v>5227</v>
      </c>
      <c r="C583" t="inlineStr">
        <is>
          <t>BELLTECH</t>
        </is>
      </c>
      <c r="D583" t="inlineStr">
        <is>
          <t>BELLTECH</t>
        </is>
      </c>
      <c r="E583" s="3" t="n">
        <v>46085</v>
      </c>
      <c r="F583" s="3" t="n">
        <v>46084</v>
      </c>
      <c r="G583" t="inlineStr">
        <is>
          <t>14:26:00</t>
        </is>
      </c>
      <c r="H583" t="n">
        <v>79082350</v>
      </c>
      <c r="I583" t="n">
        <v>86475000</v>
      </c>
      <c r="J583" t="n">
        <v>34900000</v>
      </c>
      <c r="K583" t="n">
        <v>22427350</v>
      </c>
      <c r="M583">
        <f>I583-(H583+J583-K583)- L583</f>
        <v/>
      </c>
      <c r="N583">
        <f>IF(M583=0,"Cuadrado",IF(M583&gt;0,"Faltante","Sobrante"))</f>
        <v/>
      </c>
      <c r="O583" t="inlineStr">
        <is>
          <t>La diferencia es contabilizada por la Gerencia De Autoservicios y Efectivo de manera centralizada a la cuenta de sobrantes 279510020 el 04/03/2026</t>
        </is>
      </c>
      <c r="P583" t="n">
        <v>1102586250</v>
      </c>
    </row>
    <row r="584">
      <c r="A584" t="n">
        <v>692</v>
      </c>
      <c r="B584" t="n">
        <v>1515</v>
      </c>
      <c r="C584" t="inlineStr">
        <is>
          <t>BELLTECH</t>
        </is>
      </c>
      <c r="D584" t="inlineStr">
        <is>
          <t>BELLTECH</t>
        </is>
      </c>
      <c r="E584" s="3" t="n">
        <v>46085</v>
      </c>
      <c r="F584" s="3" t="n">
        <v>46084</v>
      </c>
      <c r="G584" t="inlineStr">
        <is>
          <t>15:37:00</t>
        </is>
      </c>
      <c r="H584" t="n">
        <v>327365550</v>
      </c>
      <c r="I584" t="n">
        <v>200057550</v>
      </c>
      <c r="J584" t="n">
        <v>33500000</v>
      </c>
      <c r="K584" t="n">
        <v>158964850</v>
      </c>
      <c r="M584">
        <f>I584-(H584+J584-K584)- L584</f>
        <v/>
      </c>
      <c r="N584">
        <f>IF(M584=0,"Cuadrado",IF(M584&gt;0,"Faltante","Sobrante"))</f>
        <v/>
      </c>
      <c r="O584" t="inlineStr">
        <is>
          <t>La diferencia es contabilizada por la Gerencia De Autoservicios y Efectivo de manera centralizada a la cuenta de sobrantes 279510020 el 04/03/2026</t>
        </is>
      </c>
      <c r="P584" t="n">
        <v>30840635</v>
      </c>
    </row>
    <row r="585">
      <c r="A585" t="n">
        <v>728</v>
      </c>
      <c r="B585" t="n">
        <v>8586</v>
      </c>
      <c r="C585" t="inlineStr">
        <is>
          <t>BELLTECH</t>
        </is>
      </c>
      <c r="D585" t="inlineStr">
        <is>
          <t>BELLTECH</t>
        </is>
      </c>
      <c r="E585" s="3" t="n">
        <v>46085</v>
      </c>
      <c r="F585" s="3" t="n">
        <v>46084</v>
      </c>
      <c r="G585" t="inlineStr">
        <is>
          <t>11:20:00</t>
        </is>
      </c>
      <c r="H585" t="n">
        <v>124069800</v>
      </c>
      <c r="I585" t="n">
        <v>43355300</v>
      </c>
      <c r="J585" t="n">
        <v>24450000</v>
      </c>
      <c r="K585" t="n">
        <v>103924000</v>
      </c>
      <c r="L585" t="n">
        <v>-1240500</v>
      </c>
      <c r="M585">
        <f>I585-(H585+J585-K585)- L585</f>
        <v/>
      </c>
      <c r="N585">
        <f>IF(M585=0,"Cuadrado",IF(M585&gt;0,"Faltante","Sobrante"))</f>
        <v/>
      </c>
      <c r="O585" t="inlineStr">
        <is>
          <t>Cajero cuadrado, sin observación por parte de la sucursal</t>
        </is>
      </c>
      <c r="P585" t="n">
        <v>1112783690</v>
      </c>
    </row>
    <row r="586">
      <c r="A586" t="n">
        <v>728</v>
      </c>
      <c r="B586" t="n">
        <v>8587</v>
      </c>
      <c r="C586" t="inlineStr">
        <is>
          <t>BELLTECH</t>
        </is>
      </c>
      <c r="D586" t="inlineStr">
        <is>
          <t>BELLTECH</t>
        </is>
      </c>
      <c r="E586" s="3" t="n">
        <v>46085</v>
      </c>
      <c r="F586" s="3" t="n">
        <v>46084</v>
      </c>
      <c r="G586" t="inlineStr">
        <is>
          <t>11:36:00</t>
        </is>
      </c>
      <c r="H586" t="n">
        <v>117107850</v>
      </c>
      <c r="I586" t="n">
        <v>87763850</v>
      </c>
      <c r="J586" t="n">
        <v>4320000</v>
      </c>
      <c r="K586" t="n">
        <v>33684000</v>
      </c>
      <c r="L586" t="n">
        <v>20000</v>
      </c>
      <c r="M586">
        <f>I586-(H586+J586-K586)- L586</f>
        <v/>
      </c>
      <c r="N586">
        <f>IF(M586=0,"Cuadrado",IF(M586&gt;0,"Faltante","Sobrante"))</f>
        <v/>
      </c>
      <c r="O586" t="inlineStr">
        <is>
          <t>Cajero cuadrado, sin observación por parte de la sucursal</t>
        </is>
      </c>
      <c r="P586" t="n">
        <v>1112783690</v>
      </c>
    </row>
    <row r="587">
      <c r="A587" t="n">
        <v>741</v>
      </c>
      <c r="B587" t="n">
        <v>6843</v>
      </c>
      <c r="C587" t="inlineStr">
        <is>
          <t>DIEBOLD</t>
        </is>
      </c>
      <c r="D587" t="inlineStr">
        <is>
          <t>BELLTECH</t>
        </is>
      </c>
      <c r="E587" s="3" t="n">
        <v>46085</v>
      </c>
      <c r="F587" s="3" t="n">
        <v>46084</v>
      </c>
      <c r="G587" t="inlineStr">
        <is>
          <t>14:49:00</t>
        </is>
      </c>
      <c r="H587" t="n">
        <v>159080350</v>
      </c>
      <c r="I587" t="n">
        <v>187116200</v>
      </c>
      <c r="J587" t="n">
        <v>47230000</v>
      </c>
      <c r="K587" t="n">
        <v>58009000</v>
      </c>
      <c r="M587">
        <f>I587-(H587+J587-K587)- L587</f>
        <v/>
      </c>
      <c r="N587">
        <f>IF(M587=0,"Cuadrado",IF(M587&gt;0,"Faltante","Sobrante"))</f>
        <v/>
      </c>
      <c r="O587" t="inlineStr">
        <is>
          <t>REPITIERON ARQUEO</t>
        </is>
      </c>
      <c r="P587" t="n">
        <v>1130637714</v>
      </c>
    </row>
    <row r="588">
      <c r="A588" t="n">
        <v>779</v>
      </c>
      <c r="B588" t="n">
        <v>5013</v>
      </c>
      <c r="C588" t="inlineStr">
        <is>
          <t>BELLTECH</t>
        </is>
      </c>
      <c r="D588" t="inlineStr">
        <is>
          <t>BELLTECH</t>
        </is>
      </c>
      <c r="E588" s="3" t="n">
        <v>46085</v>
      </c>
      <c r="F588" s="3" t="n">
        <v>46084</v>
      </c>
      <c r="G588" t="inlineStr">
        <is>
          <t>10:54:00</t>
        </is>
      </c>
      <c r="H588" t="n">
        <v>44427800</v>
      </c>
      <c r="I588" t="n">
        <v>208299800</v>
      </c>
      <c r="J588" t="n">
        <v>9000000</v>
      </c>
      <c r="K588" t="n">
        <v>51762000</v>
      </c>
      <c r="L588" t="n">
        <v>216761000</v>
      </c>
      <c r="M588">
        <f>I588-(H588+J588-K588)- L588</f>
        <v/>
      </c>
      <c r="N588">
        <f>IF(M588=0,"Cuadrado",IF(M588&gt;0,"Faltante","Sobrante"))</f>
        <v/>
      </c>
      <c r="O588" t="inlineStr">
        <is>
          <t>La diferencia es contabilizada por la Gerencia De Autoservicios y Efectivo de manera centralizada a la cuenta de sobrantes 279510020 el 04/03/2026</t>
        </is>
      </c>
      <c r="P588" t="n">
        <v>1082858126</v>
      </c>
    </row>
    <row r="589">
      <c r="A589" t="n">
        <v>779</v>
      </c>
      <c r="B589" t="n">
        <v>8685</v>
      </c>
      <c r="C589" t="inlineStr">
        <is>
          <t>BELLTECH</t>
        </is>
      </c>
      <c r="D589" t="inlineStr">
        <is>
          <t>BELLTECH</t>
        </is>
      </c>
      <c r="E589" s="3" t="n">
        <v>46085</v>
      </c>
      <c r="F589" s="3" t="n">
        <v>46084</v>
      </c>
      <c r="G589" t="inlineStr">
        <is>
          <t>10:39:00</t>
        </is>
      </c>
      <c r="H589" t="n">
        <v>72923450</v>
      </c>
      <c r="I589" t="n">
        <v>62434550</v>
      </c>
      <c r="J589" t="n">
        <v>6450000</v>
      </c>
      <c r="K589" t="n">
        <v>12427000</v>
      </c>
      <c r="M589">
        <f>I589-(H589+J589-K589)- L589</f>
        <v/>
      </c>
      <c r="N589">
        <f>IF(M589=0,"Cuadrado",IF(M589&gt;0,"Faltante","Sobrante"))</f>
        <v/>
      </c>
      <c r="O589" t="inlineStr">
        <is>
          <t>La diferencia es contabilizada por la Gerencia De Autoservicios y Efectivo de manera centralizada a la cuenta de sobrantes 279510020 el 04/03/2026</t>
        </is>
      </c>
      <c r="P589" t="n">
        <v>1082858126</v>
      </c>
    </row>
    <row r="590">
      <c r="A590" t="n">
        <v>795</v>
      </c>
      <c r="B590" t="n">
        <v>1027</v>
      </c>
      <c r="C590" t="inlineStr">
        <is>
          <t>BELLTECH</t>
        </is>
      </c>
      <c r="D590" t="inlineStr">
        <is>
          <t>BELLTECH</t>
        </is>
      </c>
      <c r="E590" s="3" t="n">
        <v>46085</v>
      </c>
      <c r="F590" s="3" t="n">
        <v>46084</v>
      </c>
      <c r="G590" t="inlineStr">
        <is>
          <t>09:09:00</t>
        </is>
      </c>
      <c r="H590" t="n">
        <v>213479350</v>
      </c>
      <c r="I590" t="n">
        <v>211855750</v>
      </c>
      <c r="J590" t="n">
        <v>5580000</v>
      </c>
      <c r="K590" t="n">
        <v>6230000</v>
      </c>
      <c r="M590">
        <f>I590-(H590+J590-K590)- L590</f>
        <v/>
      </c>
      <c r="N590">
        <f>IF(M590=0,"Cuadrado",IF(M590&gt;0,"Faltante","Sobrante"))</f>
        <v/>
      </c>
      <c r="O590" t="inlineStr">
        <is>
          <t>La diferencia es contabilizada por la Gerencia De Autoservicios y Efectivo de manera centralizada a la cuenta de sobrantes 279510020 el 04/03/2026</t>
        </is>
      </c>
      <c r="P590" t="n">
        <v>91274094</v>
      </c>
    </row>
    <row r="591">
      <c r="A591" t="n">
        <v>849</v>
      </c>
      <c r="B591" t="n">
        <v>9725</v>
      </c>
      <c r="C591" t="inlineStr">
        <is>
          <t>BELLTECH</t>
        </is>
      </c>
      <c r="D591" t="inlineStr">
        <is>
          <t>BELLTECH</t>
        </is>
      </c>
      <c r="E591" s="3" t="n">
        <v>46085</v>
      </c>
      <c r="F591" s="3" t="n">
        <v>46084</v>
      </c>
      <c r="G591" t="inlineStr">
        <is>
          <t>16:33:00</t>
        </is>
      </c>
      <c r="H591" t="n">
        <v>236004250</v>
      </c>
      <c r="I591" t="n">
        <v>371192950</v>
      </c>
      <c r="J591" t="n">
        <v>52030000</v>
      </c>
      <c r="K591" t="n">
        <v>258989300</v>
      </c>
      <c r="L591" t="n">
        <v>342274000</v>
      </c>
      <c r="M591">
        <f>I591-(H591+J591-K591)- L591</f>
        <v/>
      </c>
      <c r="N591">
        <f>IF(M591=0,"Cuadrado",IF(M591&gt;0,"Faltante","Sobrante"))</f>
        <v/>
      </c>
      <c r="O591" t="inlineStr">
        <is>
          <t>La diferencia es contabilizada por la Gerencia De Autoservicios y Efectivo de manera centralizada a la cuenta de sobrantes 279510020 el 04/03/2026</t>
        </is>
      </c>
      <c r="P591" t="n">
        <v>86063461</v>
      </c>
    </row>
    <row r="592">
      <c r="A592" t="n">
        <v>882</v>
      </c>
      <c r="B592" t="n">
        <v>5020</v>
      </c>
      <c r="C592" t="inlineStr">
        <is>
          <t>BELLTECH</t>
        </is>
      </c>
      <c r="D592" t="inlineStr">
        <is>
          <t>DIEBOLD</t>
        </is>
      </c>
      <c r="E592" s="3" t="n">
        <v>46085</v>
      </c>
      <c r="F592" s="3" t="n">
        <v>46084</v>
      </c>
      <c r="G592" t="inlineStr">
        <is>
          <t>10:59:00</t>
        </is>
      </c>
      <c r="H592" t="n">
        <v>188154500</v>
      </c>
      <c r="I592" t="n">
        <v>138132800</v>
      </c>
      <c r="J592" t="n">
        <v>23370000</v>
      </c>
      <c r="K592" t="n">
        <v>75053700</v>
      </c>
      <c r="M592">
        <f>I592-(H592+J592-K592)- L592</f>
        <v/>
      </c>
      <c r="N592">
        <f>IF(M592=0,"Cuadrado",IF(M592&gt;0,"Faltante","Sobrante"))</f>
        <v/>
      </c>
      <c r="O592" t="inlineStr">
        <is>
          <t>La diferencia es contabilizada por la Gerencia De Autoservicios y Efectivo de manera centralizada a la cuenta de faltantes 168710093 el 04/03/2026, esta diferencia ingresa a proceso de investigación en el área para identificar a que corresponde.</t>
        </is>
      </c>
      <c r="P592" t="n">
        <v>33369487</v>
      </c>
    </row>
    <row r="593">
      <c r="A593" t="n">
        <v>927</v>
      </c>
      <c r="B593" t="n">
        <v>5143</v>
      </c>
      <c r="C593" t="inlineStr">
        <is>
          <t>BELLTECH</t>
        </is>
      </c>
      <c r="D593" t="inlineStr">
        <is>
          <t>BELLTECH</t>
        </is>
      </c>
      <c r="E593" s="3" t="n">
        <v>46085</v>
      </c>
      <c r="F593" s="3" t="n">
        <v>46084</v>
      </c>
      <c r="G593" t="inlineStr">
        <is>
          <t>14:44:00</t>
        </is>
      </c>
      <c r="H593" t="n">
        <v>235905950</v>
      </c>
      <c r="I593" t="n">
        <v>118917350</v>
      </c>
      <c r="J593" t="n">
        <v>53080000</v>
      </c>
      <c r="K593" t="n">
        <v>160828000</v>
      </c>
      <c r="M593">
        <f>I593-(H593+J593-K593)- L593</f>
        <v/>
      </c>
      <c r="N593">
        <f>IF(M593=0,"Cuadrado",IF(M593&gt;0,"Faltante","Sobrante"))</f>
        <v/>
      </c>
      <c r="O593" t="inlineStr">
        <is>
          <t>La diferencia es contabilizada por la Gerencia De Autoservicios y Efectivo de manera centralizada a la cuenta de sobrantes 279510020 el 04/03/2026</t>
        </is>
      </c>
      <c r="P593" t="n">
        <v>1124849676</v>
      </c>
    </row>
    <row r="594">
      <c r="A594" t="n">
        <v>937</v>
      </c>
      <c r="B594" t="n">
        <v>5115</v>
      </c>
      <c r="C594" t="inlineStr">
        <is>
          <t>BELLTECH</t>
        </is>
      </c>
      <c r="D594" t="inlineStr">
        <is>
          <t>DIEBOLD</t>
        </is>
      </c>
      <c r="E594" s="3" t="n">
        <v>46085</v>
      </c>
      <c r="F594" s="3" t="n">
        <v>46084</v>
      </c>
      <c r="G594" t="inlineStr">
        <is>
          <t>08:22:00</t>
        </is>
      </c>
      <c r="H594" t="n">
        <v>108987600</v>
      </c>
      <c r="I594" t="n">
        <v>109516500</v>
      </c>
      <c r="J594" t="n">
        <v>2310000</v>
      </c>
      <c r="K594" t="n">
        <v>1750000</v>
      </c>
      <c r="M594">
        <f>I594-(H594+J594-K594)- L594</f>
        <v/>
      </c>
      <c r="N594">
        <f>IF(M594=0,"Cuadrado",IF(M594&gt;0,"Faltante","Sobrante"))</f>
        <v/>
      </c>
      <c r="O594" t="inlineStr">
        <is>
          <t>La diferencia es contabilizada por la Gerencia De Autoservicios y Efectivo de manera centralizada a la cuenta de sobrantes 279510020 el 04/03/2026</t>
        </is>
      </c>
      <c r="P594" t="n">
        <v>1061702364</v>
      </c>
    </row>
    <row r="595">
      <c r="A595" t="n">
        <v>941</v>
      </c>
      <c r="B595" t="n">
        <v>5220</v>
      </c>
      <c r="C595" t="inlineStr">
        <is>
          <t>BELLTECH</t>
        </is>
      </c>
      <c r="D595" t="inlineStr">
        <is>
          <t>BELLTECH</t>
        </is>
      </c>
      <c r="E595" s="3" t="n">
        <v>46085</v>
      </c>
      <c r="F595" s="3" t="n">
        <v>46084</v>
      </c>
      <c r="G595" t="inlineStr">
        <is>
          <t>16:44:00</t>
        </is>
      </c>
      <c r="H595" t="n">
        <v>175224750</v>
      </c>
      <c r="I595" t="n">
        <v>202854800</v>
      </c>
      <c r="J595" t="n">
        <v>15720000</v>
      </c>
      <c r="K595" t="n">
        <v>283115900</v>
      </c>
      <c r="L595" t="n">
        <v>294909000</v>
      </c>
      <c r="M595">
        <f>I595-(H595+J595-K595)- L595</f>
        <v/>
      </c>
      <c r="N595">
        <f>IF(M595=0,"Cuadrado",IF(M595&gt;0,"Faltante","Sobrante"))</f>
        <v/>
      </c>
      <c r="O595" t="inlineStr">
        <is>
          <t>REPITIERON ARQUEO</t>
        </is>
      </c>
      <c r="P595" t="n">
        <v>1075228904</v>
      </c>
    </row>
    <row r="596">
      <c r="A596" t="n">
        <v>946</v>
      </c>
      <c r="B596" t="n">
        <v>5225</v>
      </c>
      <c r="C596" t="inlineStr">
        <is>
          <t>BELLTECH</t>
        </is>
      </c>
      <c r="D596" t="inlineStr">
        <is>
          <t>BELLTECH</t>
        </is>
      </c>
      <c r="E596" s="3" t="n">
        <v>46085</v>
      </c>
      <c r="F596" s="3" t="n">
        <v>46084</v>
      </c>
      <c r="G596" t="inlineStr">
        <is>
          <t>10:48:00</t>
        </is>
      </c>
      <c r="H596" t="n">
        <v>279513950</v>
      </c>
      <c r="I596" t="n">
        <v>285863950</v>
      </c>
      <c r="J596" t="n">
        <v>10920000</v>
      </c>
      <c r="K596" t="n">
        <v>4570000</v>
      </c>
      <c r="M596">
        <f>I596-(H596+J596-K596)- L596</f>
        <v/>
      </c>
      <c r="N596">
        <f>IF(M596=0,"Cuadrado",IF(M596&gt;0,"Faltante","Sobrante"))</f>
        <v/>
      </c>
      <c r="O596" t="inlineStr">
        <is>
          <t>Cajero cuadrado, sin observación por parte de la sucursal</t>
        </is>
      </c>
      <c r="P596" t="n">
        <v>20500181</v>
      </c>
    </row>
    <row r="597">
      <c r="A597" t="n">
        <v>4</v>
      </c>
      <c r="B597" t="n">
        <v>316</v>
      </c>
      <c r="C597" t="inlineStr">
        <is>
          <t>BELLTECH</t>
        </is>
      </c>
      <c r="D597" t="inlineStr">
        <is>
          <t>BELLTECH</t>
        </is>
      </c>
      <c r="E597" s="3" t="n">
        <v>46084</v>
      </c>
      <c r="F597" s="3" t="n">
        <v>46083</v>
      </c>
      <c r="G597" t="inlineStr">
        <is>
          <t>14:01:00</t>
        </is>
      </c>
      <c r="H597" t="n">
        <v>165401700</v>
      </c>
      <c r="I597" t="n">
        <v>152849650</v>
      </c>
      <c r="J597" t="n">
        <v>10330000</v>
      </c>
      <c r="K597" t="n">
        <v>30416000</v>
      </c>
      <c r="L597" t="n">
        <v>7270000</v>
      </c>
      <c r="M597">
        <f>I597-(H597+J597-K597)- L597</f>
        <v/>
      </c>
      <c r="N597">
        <f>IF(M597=0,"Cuadrado",IF(M597&gt;0,"Faltante","Sobrante"))</f>
        <v/>
      </c>
      <c r="O597" t="inlineStr">
        <is>
          <t>ACLARAR DIFERENCIA Y REPETIR EL ARQUEO</t>
        </is>
      </c>
      <c r="P597" t="n">
        <v>71278620</v>
      </c>
    </row>
    <row r="598">
      <c r="A598" t="n">
        <v>4</v>
      </c>
      <c r="B598" t="n">
        <v>8630</v>
      </c>
      <c r="C598" t="inlineStr">
        <is>
          <t>BELLTECH</t>
        </is>
      </c>
      <c r="D598" t="inlineStr">
        <is>
          <t>BELLTECH</t>
        </is>
      </c>
      <c r="E598" s="3" t="n">
        <v>46084</v>
      </c>
      <c r="F598" s="3" t="n">
        <v>46083</v>
      </c>
      <c r="G598" t="inlineStr">
        <is>
          <t>08:57:00</t>
        </is>
      </c>
      <c r="H598" t="n">
        <v>340986350</v>
      </c>
      <c r="I598" t="n">
        <v>309933350</v>
      </c>
      <c r="J598" t="n">
        <v>1640000</v>
      </c>
      <c r="K598" t="n">
        <v>32693000</v>
      </c>
      <c r="M598">
        <f>I598-(H598+J598-K598)- L598</f>
        <v/>
      </c>
      <c r="N598">
        <f>IF(M598=0,"Cuadrado",IF(M598&gt;0,"Faltante","Sobrante"))</f>
        <v/>
      </c>
      <c r="O598" t="inlineStr">
        <is>
          <t>Cajero cuadrado, sin observación por parte de la sucursal</t>
        </is>
      </c>
      <c r="P598" t="n">
        <v>71278620</v>
      </c>
    </row>
    <row r="599">
      <c r="A599" t="n">
        <v>4</v>
      </c>
      <c r="B599" t="n">
        <v>8631</v>
      </c>
      <c r="C599" t="inlineStr">
        <is>
          <t>BELLTECH</t>
        </is>
      </c>
      <c r="D599" t="inlineStr">
        <is>
          <t>BELLTECH</t>
        </is>
      </c>
      <c r="E599" s="3" t="n">
        <v>46084</v>
      </c>
      <c r="F599" s="3" t="n">
        <v>46083</v>
      </c>
      <c r="G599" t="inlineStr">
        <is>
          <t>11:06:00</t>
        </is>
      </c>
      <c r="H599" t="n">
        <v>212123550</v>
      </c>
      <c r="I599" t="n">
        <v>170623550</v>
      </c>
      <c r="J599" t="n">
        <v>15550000</v>
      </c>
      <c r="K599" t="n">
        <v>57050000</v>
      </c>
      <c r="M599">
        <f>I599-(H599+J599-K599)- L599</f>
        <v/>
      </c>
      <c r="N599">
        <f>IF(M599=0,"Cuadrado",IF(M599&gt;0,"Faltante","Sobrante"))</f>
        <v/>
      </c>
      <c r="O599" t="inlineStr">
        <is>
          <t>Cajero cuadrado, sin observación por parte de la sucursal</t>
        </is>
      </c>
      <c r="P599" t="n">
        <v>71278620</v>
      </c>
    </row>
    <row r="600">
      <c r="A600" t="n">
        <v>5</v>
      </c>
      <c r="B600" t="n">
        <v>4866</v>
      </c>
      <c r="C600" t="inlineStr">
        <is>
          <t>DIEBOLD</t>
        </is>
      </c>
      <c r="D600" t="inlineStr">
        <is>
          <t>BELLTECH</t>
        </is>
      </c>
      <c r="E600" s="3" t="n">
        <v>46084</v>
      </c>
      <c r="F600" s="3" t="n">
        <v>46083</v>
      </c>
      <c r="G600" t="inlineStr">
        <is>
          <t>15:26:24</t>
        </is>
      </c>
      <c r="H600" t="n">
        <v>204655550</v>
      </c>
      <c r="I600" t="n">
        <v>144824400</v>
      </c>
      <c r="J600" t="n">
        <v>9970000</v>
      </c>
      <c r="K600" t="n">
        <v>69703150</v>
      </c>
      <c r="M600">
        <f>I600-(H600+J600-K600)- L600</f>
        <v/>
      </c>
      <c r="N600">
        <f>IF(M600=0,"Cuadrado",IF(M600&gt;0,"Faltante","Sobrante"))</f>
        <v/>
      </c>
      <c r="O600" t="inlineStr">
        <is>
          <t>La diferencia es contabilizada por la Gerencia De Autoservicios y Efectivo de manera centralizada a la cuenta de sobrantes 279510020 el 03/03/2026</t>
        </is>
      </c>
      <c r="P600" t="n">
        <v>43824478</v>
      </c>
    </row>
    <row r="601">
      <c r="A601" t="n">
        <v>7</v>
      </c>
      <c r="B601" t="n">
        <v>5059</v>
      </c>
      <c r="C601" t="inlineStr">
        <is>
          <t>BELLTECH</t>
        </is>
      </c>
      <c r="D601" t="inlineStr">
        <is>
          <t>BELLTECH</t>
        </is>
      </c>
      <c r="E601" s="3" t="n">
        <v>46084</v>
      </c>
      <c r="F601" s="3" t="n">
        <v>46083</v>
      </c>
      <c r="G601" t="inlineStr">
        <is>
          <t>08:46:00</t>
        </is>
      </c>
      <c r="H601" t="n">
        <v>198375050</v>
      </c>
      <c r="I601" t="n">
        <v>200485150</v>
      </c>
      <c r="J601" t="n">
        <v>7370000</v>
      </c>
      <c r="K601" t="n">
        <v>0</v>
      </c>
      <c r="M601">
        <f>I601-(H601+J601-K601)- L601</f>
        <v/>
      </c>
      <c r="N601">
        <f>IF(M601=0,"Cuadrado",IF(M601&gt;0,"Faltante","Sobrante"))</f>
        <v/>
      </c>
      <c r="O601" t="inlineStr">
        <is>
          <t>La diferencia es contabilizada por la Gerencia De Autoservicios y Efectivo de manera centralizada a la cuenta de sobrantes 279510020 el 03/03/2026</t>
        </is>
      </c>
      <c r="P601" t="n">
        <v>1017155472</v>
      </c>
    </row>
    <row r="602">
      <c r="A602" t="n">
        <v>7</v>
      </c>
      <c r="B602" t="n">
        <v>7812</v>
      </c>
      <c r="C602" t="inlineStr">
        <is>
          <t>DIEBOLD</t>
        </is>
      </c>
      <c r="D602" t="inlineStr">
        <is>
          <t>BELLTECH</t>
        </is>
      </c>
      <c r="E602" s="3" t="n">
        <v>46084</v>
      </c>
      <c r="F602" s="3" t="n">
        <v>46083</v>
      </c>
      <c r="G602" t="inlineStr">
        <is>
          <t>09:25:00</t>
        </is>
      </c>
      <c r="H602" t="n">
        <v>69564800</v>
      </c>
      <c r="I602" t="n">
        <v>77472800</v>
      </c>
      <c r="J602" t="n">
        <v>4500000</v>
      </c>
      <c r="K602" t="n">
        <v>4955000</v>
      </c>
      <c r="L602" t="n">
        <v>8363000</v>
      </c>
      <c r="M602">
        <f>I602-(H602+J602-K602)- L602</f>
        <v/>
      </c>
      <c r="N602">
        <f>IF(M602=0,"Cuadrado",IF(M602&gt;0,"Faltante","Sobrante"))</f>
        <v/>
      </c>
      <c r="O602" t="inlineStr">
        <is>
          <t>Cajero cuadrado, sin observación por parte de la sucursal</t>
        </is>
      </c>
      <c r="P602" t="n">
        <v>1017155472</v>
      </c>
    </row>
    <row r="603">
      <c r="A603" t="n">
        <v>15</v>
      </c>
      <c r="B603" t="n">
        <v>8578</v>
      </c>
      <c r="C603" t="inlineStr">
        <is>
          <t>BELLTECH</t>
        </is>
      </c>
      <c r="D603" t="inlineStr">
        <is>
          <t>BELLTECH</t>
        </is>
      </c>
      <c r="E603" s="3" t="n">
        <v>46084</v>
      </c>
      <c r="F603" s="3" t="n">
        <v>46083</v>
      </c>
      <c r="G603" t="inlineStr">
        <is>
          <t>15:28:00</t>
        </is>
      </c>
      <c r="H603" t="n">
        <v>37305450</v>
      </c>
      <c r="I603" t="n">
        <v>53765450</v>
      </c>
      <c r="J603" t="n">
        <v>45750000</v>
      </c>
      <c r="K603" t="n">
        <v>28525000</v>
      </c>
      <c r="M603">
        <f>I603-(H603+J603-K603)- L603</f>
        <v/>
      </c>
      <c r="N603">
        <f>IF(M603=0,"Cuadrado",IF(M603&gt;0,"Faltante","Sobrante"))</f>
        <v/>
      </c>
      <c r="O603" t="inlineStr">
        <is>
          <t>La diferencia es contabilizada por la Gerencia De Autoservicios y Efectivo de manera centralizada a la cuenta de sobrantes 279510020 el 03/03/2026</t>
        </is>
      </c>
      <c r="P603" t="n">
        <v>1037325417</v>
      </c>
    </row>
    <row r="604">
      <c r="A604" t="n">
        <v>33</v>
      </c>
      <c r="B604" t="n">
        <v>8861</v>
      </c>
      <c r="C604" t="inlineStr">
        <is>
          <t>BELLTECH</t>
        </is>
      </c>
      <c r="D604" t="inlineStr">
        <is>
          <t>BELLTECH</t>
        </is>
      </c>
      <c r="E604" s="3" t="n">
        <v>46084</v>
      </c>
      <c r="F604" s="3" t="n">
        <v>46083</v>
      </c>
      <c r="G604" t="inlineStr">
        <is>
          <t>11:23:00</t>
        </is>
      </c>
      <c r="H604" t="n">
        <v>134901800</v>
      </c>
      <c r="I604" t="n">
        <v>168074400</v>
      </c>
      <c r="J604" t="n">
        <v>23520000</v>
      </c>
      <c r="K604" t="n">
        <v>11607400</v>
      </c>
      <c r="M604">
        <f>I604-(H604+J604-K604)- L604</f>
        <v/>
      </c>
      <c r="N604">
        <f>IF(M604=0,"Cuadrado",IF(M604&gt;0,"Faltante","Sobrante"))</f>
        <v/>
      </c>
      <c r="O604" t="inlineStr">
        <is>
          <t>La diferencia es contabilizada por la Gerencia De Autoservicios y Efectivo de manera centralizada a la cuenta de faltantes 168710093 el 03/03/2026, esta diferencia ingresa a proceso de investigación en el área para identificar a que corresponde.</t>
        </is>
      </c>
      <c r="P604" t="n">
        <v>79659379</v>
      </c>
    </row>
    <row r="605">
      <c r="A605" t="n">
        <v>54</v>
      </c>
      <c r="B605" t="n">
        <v>6204</v>
      </c>
      <c r="C605" t="inlineStr">
        <is>
          <t>BELLTECH</t>
        </is>
      </c>
      <c r="D605" t="inlineStr">
        <is>
          <t>BELLTECH</t>
        </is>
      </c>
      <c r="E605" s="3" t="n">
        <v>46084</v>
      </c>
      <c r="F605" s="3" t="n">
        <v>46083</v>
      </c>
      <c r="G605" t="inlineStr">
        <is>
          <t>09:43:00</t>
        </is>
      </c>
      <c r="H605" t="n">
        <v>240573750</v>
      </c>
      <c r="I605" t="n">
        <v>241908750</v>
      </c>
      <c r="J605" t="n">
        <v>3880000</v>
      </c>
      <c r="K605" t="n">
        <v>0</v>
      </c>
      <c r="M605">
        <f>I605-(H605+J605-K605)- L605</f>
        <v/>
      </c>
      <c r="N605">
        <f>IF(M605=0,"Cuadrado",IF(M605&gt;0,"Faltante","Sobrante"))</f>
        <v/>
      </c>
      <c r="O605" t="inlineStr">
        <is>
          <t>La diferencia es contabilizada por la Gerencia De Autoservicios y Efectivo de manera centralizada a la cuenta de sobrantes 279510020 el 03/03/2026</t>
        </is>
      </c>
      <c r="P605" t="n">
        <v>1019068822</v>
      </c>
    </row>
    <row r="606">
      <c r="A606" t="n">
        <v>60</v>
      </c>
      <c r="B606" t="n">
        <v>8729</v>
      </c>
      <c r="C606" t="inlineStr">
        <is>
          <t>BELLTECH</t>
        </is>
      </c>
      <c r="D606" t="inlineStr">
        <is>
          <t>BELLTECH</t>
        </is>
      </c>
      <c r="E606" s="3" t="n">
        <v>46084</v>
      </c>
      <c r="F606" s="3" t="n">
        <v>46083</v>
      </c>
      <c r="G606" t="inlineStr">
        <is>
          <t>10:41:00</t>
        </is>
      </c>
      <c r="H606" t="n">
        <v>43414250</v>
      </c>
      <c r="I606" t="n">
        <v>32468250</v>
      </c>
      <c r="J606" t="n">
        <v>18200000</v>
      </c>
      <c r="K606" t="n">
        <v>29196000</v>
      </c>
      <c r="L606" t="n">
        <v>50000</v>
      </c>
      <c r="M606">
        <f>I606-(H606+J606-K606)- L606</f>
        <v/>
      </c>
      <c r="N606">
        <f>IF(M606=0,"Cuadrado",IF(M606&gt;0,"Faltante","Sobrante"))</f>
        <v/>
      </c>
      <c r="O606" t="inlineStr">
        <is>
          <t>Cajero cuadrado, sin observación por parte de la sucursal</t>
        </is>
      </c>
      <c r="P606" t="n">
        <v>14697128</v>
      </c>
    </row>
    <row r="607">
      <c r="A607" t="n">
        <v>61</v>
      </c>
      <c r="B607" t="n">
        <v>788</v>
      </c>
      <c r="C607" t="inlineStr">
        <is>
          <t>BELLTECH</t>
        </is>
      </c>
      <c r="D607" t="inlineStr">
        <is>
          <t>DIEBOLD</t>
        </is>
      </c>
      <c r="E607" s="3" t="n">
        <v>46084</v>
      </c>
      <c r="F607" s="3" t="n">
        <v>46083</v>
      </c>
      <c r="G607" t="inlineStr">
        <is>
          <t>09:45:00</t>
        </is>
      </c>
      <c r="H607" t="n">
        <v>149527500</v>
      </c>
      <c r="I607" t="n">
        <v>155897500</v>
      </c>
      <c r="J607" t="n">
        <v>16070000</v>
      </c>
      <c r="K607" t="n">
        <v>9900000</v>
      </c>
      <c r="M607">
        <f>I607-(H607+J607-K607)- L607</f>
        <v/>
      </c>
      <c r="N607">
        <f>IF(M607=0,"Cuadrado",IF(M607&gt;0,"Faltante","Sobrante"))</f>
        <v/>
      </c>
      <c r="O607" t="inlineStr">
        <is>
          <t>REPITIERON ARQUEO</t>
        </is>
      </c>
      <c r="P607" t="n">
        <v>16497924</v>
      </c>
    </row>
    <row r="608">
      <c r="A608" t="n">
        <v>77</v>
      </c>
      <c r="B608" t="n">
        <v>5204</v>
      </c>
      <c r="C608" t="inlineStr">
        <is>
          <t>BELLTECH</t>
        </is>
      </c>
      <c r="D608" t="inlineStr">
        <is>
          <t>DIEBOLD</t>
        </is>
      </c>
      <c r="E608" s="3" t="n">
        <v>46084</v>
      </c>
      <c r="F608" s="3" t="n">
        <v>46080</v>
      </c>
      <c r="G608" t="inlineStr">
        <is>
          <t>10:25:00</t>
        </is>
      </c>
      <c r="H608" t="n">
        <v>125379500</v>
      </c>
      <c r="I608" t="n">
        <v>138577800</v>
      </c>
      <c r="J608" t="n">
        <v>31520000</v>
      </c>
      <c r="K608" t="n">
        <v>18321700</v>
      </c>
      <c r="M608">
        <f>I608-(H608+J608-K608)- L608</f>
        <v/>
      </c>
      <c r="N608">
        <f>IF(M608=0,"Cuadrado",IF(M608&gt;0,"Faltante","Sobrante"))</f>
        <v/>
      </c>
      <c r="O608" t="inlineStr">
        <is>
          <t>Cajero cuadrado, sin observación por parte de la sucursal</t>
        </is>
      </c>
      <c r="P608" t="n">
        <v>94493031</v>
      </c>
    </row>
    <row r="609">
      <c r="A609" t="n">
        <v>115</v>
      </c>
      <c r="B609" t="n">
        <v>5080</v>
      </c>
      <c r="C609" t="inlineStr">
        <is>
          <t>BELLTECH</t>
        </is>
      </c>
      <c r="D609" t="inlineStr">
        <is>
          <t>BELLTECH</t>
        </is>
      </c>
      <c r="E609" s="3" t="n">
        <v>46084</v>
      </c>
      <c r="F609" s="3" t="n">
        <v>46083</v>
      </c>
      <c r="G609" t="inlineStr">
        <is>
          <t>09:20:00</t>
        </is>
      </c>
      <c r="H609" t="n">
        <v>117021700</v>
      </c>
      <c r="I609" t="n">
        <v>127700600</v>
      </c>
      <c r="J609" t="n">
        <v>13120000</v>
      </c>
      <c r="K609" t="n">
        <v>2441000</v>
      </c>
      <c r="M609">
        <f>I609-(H609+J609-K609)- L609</f>
        <v/>
      </c>
      <c r="N609">
        <f>IF(M609=0,"Cuadrado",IF(M609&gt;0,"Faltante","Sobrante"))</f>
        <v/>
      </c>
      <c r="O609" t="inlineStr">
        <is>
          <t>La diferencia es contabilizada por la Gerencia De Autoservicios y Efectivo de manera centralizada a la cuenta de sobrantes 279510020 el 03/03/2026</t>
        </is>
      </c>
      <c r="P609" t="n">
        <v>42158306</v>
      </c>
    </row>
    <row r="610">
      <c r="A610" t="n">
        <v>185</v>
      </c>
      <c r="B610" t="n">
        <v>2208</v>
      </c>
      <c r="C610" t="inlineStr">
        <is>
          <t>DIEBOLD</t>
        </is>
      </c>
      <c r="D610" t="inlineStr">
        <is>
          <t>BELLTECH</t>
        </is>
      </c>
      <c r="E610" s="3" t="n">
        <v>46084</v>
      </c>
      <c r="F610" s="3" t="n">
        <v>46083</v>
      </c>
      <c r="G610" t="inlineStr">
        <is>
          <t>10:16:00</t>
        </is>
      </c>
      <c r="H610" t="n">
        <v>72642500</v>
      </c>
      <c r="I610" t="n">
        <v>81285500</v>
      </c>
      <c r="J610" t="n">
        <v>60000</v>
      </c>
      <c r="K610" t="n">
        <v>1765000</v>
      </c>
      <c r="L610" t="n">
        <v>8823300</v>
      </c>
      <c r="M610">
        <f>I610-(H610+J610-K610)- L610</f>
        <v/>
      </c>
      <c r="N610">
        <f>IF(M610=0,"Cuadrado",IF(M610&gt;0,"Faltante","Sobrante"))</f>
        <v/>
      </c>
      <c r="O610" t="inlineStr">
        <is>
          <t>REPITIERON ARQUEO</t>
        </is>
      </c>
      <c r="P610" t="n">
        <v>66784636</v>
      </c>
    </row>
    <row r="611">
      <c r="A611" t="n">
        <v>191</v>
      </c>
      <c r="B611" t="n">
        <v>5112</v>
      </c>
      <c r="C611" t="inlineStr">
        <is>
          <t>BELLTECH</t>
        </is>
      </c>
      <c r="D611" t="inlineStr">
        <is>
          <t>BELLTECH</t>
        </is>
      </c>
      <c r="E611" s="3" t="n">
        <v>46084</v>
      </c>
      <c r="F611" s="3" t="n">
        <v>46081</v>
      </c>
      <c r="G611" t="inlineStr">
        <is>
          <t>09:41:00</t>
        </is>
      </c>
      <c r="H611" t="n">
        <v>293735350</v>
      </c>
      <c r="I611" t="n">
        <v>293735350</v>
      </c>
      <c r="J611" t="n">
        <v>0</v>
      </c>
      <c r="K611" t="n">
        <v>0</v>
      </c>
      <c r="M611">
        <f>I611-(H611+J611-K611)- L611</f>
        <v/>
      </c>
      <c r="N611">
        <f>IF(M611=0,"Cuadrado",IF(M611&gt;0,"Faltante","Sobrante"))</f>
        <v/>
      </c>
      <c r="O611" t="inlineStr">
        <is>
          <t>Cajero cuadrado, sin observación por parte de la sucursal</t>
        </is>
      </c>
      <c r="P611" t="n">
        <v>80812756</v>
      </c>
    </row>
    <row r="612">
      <c r="A612" t="n">
        <v>221</v>
      </c>
      <c r="B612" t="n">
        <v>5221</v>
      </c>
      <c r="C612" t="inlineStr">
        <is>
          <t>BELLTECH</t>
        </is>
      </c>
      <c r="D612" t="inlineStr">
        <is>
          <t>BELLTECH</t>
        </is>
      </c>
      <c r="E612" s="3" t="n">
        <v>46084</v>
      </c>
      <c r="F612" s="3" t="n">
        <v>46081</v>
      </c>
      <c r="G612" t="inlineStr">
        <is>
          <t>11:48:00</t>
        </is>
      </c>
      <c r="H612" t="n">
        <v>110352600</v>
      </c>
      <c r="I612" t="n">
        <v>174772600</v>
      </c>
      <c r="J612" t="n">
        <v>64420000</v>
      </c>
      <c r="K612" t="n">
        <v>0</v>
      </c>
      <c r="M612">
        <f>I612-(H612+J612-K612)- L612</f>
        <v/>
      </c>
      <c r="N612">
        <f>IF(M612=0,"Cuadrado",IF(M612&gt;0,"Faltante","Sobrante"))</f>
        <v/>
      </c>
      <c r="O612" t="inlineStr">
        <is>
          <t>Cajero cuadrado, sin observación por parte de la sucursal</t>
        </is>
      </c>
      <c r="P612" t="n">
        <v>52833254</v>
      </c>
    </row>
    <row r="613">
      <c r="A613" t="n">
        <v>231</v>
      </c>
      <c r="B613" t="n">
        <v>6243</v>
      </c>
      <c r="C613" t="inlineStr">
        <is>
          <t>BELLTECH</t>
        </is>
      </c>
      <c r="D613" t="inlineStr">
        <is>
          <t>BELLTECH</t>
        </is>
      </c>
      <c r="E613" s="3" t="n">
        <v>46084</v>
      </c>
      <c r="F613" s="3" t="n">
        <v>46083</v>
      </c>
      <c r="G613" t="inlineStr">
        <is>
          <t>09:06:00</t>
        </is>
      </c>
      <c r="H613" t="n">
        <v>140183150</v>
      </c>
      <c r="I613" t="n">
        <v>138868150</v>
      </c>
      <c r="J613" t="n">
        <v>0</v>
      </c>
      <c r="K613" t="n">
        <v>0</v>
      </c>
      <c r="M613">
        <f>I613-(H613+J613-K613)- L613</f>
        <v/>
      </c>
      <c r="N613">
        <f>IF(M613=0,"Cuadrado",IF(M613&gt;0,"Faltante","Sobrante"))</f>
        <v/>
      </c>
      <c r="O613" t="inlineStr">
        <is>
          <t>La diferencia es contabilizada por la Gerencia De Autoservicios y Efectivo de manera centralizada a la cuenta de sobrantes 279510020 el 03/03/2026</t>
        </is>
      </c>
      <c r="P613" t="n">
        <v>52979634</v>
      </c>
    </row>
    <row r="614">
      <c r="A614" t="n">
        <v>236</v>
      </c>
      <c r="B614" t="n">
        <v>8497</v>
      </c>
      <c r="C614" t="inlineStr">
        <is>
          <t>BELLTECH</t>
        </is>
      </c>
      <c r="D614" t="inlineStr">
        <is>
          <t>BELLTECH</t>
        </is>
      </c>
      <c r="E614" s="3" t="n">
        <v>46084</v>
      </c>
      <c r="F614" s="3" t="n">
        <v>46083</v>
      </c>
      <c r="G614" t="inlineStr">
        <is>
          <t>11:23:00</t>
        </is>
      </c>
      <c r="H614" t="n">
        <v>91447850</v>
      </c>
      <c r="I614" t="n">
        <v>328503750</v>
      </c>
      <c r="J614" t="n">
        <v>25800000</v>
      </c>
      <c r="K614" t="n">
        <v>67128000</v>
      </c>
      <c r="L614" t="n">
        <v>281748000</v>
      </c>
      <c r="M614">
        <f>I614-(H614+J614-K614)- L614</f>
        <v/>
      </c>
      <c r="N614">
        <f>IF(M614=0,"Cuadrado",IF(M614&gt;0,"Faltante","Sobrante"))</f>
        <v/>
      </c>
      <c r="O614" t="inlineStr">
        <is>
          <t>La diferencia es contabilizada por la Gerencia De Autoservicios y Efectivo de manera centralizada a la cuenta de sobrantes 279510020 el 03/03/2026</t>
        </is>
      </c>
      <c r="P614" t="n">
        <v>71369714</v>
      </c>
    </row>
    <row r="615">
      <c r="A615" t="n">
        <v>261</v>
      </c>
      <c r="B615" t="n">
        <v>5048</v>
      </c>
      <c r="C615" t="inlineStr">
        <is>
          <t>BELLTECH</t>
        </is>
      </c>
      <c r="D615" t="inlineStr">
        <is>
          <t>BELLTECH</t>
        </is>
      </c>
      <c r="E615" s="3" t="n">
        <v>46084</v>
      </c>
      <c r="F615" s="3" t="n">
        <v>46083</v>
      </c>
      <c r="G615" t="inlineStr">
        <is>
          <t>10:53:00</t>
        </is>
      </c>
      <c r="H615" t="n">
        <v>289683850</v>
      </c>
      <c r="I615" t="n">
        <v>234003350</v>
      </c>
      <c r="J615" t="n">
        <v>12930000</v>
      </c>
      <c r="K615" t="n">
        <v>54614950</v>
      </c>
      <c r="M615">
        <f>I615-(H615+J615-K615)- L615</f>
        <v/>
      </c>
      <c r="N615">
        <f>IF(M615=0,"Cuadrado",IF(M615&gt;0,"Faltante","Sobrante"))</f>
        <v/>
      </c>
      <c r="O615" t="inlineStr">
        <is>
          <t>REPITIERON ARQUEO</t>
        </is>
      </c>
      <c r="P615" t="n">
        <v>34327627</v>
      </c>
    </row>
    <row r="616">
      <c r="A616" t="n">
        <v>262</v>
      </c>
      <c r="B616" t="n">
        <v>5153</v>
      </c>
      <c r="C616" t="inlineStr">
        <is>
          <t>BELLTECH</t>
        </is>
      </c>
      <c r="D616" t="inlineStr">
        <is>
          <t>BELLTECH</t>
        </is>
      </c>
      <c r="E616" s="3" t="n">
        <v>46084</v>
      </c>
      <c r="F616" s="3" t="n">
        <v>46083</v>
      </c>
      <c r="G616" t="inlineStr">
        <is>
          <t>10:04:00</t>
        </is>
      </c>
      <c r="H616" t="n">
        <v>41691750</v>
      </c>
      <c r="I616" t="n">
        <v>75511750</v>
      </c>
      <c r="J616" t="n">
        <v>35520000</v>
      </c>
      <c r="K616" t="n">
        <v>1700000</v>
      </c>
      <c r="M616">
        <f>I616-(H616+J616-K616)- L616</f>
        <v/>
      </c>
      <c r="N616">
        <f>IF(M616=0,"Cuadrado",IF(M616&gt;0,"Faltante","Sobrante"))</f>
        <v/>
      </c>
      <c r="O616" t="inlineStr">
        <is>
          <t>Cajero cuadrado, sin observación por parte de la sucursal</t>
        </is>
      </c>
      <c r="P616" t="n">
        <v>1052378530</v>
      </c>
    </row>
    <row r="617">
      <c r="A617" t="n">
        <v>264</v>
      </c>
      <c r="B617" t="n">
        <v>9906</v>
      </c>
      <c r="C617" t="inlineStr">
        <is>
          <t>BELLTECH</t>
        </is>
      </c>
      <c r="D617" t="inlineStr">
        <is>
          <t>BELLTECH</t>
        </is>
      </c>
      <c r="E617" s="3" t="n">
        <v>46084</v>
      </c>
      <c r="F617" s="3" t="n">
        <v>46083</v>
      </c>
      <c r="G617" t="inlineStr">
        <is>
          <t>10:18:00</t>
        </is>
      </c>
      <c r="H617" t="n">
        <v>61182800</v>
      </c>
      <c r="I617" t="n">
        <v>63445750</v>
      </c>
      <c r="J617" t="n">
        <v>23250000</v>
      </c>
      <c r="K617" t="n">
        <v>20837000</v>
      </c>
      <c r="M617">
        <f>I617-(H617+J617-K617)- L617</f>
        <v/>
      </c>
      <c r="N617">
        <f>IF(M617=0,"Cuadrado",IF(M617&gt;0,"Faltante","Sobrante"))</f>
        <v/>
      </c>
      <c r="O617" t="inlineStr">
        <is>
          <t>La diferencia es contabilizada por la Gerencia De Autoservicios y Efectivo de manera centralizada a la cuenta de sobrantes 279510020 el 03/03/2026</t>
        </is>
      </c>
      <c r="P617" t="n">
        <v>1069722520</v>
      </c>
    </row>
    <row r="618">
      <c r="A618" t="n">
        <v>291</v>
      </c>
      <c r="B618" t="n">
        <v>5114</v>
      </c>
      <c r="C618" t="inlineStr">
        <is>
          <t>BELLTECH</t>
        </is>
      </c>
      <c r="D618" t="inlineStr">
        <is>
          <t>BELLTECH</t>
        </is>
      </c>
      <c r="E618" s="3" t="n">
        <v>46084</v>
      </c>
      <c r="F618" s="3" t="n">
        <v>46080</v>
      </c>
      <c r="G618" t="inlineStr">
        <is>
          <t>10:44:00</t>
        </is>
      </c>
      <c r="H618" t="n">
        <v>129953250</v>
      </c>
      <c r="I618" t="n">
        <v>145821250</v>
      </c>
      <c r="J618" t="n">
        <v>29550000</v>
      </c>
      <c r="K618" t="n">
        <v>13682000</v>
      </c>
      <c r="M618">
        <f>I618-(H618+J618-K618)- L618</f>
        <v/>
      </c>
      <c r="N618">
        <f>IF(M618=0,"Cuadrado",IF(M618&gt;0,"Faltante","Sobrante"))</f>
        <v/>
      </c>
      <c r="O618" t="inlineStr">
        <is>
          <t>Cajero cuadrado, sin observación por parte de la sucursal</t>
        </is>
      </c>
      <c r="P618" t="n">
        <v>1095930956</v>
      </c>
    </row>
    <row r="619">
      <c r="A619" t="n">
        <v>291</v>
      </c>
      <c r="B619" t="n">
        <v>5114</v>
      </c>
      <c r="C619" t="inlineStr">
        <is>
          <t>BELLTECH</t>
        </is>
      </c>
      <c r="D619" t="inlineStr">
        <is>
          <t>BELLTECH</t>
        </is>
      </c>
      <c r="E619" s="3" t="n">
        <v>46084</v>
      </c>
      <c r="F619" s="3" t="n">
        <v>46083</v>
      </c>
      <c r="G619" t="inlineStr">
        <is>
          <t>09:32:00</t>
        </is>
      </c>
      <c r="H619" t="n">
        <v>201253250</v>
      </c>
      <c r="I619" t="n">
        <v>207333250</v>
      </c>
      <c r="J619" t="n">
        <v>17450000</v>
      </c>
      <c r="K619" t="n">
        <v>11190000</v>
      </c>
      <c r="M619">
        <f>I619-(H619+J619-K619)- L619</f>
        <v/>
      </c>
      <c r="N619">
        <f>IF(M619=0,"Cuadrado",IF(M619&gt;0,"Faltante","Sobrante"))</f>
        <v/>
      </c>
      <c r="O619" t="inlineStr">
        <is>
          <t>La diferencia es contabilizada por la Gerencia De Autoservicios y Efectivo de manera centralizada a la cuenta de sobrantes 279510020 el 03/03/2026</t>
        </is>
      </c>
      <c r="P619" t="n">
        <v>1095930956</v>
      </c>
    </row>
    <row r="620">
      <c r="A620" t="n">
        <v>318</v>
      </c>
      <c r="B620" t="n">
        <v>5136</v>
      </c>
      <c r="C620" t="inlineStr">
        <is>
          <t>BELLTECH</t>
        </is>
      </c>
      <c r="D620" t="inlineStr">
        <is>
          <t>DIEBOLD</t>
        </is>
      </c>
      <c r="E620" s="3" t="n">
        <v>46084</v>
      </c>
      <c r="F620" s="3" t="n">
        <v>46083</v>
      </c>
      <c r="G620" t="inlineStr">
        <is>
          <t>08:41:00</t>
        </is>
      </c>
      <c r="H620" t="n">
        <v>107378550</v>
      </c>
      <c r="I620" t="n">
        <v>98473550</v>
      </c>
      <c r="J620" t="n">
        <v>2870000</v>
      </c>
      <c r="K620" t="n">
        <v>11300000</v>
      </c>
      <c r="M620">
        <f>I620-(H620+J620-K620)- L620</f>
        <v/>
      </c>
      <c r="N620">
        <f>IF(M620=0,"Cuadrado",IF(M620&gt;0,"Faltante","Sobrante"))</f>
        <v/>
      </c>
      <c r="O620" t="inlineStr">
        <is>
          <t>La diferencia es contabilizada por la Gerencia De Autoservicios y Efectivo de manera centralizada a la cuenta de sobrantes 279510020 el 03/03/2026</t>
        </is>
      </c>
      <c r="P620" t="n">
        <v>1065862494</v>
      </c>
    </row>
    <row r="621">
      <c r="A621" t="n">
        <v>318</v>
      </c>
      <c r="B621" t="n">
        <v>7680</v>
      </c>
      <c r="C621" t="inlineStr">
        <is>
          <t>BELLTECH</t>
        </is>
      </c>
      <c r="D621" t="inlineStr">
        <is>
          <t>BELLTECH</t>
        </is>
      </c>
      <c r="E621" s="3" t="n">
        <v>46084</v>
      </c>
      <c r="F621" s="3" t="n">
        <v>46083</v>
      </c>
      <c r="G621" t="inlineStr">
        <is>
          <t>09:05:00</t>
        </is>
      </c>
      <c r="H621" t="n">
        <v>77044000</v>
      </c>
      <c r="I621" t="n">
        <v>69364000</v>
      </c>
      <c r="J621" t="n">
        <v>450000</v>
      </c>
      <c r="K621" t="n">
        <v>6400000</v>
      </c>
      <c r="M621">
        <f>I621-(H621+J621-K621)- L621</f>
        <v/>
      </c>
      <c r="N621">
        <f>IF(M621=0,"Cuadrado",IF(M621&gt;0,"Faltante","Sobrante"))</f>
        <v/>
      </c>
      <c r="O621" t="inlineStr">
        <is>
          <t>La diferencia es contabilizada por la Gerencia De Autoservicios y Efectivo de manera centralizada a la cuenta de sobrantes 279510020 el 03/03/2026</t>
        </is>
      </c>
      <c r="P621" t="n">
        <v>1065862494</v>
      </c>
    </row>
    <row r="622">
      <c r="A622" t="n">
        <v>322</v>
      </c>
      <c r="B622" t="n">
        <v>2444</v>
      </c>
      <c r="C622" t="inlineStr">
        <is>
          <t>BELLTECH</t>
        </is>
      </c>
      <c r="D622" t="inlineStr">
        <is>
          <t>BELLTECH</t>
        </is>
      </c>
      <c r="E622" s="3" t="n">
        <v>46084</v>
      </c>
      <c r="F622" s="3" t="n">
        <v>46083</v>
      </c>
      <c r="G622" t="inlineStr">
        <is>
          <t>09:03:00</t>
        </is>
      </c>
      <c r="H622" t="n">
        <v>239919900</v>
      </c>
      <c r="I622" t="n">
        <v>257059900</v>
      </c>
      <c r="J622" t="n">
        <v>0</v>
      </c>
      <c r="K622" t="n">
        <v>0</v>
      </c>
      <c r="M622">
        <f>I622-(H622+J622-K622)- L622</f>
        <v/>
      </c>
      <c r="N622">
        <f>IF(M622=0,"Cuadrado",IF(M622&gt;0,"Faltante","Sobrante"))</f>
        <v/>
      </c>
      <c r="O622" t="inlineStr">
        <is>
          <t>REPITIERON ARQUEO</t>
        </is>
      </c>
      <c r="P622" t="n">
        <v>1101320155</v>
      </c>
    </row>
    <row r="623">
      <c r="A623" t="n">
        <v>332</v>
      </c>
      <c r="B623" t="n">
        <v>7569</v>
      </c>
      <c r="C623" t="inlineStr">
        <is>
          <t>BELLTECH</t>
        </is>
      </c>
      <c r="D623" t="inlineStr">
        <is>
          <t>BELLTECH</t>
        </is>
      </c>
      <c r="E623" s="3" t="n">
        <v>46084</v>
      </c>
      <c r="F623" s="3" t="n">
        <v>46083</v>
      </c>
      <c r="G623" t="inlineStr">
        <is>
          <t>09:35:00</t>
        </is>
      </c>
      <c r="H623" t="n">
        <v>15708350</v>
      </c>
      <c r="I623" t="n">
        <v>216513950</v>
      </c>
      <c r="J623" t="n">
        <v>0</v>
      </c>
      <c r="K623" t="n">
        <v>7804400</v>
      </c>
      <c r="L623" t="n">
        <v>111822000</v>
      </c>
      <c r="M623">
        <f>I623-(H623+J623-K623)- L623</f>
        <v/>
      </c>
      <c r="N623">
        <f>IF(M623=0,"Cuadrado",IF(M623&gt;0,"Faltante","Sobrante"))</f>
        <v/>
      </c>
      <c r="O623" t="inlineStr">
        <is>
          <t>REPITIERON ARQUEO</t>
        </is>
      </c>
      <c r="P623" t="n">
        <v>80541675</v>
      </c>
    </row>
    <row r="624">
      <c r="A624" t="n">
        <v>348</v>
      </c>
      <c r="B624" t="n">
        <v>6724</v>
      </c>
      <c r="C624" t="inlineStr">
        <is>
          <t>DIEBOLD</t>
        </is>
      </c>
      <c r="D624" t="inlineStr">
        <is>
          <t>BELLTECH</t>
        </is>
      </c>
      <c r="E624" s="3" t="n">
        <v>46084</v>
      </c>
      <c r="F624" s="3" t="n">
        <v>46083</v>
      </c>
      <c r="G624" t="inlineStr">
        <is>
          <t>15:25:00</t>
        </is>
      </c>
      <c r="H624" t="n">
        <v>65431400</v>
      </c>
      <c r="I624" t="n">
        <v>105169800</v>
      </c>
      <c r="J624" t="n">
        <v>21090000</v>
      </c>
      <c r="K624" t="n">
        <v>82702000</v>
      </c>
      <c r="L624" t="n">
        <v>105446000</v>
      </c>
      <c r="M624">
        <f>I624-(H624+J624-K624)- L624</f>
        <v/>
      </c>
      <c r="N624">
        <f>IF(M624=0,"Cuadrado",IF(M624&gt;0,"Faltante","Sobrante"))</f>
        <v/>
      </c>
      <c r="O624" t="inlineStr">
        <is>
          <t>La diferencia es contabilizada por la Gerencia De Autoservicios y Efectivo de manera centralizada a la cuenta de sobrantes 279510020 el 03/03/2026</t>
        </is>
      </c>
      <c r="P624" t="n">
        <v>1123633014</v>
      </c>
    </row>
    <row r="625">
      <c r="A625" t="n">
        <v>383</v>
      </c>
      <c r="B625" t="n">
        <v>5194</v>
      </c>
      <c r="C625" t="inlineStr">
        <is>
          <t>BELLTECH</t>
        </is>
      </c>
      <c r="D625" t="inlineStr">
        <is>
          <t>BELLTECH</t>
        </is>
      </c>
      <c r="E625" s="3" t="n">
        <v>46084</v>
      </c>
      <c r="F625" s="3" t="n">
        <v>46083</v>
      </c>
      <c r="G625" t="inlineStr">
        <is>
          <t>12:28:41</t>
        </is>
      </c>
      <c r="H625" t="n">
        <v>76097750</v>
      </c>
      <c r="I625" t="n">
        <v>197826150</v>
      </c>
      <c r="J625" t="n">
        <v>30200000</v>
      </c>
      <c r="K625" t="n">
        <v>24594000</v>
      </c>
      <c r="M625">
        <f>I625-(H625+J625-K625)- L625</f>
        <v/>
      </c>
      <c r="N625">
        <f>IF(M625=0,"Cuadrado",IF(M625&gt;0,"Faltante","Sobrante"))</f>
        <v/>
      </c>
      <c r="O625" t="inlineStr">
        <is>
          <t>La diferencia es contabilizada por la Gerencia De Autoservicios y Efectivo de manera centralizada a la cuenta de faltantes 168710093 el 03/03/2026, esta diferencia ingresa a proceso de investigación en el área para identificar a que corresponde.</t>
        </is>
      </c>
      <c r="P625" t="n">
        <v>1073160492</v>
      </c>
    </row>
    <row r="626">
      <c r="A626" t="n">
        <v>395</v>
      </c>
      <c r="B626" t="n">
        <v>1529</v>
      </c>
      <c r="C626" t="inlineStr">
        <is>
          <t>BELLTECH</t>
        </is>
      </c>
      <c r="D626" t="inlineStr">
        <is>
          <t>BELLTECH</t>
        </is>
      </c>
      <c r="E626" s="3" t="n">
        <v>46084</v>
      </c>
      <c r="F626" s="3" t="n">
        <v>46083</v>
      </c>
      <c r="G626" t="inlineStr">
        <is>
          <t>09:42:00</t>
        </is>
      </c>
      <c r="H626" t="n">
        <v>352278500</v>
      </c>
      <c r="I626" t="n">
        <v>350070350</v>
      </c>
      <c r="J626" t="n">
        <v>7850000</v>
      </c>
      <c r="K626" t="n">
        <v>0</v>
      </c>
      <c r="M626">
        <f>I626-(H626+J626-K626)- L626</f>
        <v/>
      </c>
      <c r="N626">
        <f>IF(M626=0,"Cuadrado",IF(M626&gt;0,"Faltante","Sobrante"))</f>
        <v/>
      </c>
      <c r="O626" t="inlineStr">
        <is>
          <t>La diferencia es contabilizada por la Gerencia De Autoservicios y Efectivo de manera centralizada a la cuenta de sobrantes 279510020 el 03/03/2026</t>
        </is>
      </c>
      <c r="P626" t="n">
        <v>1121857901</v>
      </c>
    </row>
    <row r="627">
      <c r="A627" t="n">
        <v>453</v>
      </c>
      <c r="B627" t="n">
        <v>8018</v>
      </c>
      <c r="C627" t="inlineStr">
        <is>
          <t>BELLTECH</t>
        </is>
      </c>
      <c r="D627" t="inlineStr">
        <is>
          <t>BELLTECH</t>
        </is>
      </c>
      <c r="E627" s="3" t="n">
        <v>46084</v>
      </c>
      <c r="F627" s="3" t="n">
        <v>46083</v>
      </c>
      <c r="G627" t="inlineStr">
        <is>
          <t>09:26:00</t>
        </is>
      </c>
      <c r="H627" t="n">
        <v>116554650</v>
      </c>
      <c r="I627" t="n">
        <v>83609650</v>
      </c>
      <c r="J627" t="n">
        <v>5880000</v>
      </c>
      <c r="K627" t="n">
        <v>24532000</v>
      </c>
      <c r="M627">
        <f>I627-(H627+J627-K627)- L627</f>
        <v/>
      </c>
      <c r="N627">
        <f>IF(M627=0,"Cuadrado",IF(M627&gt;0,"Faltante","Sobrante"))</f>
        <v/>
      </c>
      <c r="O627" t="inlineStr">
        <is>
          <t>REPITIERON ARQUEO</t>
        </is>
      </c>
      <c r="P627" t="n">
        <v>1083897578</v>
      </c>
    </row>
    <row r="628">
      <c r="A628" t="n">
        <v>455</v>
      </c>
      <c r="B628" t="n">
        <v>5206</v>
      </c>
      <c r="C628" t="inlineStr">
        <is>
          <t>BELLTECH</t>
        </is>
      </c>
      <c r="D628" t="inlineStr">
        <is>
          <t>BELLTECH</t>
        </is>
      </c>
      <c r="E628" s="3" t="n">
        <v>46084</v>
      </c>
      <c r="F628" s="3" t="n">
        <v>46083</v>
      </c>
      <c r="G628" t="inlineStr">
        <is>
          <t>09:23:00</t>
        </is>
      </c>
      <c r="H628" t="n">
        <v>369152000</v>
      </c>
      <c r="I628" t="n">
        <v>319262200</v>
      </c>
      <c r="J628" t="n">
        <v>6650000</v>
      </c>
      <c r="K628" t="n">
        <v>56539800</v>
      </c>
      <c r="M628">
        <f>I628-(H628+J628-K628)- L628</f>
        <v/>
      </c>
      <c r="N628">
        <f>IF(M628=0,"Cuadrado",IF(M628&gt;0,"Faltante","Sobrante"))</f>
        <v/>
      </c>
      <c r="O628" t="inlineStr">
        <is>
          <t>Cajero cuadrado, sin observación por parte de la sucursal</t>
        </is>
      </c>
      <c r="P628" t="n">
        <v>1083896352</v>
      </c>
    </row>
    <row r="629">
      <c r="A629" t="n">
        <v>457</v>
      </c>
      <c r="B629" t="n">
        <v>9004</v>
      </c>
      <c r="C629" t="inlineStr">
        <is>
          <t>BELLTECH</t>
        </is>
      </c>
      <c r="D629" t="inlineStr">
        <is>
          <t>DIEBOLD</t>
        </is>
      </c>
      <c r="E629" s="3" t="n">
        <v>46084</v>
      </c>
      <c r="F629" s="3" t="n">
        <v>46083</v>
      </c>
      <c r="G629" t="inlineStr">
        <is>
          <t>10:43:00</t>
        </is>
      </c>
      <c r="H629" t="n">
        <v>292223700</v>
      </c>
      <c r="I629" t="n">
        <v>232471100</v>
      </c>
      <c r="J629" t="n">
        <v>7900000</v>
      </c>
      <c r="K629" t="n">
        <v>59495000</v>
      </c>
      <c r="M629">
        <f>I629-(H629+J629-K629)- L629</f>
        <v/>
      </c>
      <c r="N629">
        <f>IF(M629=0,"Cuadrado",IF(M629&gt;0,"Faltante","Sobrante"))</f>
        <v/>
      </c>
      <c r="O629" t="inlineStr">
        <is>
          <t>La diferencia es contabilizada por la Gerencia De Autoservicios y Efectivo de manera centralizada a la cuenta de sobrantes 279510020 el 03/03/2026</t>
        </is>
      </c>
      <c r="P629" t="n">
        <v>33750644</v>
      </c>
    </row>
    <row r="630">
      <c r="A630" t="n">
        <v>523</v>
      </c>
      <c r="B630" t="n">
        <v>5082</v>
      </c>
      <c r="C630" t="inlineStr">
        <is>
          <t>BELLTECH</t>
        </is>
      </c>
      <c r="D630" t="inlineStr">
        <is>
          <t>BELLTECH</t>
        </is>
      </c>
      <c r="E630" s="3" t="n">
        <v>46084</v>
      </c>
      <c r="F630" s="3" t="n">
        <v>46083</v>
      </c>
      <c r="G630" t="inlineStr">
        <is>
          <t>08:50:00</t>
        </is>
      </c>
      <c r="H630" t="n">
        <v>199521050</v>
      </c>
      <c r="I630" t="n">
        <v>200075050</v>
      </c>
      <c r="J630" t="n">
        <v>1660000</v>
      </c>
      <c r="K630" t="n">
        <v>1100000</v>
      </c>
      <c r="M630">
        <f>I630-(H630+J630-K630)- L630</f>
        <v/>
      </c>
      <c r="N630">
        <f>IF(M630=0,"Cuadrado",IF(M630&gt;0,"Faltante","Sobrante"))</f>
        <v/>
      </c>
      <c r="O630" t="inlineStr">
        <is>
          <t>La diferencia es contabilizada por la Gerencia De Autoservicios y Efectivo de manera centralizada a la cuenta de sobrantes 279510020 el 03/03/2026</t>
        </is>
      </c>
      <c r="P630" t="n">
        <v>1065609766</v>
      </c>
    </row>
    <row r="631">
      <c r="A631" t="n">
        <v>554</v>
      </c>
      <c r="B631" t="n">
        <v>8294</v>
      </c>
      <c r="C631" t="inlineStr">
        <is>
          <t>BELLTECH</t>
        </is>
      </c>
      <c r="D631" t="inlineStr">
        <is>
          <t>BELLTECH</t>
        </is>
      </c>
      <c r="E631" s="3" t="n">
        <v>46084</v>
      </c>
      <c r="F631" s="3" t="n">
        <v>46083</v>
      </c>
      <c r="G631" t="inlineStr">
        <is>
          <t>10:34:00</t>
        </is>
      </c>
      <c r="H631" t="n">
        <v>209347850</v>
      </c>
      <c r="I631" t="n">
        <v>219907850</v>
      </c>
      <c r="J631" t="n">
        <v>10560000</v>
      </c>
      <c r="K631" t="n">
        <v>0</v>
      </c>
      <c r="M631">
        <f>I631-(H631+J631-K631)- L631</f>
        <v/>
      </c>
      <c r="N631">
        <f>IF(M631=0,"Cuadrado",IF(M631&gt;0,"Faltante","Sobrante"))</f>
        <v/>
      </c>
      <c r="O631" t="inlineStr">
        <is>
          <t>Cajero cuadrado, sin observación por parte de la sucursal</t>
        </is>
      </c>
      <c r="P631" t="n">
        <v>1010130794</v>
      </c>
    </row>
    <row r="632">
      <c r="A632" t="n">
        <v>554</v>
      </c>
      <c r="B632" t="n">
        <v>8295</v>
      </c>
      <c r="C632" t="inlineStr">
        <is>
          <t>BELLTECH</t>
        </is>
      </c>
      <c r="D632" t="inlineStr">
        <is>
          <t>BELLTECH</t>
        </is>
      </c>
      <c r="E632" s="3" t="n">
        <v>46084</v>
      </c>
      <c r="F632" s="3" t="n">
        <v>46083</v>
      </c>
      <c r="G632" t="inlineStr">
        <is>
          <t>15:45:00</t>
        </is>
      </c>
      <c r="H632" t="n">
        <v>160173050</v>
      </c>
      <c r="I632" t="n">
        <v>135761900</v>
      </c>
      <c r="J632" t="n">
        <v>1000000</v>
      </c>
      <c r="K632" t="n">
        <v>16603000</v>
      </c>
      <c r="M632">
        <f>I632-(H632+J632-K632)- L632</f>
        <v/>
      </c>
      <c r="N632">
        <f>IF(M632=0,"Cuadrado",IF(M632&gt;0,"Faltante","Sobrante"))</f>
        <v/>
      </c>
      <c r="O632" t="inlineStr">
        <is>
          <t>La diferencia es contabilizada por la Gerencia De Autoservicios y Efectivo de manera centralizada a la cuenta de sobrantes 279510020 el 03/03/2026</t>
        </is>
      </c>
      <c r="P632" t="n">
        <v>1010130794</v>
      </c>
    </row>
    <row r="633">
      <c r="A633" t="n">
        <v>556</v>
      </c>
      <c r="B633" t="n">
        <v>8333</v>
      </c>
      <c r="C633" t="inlineStr">
        <is>
          <t>BELLTECH</t>
        </is>
      </c>
      <c r="D633" t="inlineStr">
        <is>
          <t>BELLTECH</t>
        </is>
      </c>
      <c r="E633" s="3" t="n">
        <v>46084</v>
      </c>
      <c r="F633" s="3" t="n">
        <v>46081</v>
      </c>
      <c r="G633" t="inlineStr">
        <is>
          <t>08:55:00</t>
        </is>
      </c>
      <c r="H633" t="n">
        <v>232437400</v>
      </c>
      <c r="I633" t="n">
        <v>252363900</v>
      </c>
      <c r="J633" t="n">
        <v>31530000</v>
      </c>
      <c r="K633" t="n">
        <v>11603500</v>
      </c>
      <c r="M633">
        <f>I633-(H633+J633-K633)- L633</f>
        <v/>
      </c>
      <c r="N633">
        <f>IF(M633=0,"Cuadrado",IF(M633&gt;0,"Faltante","Sobrante"))</f>
        <v/>
      </c>
      <c r="O633" t="inlineStr">
        <is>
          <t>Cajero cuadrado, sin observación por parte de la sucursal</t>
        </is>
      </c>
      <c r="P633" t="n">
        <v>39450196</v>
      </c>
    </row>
    <row r="634">
      <c r="A634" t="n">
        <v>613</v>
      </c>
      <c r="B634" t="n">
        <v>6713</v>
      </c>
      <c r="C634" t="inlineStr">
        <is>
          <t>DIEBOLD</t>
        </is>
      </c>
      <c r="D634" t="inlineStr">
        <is>
          <t>BELLTECH</t>
        </is>
      </c>
      <c r="E634" s="3" t="n">
        <v>46084</v>
      </c>
      <c r="F634" s="3" t="n">
        <v>46083</v>
      </c>
      <c r="G634" t="inlineStr">
        <is>
          <t>09:43:00</t>
        </is>
      </c>
      <c r="H634" t="n">
        <v>113270800</v>
      </c>
      <c r="I634" t="n">
        <v>110824100</v>
      </c>
      <c r="J634" t="n">
        <v>14050000</v>
      </c>
      <c r="K634" t="n">
        <v>16111300</v>
      </c>
      <c r="M634">
        <f>I634-(H634+J634-K634)- L634</f>
        <v/>
      </c>
      <c r="N634">
        <f>IF(M634=0,"Cuadrado",IF(M634&gt;0,"Faltante","Sobrante"))</f>
        <v/>
      </c>
      <c r="O634" t="inlineStr">
        <is>
          <t>La diferencia es contabilizada por la Gerencia De Autoservicios y Efectivo de manera centralizada a la cuenta de sobrantes 279510020 el 03/03/2026</t>
        </is>
      </c>
      <c r="P634" t="n">
        <v>32106943</v>
      </c>
    </row>
    <row r="635">
      <c r="A635" t="n">
        <v>634</v>
      </c>
      <c r="B635" t="n">
        <v>5087</v>
      </c>
      <c r="C635" t="inlineStr">
        <is>
          <t>BELLTECH</t>
        </is>
      </c>
      <c r="D635" t="inlineStr">
        <is>
          <t>BELLTECH</t>
        </is>
      </c>
      <c r="E635" s="3" t="n">
        <v>46084</v>
      </c>
      <c r="F635" s="3" t="n">
        <v>46083</v>
      </c>
      <c r="G635" t="inlineStr">
        <is>
          <t>09:04:00</t>
        </is>
      </c>
      <c r="H635" t="n">
        <v>242530800</v>
      </c>
      <c r="I635" t="n">
        <v>254556300</v>
      </c>
      <c r="J635" t="n">
        <v>12040000</v>
      </c>
      <c r="K635" t="n">
        <v>0</v>
      </c>
      <c r="M635">
        <f>I635-(H635+J635-K635)- L635</f>
        <v/>
      </c>
      <c r="N635">
        <f>IF(M635=0,"Cuadrado",IF(M635&gt;0,"Faltante","Sobrante"))</f>
        <v/>
      </c>
      <c r="O635" t="inlineStr">
        <is>
          <t>La diferencia es contabilizada por la Gerencia De Autoservicios y Efectivo de manera centralizada a la cuenta de sobrantes 279510020 el 03/03/2026</t>
        </is>
      </c>
      <c r="P635" t="n">
        <v>1032424944</v>
      </c>
    </row>
    <row r="636">
      <c r="A636" t="n">
        <v>651</v>
      </c>
      <c r="B636" t="n">
        <v>7318</v>
      </c>
      <c r="C636" t="inlineStr">
        <is>
          <t>DIEBOLD</t>
        </is>
      </c>
      <c r="D636" t="inlineStr">
        <is>
          <t>BELLTECH</t>
        </is>
      </c>
      <c r="E636" s="3" t="n">
        <v>46084</v>
      </c>
      <c r="F636" s="3" t="n">
        <v>46080</v>
      </c>
      <c r="G636" t="inlineStr">
        <is>
          <t>11:29:00</t>
        </is>
      </c>
      <c r="H636" t="n">
        <v>72889300</v>
      </c>
      <c r="I636" t="n">
        <v>101307300</v>
      </c>
      <c r="J636" t="n">
        <v>43670000</v>
      </c>
      <c r="K636" t="n">
        <v>15252000</v>
      </c>
      <c r="M636">
        <f>I636-(H636+J636-K636)- L636</f>
        <v/>
      </c>
      <c r="N636">
        <f>IF(M636=0,"Cuadrado",IF(M636&gt;0,"Faltante","Sobrante"))</f>
        <v/>
      </c>
      <c r="O636" t="inlineStr">
        <is>
          <t>Cajero cuadrado, sin observación por parte de la sucursal</t>
        </is>
      </c>
      <c r="P636" t="n">
        <v>70136398</v>
      </c>
    </row>
    <row r="637">
      <c r="A637" t="n">
        <v>659</v>
      </c>
      <c r="B637" t="n">
        <v>5102</v>
      </c>
      <c r="C637" t="inlineStr">
        <is>
          <t>BELLTECH</t>
        </is>
      </c>
      <c r="D637" t="inlineStr">
        <is>
          <t>BELLTECH</t>
        </is>
      </c>
      <c r="E637" s="3" t="n">
        <v>46084</v>
      </c>
      <c r="F637" s="3" t="n">
        <v>46083</v>
      </c>
      <c r="G637" t="inlineStr">
        <is>
          <t>10:03:00</t>
        </is>
      </c>
      <c r="H637" t="n">
        <v>147494150</v>
      </c>
      <c r="I637" t="n">
        <v>162044150</v>
      </c>
      <c r="J637" t="n">
        <v>18760000</v>
      </c>
      <c r="K637" t="n">
        <v>4240000</v>
      </c>
      <c r="M637">
        <f>I637-(H637+J637-K637)- L637</f>
        <v/>
      </c>
      <c r="N637">
        <f>IF(M637=0,"Cuadrado",IF(M637&gt;0,"Faltante","Sobrante"))</f>
        <v/>
      </c>
      <c r="O637" t="inlineStr">
        <is>
          <t>REPITIERON ARQUEO</t>
        </is>
      </c>
      <c r="P637" t="n">
        <v>1110555222</v>
      </c>
    </row>
    <row r="638">
      <c r="A638" t="n">
        <v>667</v>
      </c>
      <c r="B638" t="n">
        <v>5167</v>
      </c>
      <c r="C638" t="inlineStr">
        <is>
          <t>BELLTECH</t>
        </is>
      </c>
      <c r="D638" t="inlineStr">
        <is>
          <t>BELLTECH</t>
        </is>
      </c>
      <c r="E638" s="3" t="n">
        <v>46084</v>
      </c>
      <c r="F638" s="3" t="n">
        <v>46083</v>
      </c>
      <c r="G638" t="inlineStr">
        <is>
          <t>08:38:00</t>
        </is>
      </c>
      <c r="H638" t="n">
        <v>137263550</v>
      </c>
      <c r="I638" t="n">
        <v>137654200</v>
      </c>
      <c r="J638" t="n">
        <v>500000</v>
      </c>
      <c r="K638" t="n">
        <v>0</v>
      </c>
      <c r="M638">
        <f>I638-(H638+J638-K638)- L638</f>
        <v/>
      </c>
      <c r="N638">
        <f>IF(M638=0,"Cuadrado",IF(M638&gt;0,"Faltante","Sobrante"))</f>
        <v/>
      </c>
      <c r="O638" t="inlineStr">
        <is>
          <t>La diferencia es contabilizada por la Gerencia De Autoservicios y Efectivo de manera centralizada a la cuenta de sobrantes 279510020 el 03/03/2026</t>
        </is>
      </c>
      <c r="P638" t="n">
        <v>79953058</v>
      </c>
    </row>
    <row r="639">
      <c r="A639" t="n">
        <v>682</v>
      </c>
      <c r="B639" t="n">
        <v>5049</v>
      </c>
      <c r="C639" t="inlineStr">
        <is>
          <t>BELLTECH</t>
        </is>
      </c>
      <c r="D639" t="inlineStr">
        <is>
          <t>BELLTECH</t>
        </is>
      </c>
      <c r="E639" s="3" t="n">
        <v>46084</v>
      </c>
      <c r="F639" s="3" t="n">
        <v>46083</v>
      </c>
      <c r="G639" t="inlineStr">
        <is>
          <t>13:43:00</t>
        </is>
      </c>
      <c r="H639" t="n">
        <v>207673400</v>
      </c>
      <c r="I639" t="n">
        <v>169164800</v>
      </c>
      <c r="J639" t="n">
        <v>40760000</v>
      </c>
      <c r="K639" t="n">
        <v>161877000</v>
      </c>
      <c r="L639" t="n">
        <v>82621000</v>
      </c>
      <c r="M639">
        <f>I639-(H639+J639-K639)- L639</f>
        <v/>
      </c>
      <c r="N639">
        <f>IF(M639=0,"Cuadrado",IF(M639&gt;0,"Faltante","Sobrante"))</f>
        <v/>
      </c>
      <c r="O639" t="inlineStr">
        <is>
          <t>La diferencia es contabilizada por la Gerencia De Autoservicios y Efectivo de manera centralizada a la cuenta de sobrantes 279510020 el 03/03/2026</t>
        </is>
      </c>
      <c r="P639" t="n">
        <v>1018447800</v>
      </c>
    </row>
    <row r="640">
      <c r="A640" t="n">
        <v>698</v>
      </c>
      <c r="B640" t="n">
        <v>5187</v>
      </c>
      <c r="C640" t="inlineStr">
        <is>
          <t>BELLTECH</t>
        </is>
      </c>
      <c r="D640" t="inlineStr">
        <is>
          <t>BELLTECH</t>
        </is>
      </c>
      <c r="E640" s="3" t="n">
        <v>46084</v>
      </c>
      <c r="F640" s="3" t="n">
        <v>46080</v>
      </c>
      <c r="G640" t="inlineStr">
        <is>
          <t>13:02:00</t>
        </is>
      </c>
      <c r="H640" t="n">
        <v>255606100</v>
      </c>
      <c r="I640" t="n">
        <v>232013900</v>
      </c>
      <c r="J640" t="n">
        <v>25720000</v>
      </c>
      <c r="K640" t="n">
        <v>49312200</v>
      </c>
      <c r="M640">
        <f>I640-(H640+J640-K640)- L640</f>
        <v/>
      </c>
      <c r="N640">
        <f>IF(M640=0,"Cuadrado",IF(M640&gt;0,"Faltante","Sobrante"))</f>
        <v/>
      </c>
      <c r="O640" t="inlineStr">
        <is>
          <t>Cajero cuadrado, sin observación por parte de la sucursal</t>
        </is>
      </c>
      <c r="P640" t="n">
        <v>1019065205</v>
      </c>
    </row>
    <row r="641">
      <c r="A641" t="n">
        <v>723</v>
      </c>
      <c r="B641" t="n">
        <v>5046</v>
      </c>
      <c r="C641" t="inlineStr">
        <is>
          <t>BELLTECH</t>
        </is>
      </c>
      <c r="D641" t="inlineStr">
        <is>
          <t>BELLTECH</t>
        </is>
      </c>
      <c r="E641" s="3" t="n">
        <v>46084</v>
      </c>
      <c r="F641" s="3" t="n">
        <v>46083</v>
      </c>
      <c r="G641" t="inlineStr">
        <is>
          <t>09:56:00</t>
        </is>
      </c>
      <c r="H641" t="n">
        <v>252009000</v>
      </c>
      <c r="I641" t="n">
        <v>273030000</v>
      </c>
      <c r="J641" t="n">
        <v>0</v>
      </c>
      <c r="K641" t="n">
        <v>0</v>
      </c>
      <c r="L641" t="n">
        <v>21021000</v>
      </c>
      <c r="M641">
        <f>I641-(H641+J641-K641)- L641</f>
        <v/>
      </c>
      <c r="N641">
        <f>IF(M641=0,"Cuadrado",IF(M641&gt;0,"Faltante","Sobrante"))</f>
        <v/>
      </c>
      <c r="O641" t="inlineStr">
        <is>
          <t>Cajero cuadrado, sin observación por parte de la sucursal</t>
        </is>
      </c>
      <c r="P641" t="n">
        <v>1088310723</v>
      </c>
    </row>
    <row r="642">
      <c r="A642" t="n">
        <v>725</v>
      </c>
      <c r="B642" t="n">
        <v>8090</v>
      </c>
      <c r="C642" t="inlineStr">
        <is>
          <t>BELLTECH</t>
        </is>
      </c>
      <c r="D642" t="inlineStr">
        <is>
          <t>BELLTECH</t>
        </is>
      </c>
      <c r="E642" s="3" t="n">
        <v>46084</v>
      </c>
      <c r="F642" s="3" t="n">
        <v>46080</v>
      </c>
      <c r="G642" t="inlineStr">
        <is>
          <t>09:40:00</t>
        </is>
      </c>
      <c r="H642" t="n">
        <v>75762300</v>
      </c>
      <c r="I642" t="n">
        <v>86092300</v>
      </c>
      <c r="J642" t="n">
        <v>10550000</v>
      </c>
      <c r="K642" t="n">
        <v>220000</v>
      </c>
      <c r="M642">
        <f>I642-(H642+J642-K642)- L642</f>
        <v/>
      </c>
      <c r="N642">
        <f>IF(M642=0,"Cuadrado",IF(M642&gt;0,"Faltante","Sobrante"))</f>
        <v/>
      </c>
      <c r="O642" t="inlineStr">
        <is>
          <t>Cajero cuadrado, sin observación por parte de la sucursal</t>
        </is>
      </c>
      <c r="P642" t="n">
        <v>1088032608</v>
      </c>
    </row>
    <row r="643">
      <c r="A643" t="n">
        <v>728</v>
      </c>
      <c r="B643" t="n">
        <v>8586</v>
      </c>
      <c r="C643" t="inlineStr">
        <is>
          <t>BELLTECH</t>
        </is>
      </c>
      <c r="D643" t="inlineStr">
        <is>
          <t>BELLTECH</t>
        </is>
      </c>
      <c r="E643" s="3" t="n">
        <v>46084</v>
      </c>
      <c r="F643" s="3" t="n">
        <v>46083</v>
      </c>
      <c r="G643" t="inlineStr">
        <is>
          <t>09:29:00</t>
        </is>
      </c>
      <c r="H643" t="n">
        <v>21395000</v>
      </c>
      <c r="I643" t="n">
        <v>57395000</v>
      </c>
      <c r="J643" t="n">
        <v>41600000</v>
      </c>
      <c r="K643" t="n">
        <v>2248500</v>
      </c>
      <c r="M643">
        <f>I643-(H643+J643-K643)- L643</f>
        <v/>
      </c>
      <c r="N643">
        <f>IF(M643=0,"Cuadrado",IF(M643&gt;0,"Faltante","Sobrante"))</f>
        <v/>
      </c>
      <c r="O643" t="inlineStr">
        <is>
          <t>La diferencia es contabilizada por la Gerencia De Autoservicios y Efectivo de manera centralizada a la cuenta de sobrantes 279510020 el 03/03/2026</t>
        </is>
      </c>
      <c r="P643" t="n">
        <v>1112783690</v>
      </c>
    </row>
    <row r="644">
      <c r="A644" t="n">
        <v>728</v>
      </c>
      <c r="B644" t="n">
        <v>8587</v>
      </c>
      <c r="C644" t="inlineStr">
        <is>
          <t>BELLTECH</t>
        </is>
      </c>
      <c r="D644" t="inlineStr">
        <is>
          <t>BELLTECH</t>
        </is>
      </c>
      <c r="E644" s="3" t="n">
        <v>46084</v>
      </c>
      <c r="F644" s="3" t="n">
        <v>46083</v>
      </c>
      <c r="G644" t="inlineStr">
        <is>
          <t>09:17:00</t>
        </is>
      </c>
      <c r="H644" t="n">
        <v>53145600</v>
      </c>
      <c r="I644" t="n">
        <v>43795600</v>
      </c>
      <c r="J644" t="n">
        <v>1350000</v>
      </c>
      <c r="K644" t="n">
        <v>10700000</v>
      </c>
      <c r="M644">
        <f>I644-(H644+J644-K644)- L644</f>
        <v/>
      </c>
      <c r="N644">
        <f>IF(M644=0,"Cuadrado",IF(M644&gt;0,"Faltante","Sobrante"))</f>
        <v/>
      </c>
      <c r="O644" t="inlineStr">
        <is>
          <t>Cajero cuadrado, sin observación por parte de la sucursal</t>
        </is>
      </c>
      <c r="P644" t="n">
        <v>1112783690</v>
      </c>
    </row>
    <row r="645">
      <c r="A645" t="n">
        <v>781</v>
      </c>
      <c r="B645" t="n">
        <v>5057</v>
      </c>
      <c r="C645" t="inlineStr">
        <is>
          <t>BELLTECH</t>
        </is>
      </c>
      <c r="D645" t="inlineStr">
        <is>
          <t>BELLTECH</t>
        </is>
      </c>
      <c r="E645" s="3" t="n">
        <v>46084</v>
      </c>
      <c r="F645" s="3" t="n">
        <v>46083</v>
      </c>
      <c r="G645" t="inlineStr">
        <is>
          <t>10:23:00</t>
        </is>
      </c>
      <c r="H645" t="n">
        <v>510283800</v>
      </c>
      <c r="I645" t="n">
        <v>488188150</v>
      </c>
      <c r="J645" t="n">
        <v>240000</v>
      </c>
      <c r="K645" t="n">
        <v>3169000</v>
      </c>
      <c r="M645">
        <f>I645-(H645+J645-K645)- L645</f>
        <v/>
      </c>
      <c r="N645">
        <f>IF(M645=0,"Cuadrado",IF(M645&gt;0,"Faltante","Sobrante"))</f>
        <v/>
      </c>
      <c r="O645" t="inlineStr">
        <is>
          <t>REPITIERON ARQUEO</t>
        </is>
      </c>
      <c r="P645" t="n">
        <v>1082848167</v>
      </c>
    </row>
    <row r="646">
      <c r="A646" t="n">
        <v>796</v>
      </c>
      <c r="B646" t="n">
        <v>6911</v>
      </c>
      <c r="C646" t="inlineStr">
        <is>
          <t>BELLTECH</t>
        </is>
      </c>
      <c r="D646" t="inlineStr">
        <is>
          <t>BELLTECH</t>
        </is>
      </c>
      <c r="E646" s="3" t="n">
        <v>46084</v>
      </c>
      <c r="F646" s="3" t="n">
        <v>46083</v>
      </c>
      <c r="G646" t="inlineStr">
        <is>
          <t>14:22:00</t>
        </is>
      </c>
      <c r="H646" t="n">
        <v>225619500</v>
      </c>
      <c r="I646" t="n">
        <v>146645500</v>
      </c>
      <c r="J646" t="n">
        <v>51030000</v>
      </c>
      <c r="K646" t="n">
        <v>114049800</v>
      </c>
      <c r="M646">
        <f>I646-(H646+J646-K646)- L646</f>
        <v/>
      </c>
      <c r="N646">
        <f>IF(M646=0,"Cuadrado",IF(M646&gt;0,"Faltante","Sobrante"))</f>
        <v/>
      </c>
      <c r="O646" t="inlineStr">
        <is>
          <t>REPITIERON ARQUEO</t>
        </is>
      </c>
      <c r="P646" t="n">
        <v>1095802301</v>
      </c>
    </row>
    <row r="647">
      <c r="A647" t="n">
        <v>849</v>
      </c>
      <c r="B647" t="n">
        <v>9724</v>
      </c>
      <c r="C647" t="inlineStr">
        <is>
          <t>BELLTECH</t>
        </is>
      </c>
      <c r="D647" t="inlineStr">
        <is>
          <t>BELLTECH</t>
        </is>
      </c>
      <c r="E647" s="3" t="n">
        <v>46084</v>
      </c>
      <c r="F647" s="3" t="n">
        <v>46083</v>
      </c>
      <c r="G647" t="inlineStr">
        <is>
          <t>08:43:00</t>
        </is>
      </c>
      <c r="H647" t="n">
        <v>179585400</v>
      </c>
      <c r="I647" t="n">
        <v>169885400</v>
      </c>
      <c r="J647" t="n">
        <v>0</v>
      </c>
      <c r="K647" t="n">
        <v>0</v>
      </c>
      <c r="M647">
        <f>I647-(H647+J647-K647)- L647</f>
        <v/>
      </c>
      <c r="N647">
        <f>IF(M647=0,"Cuadrado",IF(M647&gt;0,"Faltante","Sobrante"))</f>
        <v/>
      </c>
      <c r="O647" t="inlineStr">
        <is>
          <t>La diferencia es contabilizada por la Gerencia De Autoservicios y Efectivo de manera centralizada a la cuenta de sobrantes 279510020 el 03/03/2026</t>
        </is>
      </c>
      <c r="P647" t="n">
        <v>86063461</v>
      </c>
    </row>
    <row r="648">
      <c r="A648" t="n">
        <v>849</v>
      </c>
      <c r="B648" t="n">
        <v>9725</v>
      </c>
      <c r="C648" t="inlineStr">
        <is>
          <t>BELLTECH</t>
        </is>
      </c>
      <c r="D648" t="inlineStr">
        <is>
          <t>BELLTECH</t>
        </is>
      </c>
      <c r="E648" s="3" t="n">
        <v>46084</v>
      </c>
      <c r="F648" s="3" t="n">
        <v>46083</v>
      </c>
      <c r="G648" t="inlineStr">
        <is>
          <t>08:43:00</t>
        </is>
      </c>
      <c r="H648" t="n">
        <v>180547300</v>
      </c>
      <c r="I648" t="n">
        <v>214545300</v>
      </c>
      <c r="J648" t="n">
        <v>0</v>
      </c>
      <c r="K648" t="n">
        <v>0</v>
      </c>
      <c r="M648">
        <f>I648-(H648+J648-K648)- L648</f>
        <v/>
      </c>
      <c r="N648">
        <f>IF(M648=0,"Cuadrado",IF(M648&gt;0,"Faltante","Sobrante"))</f>
        <v/>
      </c>
      <c r="O648" t="inlineStr">
        <is>
          <t>La diferencia es contabilizada por la Gerencia De Autoservicios y Efectivo de manera centralizada a la cuenta de faltantes 168710093 el 03/03/2026, esta diferencia ingresa a proceso de investigación en el área para identificar a que corresponde.</t>
        </is>
      </c>
      <c r="P648" t="n">
        <v>86063461</v>
      </c>
    </row>
    <row r="649">
      <c r="A649" t="n">
        <v>852</v>
      </c>
      <c r="B649" t="n">
        <v>5050</v>
      </c>
      <c r="C649" t="inlineStr">
        <is>
          <t>BELLTECH</t>
        </is>
      </c>
      <c r="D649" t="inlineStr">
        <is>
          <t>BELLTECH</t>
        </is>
      </c>
      <c r="E649" s="3" t="n">
        <v>46084</v>
      </c>
      <c r="F649" s="3" t="n">
        <v>46083</v>
      </c>
      <c r="G649" t="inlineStr">
        <is>
          <t>09:47:00</t>
        </is>
      </c>
      <c r="H649" t="n">
        <v>266592150</v>
      </c>
      <c r="I649" t="n">
        <v>277422150</v>
      </c>
      <c r="J649" t="n">
        <v>17390000</v>
      </c>
      <c r="K649" t="n">
        <v>6560000</v>
      </c>
      <c r="M649">
        <f>I649-(H649+J649-K649)- L649</f>
        <v/>
      </c>
      <c r="N649">
        <f>IF(M649=0,"Cuadrado",IF(M649&gt;0,"Faltante","Sobrante"))</f>
        <v/>
      </c>
      <c r="O649" t="inlineStr">
        <is>
          <t>Cajero cuadrado, sin observación por parte de la sucursal</t>
        </is>
      </c>
      <c r="P649" t="n">
        <v>1088251245</v>
      </c>
    </row>
    <row r="650">
      <c r="A650" t="n">
        <v>866</v>
      </c>
      <c r="B650" t="n">
        <v>8662</v>
      </c>
      <c r="C650" t="inlineStr">
        <is>
          <t>BELLTECH</t>
        </is>
      </c>
      <c r="D650" t="inlineStr">
        <is>
          <t>BELLTECH</t>
        </is>
      </c>
      <c r="E650" s="3" t="n">
        <v>46084</v>
      </c>
      <c r="F650" s="3" t="n">
        <v>46083</v>
      </c>
      <c r="G650" t="inlineStr">
        <is>
          <t>09:37:00</t>
        </is>
      </c>
      <c r="H650" t="n">
        <v>63045450</v>
      </c>
      <c r="I650" t="n">
        <v>74845450</v>
      </c>
      <c r="J650" t="n">
        <v>11400000</v>
      </c>
      <c r="K650" t="n">
        <v>0</v>
      </c>
      <c r="M650">
        <f>I650-(H650+J650-K650)- L650</f>
        <v/>
      </c>
      <c r="N650">
        <f>IF(M650=0,"Cuadrado",IF(M650&gt;0,"Faltante","Sobrante"))</f>
        <v/>
      </c>
      <c r="O650" t="inlineStr">
        <is>
          <t>REPITIERON ARQUEO</t>
        </is>
      </c>
      <c r="P650" t="n">
        <v>1113674245</v>
      </c>
    </row>
    <row r="651">
      <c r="A651" t="n">
        <v>876</v>
      </c>
      <c r="B651" t="n">
        <v>9682</v>
      </c>
      <c r="C651" t="inlineStr">
        <is>
          <t>BELLTECH</t>
        </is>
      </c>
      <c r="D651" t="inlineStr">
        <is>
          <t>BELLTECH</t>
        </is>
      </c>
      <c r="E651" s="3" t="n">
        <v>46084</v>
      </c>
      <c r="F651" s="3" t="n">
        <v>46083</v>
      </c>
      <c r="G651" t="inlineStr">
        <is>
          <t>15:49:00</t>
        </is>
      </c>
      <c r="H651" t="n">
        <v>504195450</v>
      </c>
      <c r="I651" t="n">
        <v>382634450</v>
      </c>
      <c r="J651" t="n">
        <v>7520000</v>
      </c>
      <c r="K651" t="n">
        <v>131620000</v>
      </c>
      <c r="L651" t="n">
        <v>2539000</v>
      </c>
      <c r="M651">
        <f>I651-(H651+J651-K651)- L651</f>
        <v/>
      </c>
      <c r="N651">
        <f>IF(M651=0,"Cuadrado",IF(M651&gt;0,"Faltante","Sobrante"))</f>
        <v/>
      </c>
      <c r="O651" t="inlineStr">
        <is>
          <t>El faltante $2.539.000 es cruzado con sobrante contabilizado el día 06/02/2026 el cual es reversado por la seccion el día 03/03/2026</t>
        </is>
      </c>
      <c r="P651" t="n">
        <v>1002032451</v>
      </c>
    </row>
    <row r="652">
      <c r="A652" t="n">
        <v>888</v>
      </c>
      <c r="B652" t="n">
        <v>6818</v>
      </c>
      <c r="C652" t="inlineStr">
        <is>
          <t>BELLTECH</t>
        </is>
      </c>
      <c r="D652" t="inlineStr">
        <is>
          <t>BELLTECH</t>
        </is>
      </c>
      <c r="E652" s="3" t="n">
        <v>46084</v>
      </c>
      <c r="F652" s="3" t="n">
        <v>46083</v>
      </c>
      <c r="G652" t="inlineStr">
        <is>
          <t>11:09:00</t>
        </is>
      </c>
      <c r="H652" t="n">
        <v>125980200</v>
      </c>
      <c r="I652" t="n">
        <v>123180200</v>
      </c>
      <c r="J652" t="n">
        <v>0</v>
      </c>
      <c r="K652" t="n">
        <v>0</v>
      </c>
      <c r="M652">
        <f>I652-(H652+J652-K652)- L652</f>
        <v/>
      </c>
      <c r="N652">
        <f>IF(M652=0,"Cuadrado",IF(M652&gt;0,"Faltante","Sobrante"))</f>
        <v/>
      </c>
      <c r="O652" t="inlineStr">
        <is>
          <t>La diferencia es contabilizada por la Gerencia De Autoservicios y Efectivo de manera centralizada a la cuenta de sobrantes 279510020 el 03/03/2026</t>
        </is>
      </c>
      <c r="P652" t="n">
        <v>1085921765</v>
      </c>
    </row>
    <row r="653">
      <c r="A653" t="n">
        <v>907</v>
      </c>
      <c r="B653" t="n">
        <v>4830</v>
      </c>
      <c r="C653" t="inlineStr">
        <is>
          <t>BELLTECH</t>
        </is>
      </c>
      <c r="D653" t="inlineStr">
        <is>
          <t>BELLTECH</t>
        </is>
      </c>
      <c r="E653" s="3" t="n">
        <v>46084</v>
      </c>
      <c r="F653" s="3" t="n">
        <v>46083</v>
      </c>
      <c r="G653" t="inlineStr">
        <is>
          <t>09:43:00</t>
        </is>
      </c>
      <c r="H653" t="n">
        <v>260035950</v>
      </c>
      <c r="I653" t="n">
        <v>259735950</v>
      </c>
      <c r="J653" t="n">
        <v>0</v>
      </c>
      <c r="K653" t="n">
        <v>0</v>
      </c>
      <c r="M653">
        <f>I653-(H653+J653-K653)- L653</f>
        <v/>
      </c>
      <c r="N653">
        <f>IF(M653=0,"Cuadrado",IF(M653&gt;0,"Faltante","Sobrante"))</f>
        <v/>
      </c>
      <c r="O653" t="inlineStr">
        <is>
          <t>La diferencia es contabilizada por la Gerencia De Autoservicios y Efectivo de manera centralizada a la cuenta de sobrantes 279510020 el 03/03/2026</t>
        </is>
      </c>
      <c r="P653" t="n">
        <v>71339401</v>
      </c>
    </row>
    <row r="654">
      <c r="A654" t="n">
        <v>907</v>
      </c>
      <c r="B654" t="n">
        <v>5019</v>
      </c>
      <c r="C654" t="inlineStr">
        <is>
          <t>BELLTECH</t>
        </is>
      </c>
      <c r="D654" t="inlineStr">
        <is>
          <t>BELLTECH</t>
        </is>
      </c>
      <c r="E654" s="3" t="n">
        <v>46084</v>
      </c>
      <c r="F654" s="3" t="n">
        <v>46083</v>
      </c>
      <c r="G654" t="inlineStr">
        <is>
          <t>09:08:00</t>
        </is>
      </c>
      <c r="H654" t="n">
        <v>259784700</v>
      </c>
      <c r="I654" t="n">
        <v>274754700</v>
      </c>
      <c r="J654" t="n">
        <v>15000000</v>
      </c>
      <c r="K654" t="n">
        <v>0</v>
      </c>
      <c r="M654">
        <f>I654-(H654+J654-K654)- L654</f>
        <v/>
      </c>
      <c r="N654">
        <f>IF(M654=0,"Cuadrado",IF(M654&gt;0,"Faltante","Sobrante"))</f>
        <v/>
      </c>
      <c r="O654" t="inlineStr">
        <is>
          <t>La diferencia es contabilizada por la Gerencia De Autoservicios y Efectivo de manera centralizada a la cuenta de sobrantes 279510020 el 03/03/2026</t>
        </is>
      </c>
      <c r="P654" t="n">
        <v>71339401</v>
      </c>
    </row>
    <row r="655">
      <c r="A655" t="n">
        <v>946</v>
      </c>
      <c r="B655" t="n">
        <v>5225</v>
      </c>
      <c r="C655" t="inlineStr">
        <is>
          <t>BELLTECH</t>
        </is>
      </c>
      <c r="D655" t="inlineStr">
        <is>
          <t>BELLTECH</t>
        </is>
      </c>
      <c r="E655" s="3" t="n">
        <v>46084</v>
      </c>
      <c r="F655" s="3" t="n">
        <v>46080</v>
      </c>
      <c r="G655" t="inlineStr">
        <is>
          <t>15:31:00</t>
        </is>
      </c>
      <c r="H655" t="n">
        <v>203942750</v>
      </c>
      <c r="I655" t="n">
        <v>246926750</v>
      </c>
      <c r="J655" t="n">
        <v>47380000</v>
      </c>
      <c r="K655" t="n">
        <v>4396000</v>
      </c>
      <c r="M655">
        <f>I655-(H655+J655-K655)- L655</f>
        <v/>
      </c>
      <c r="N655">
        <f>IF(M655=0,"Cuadrado",IF(M655&gt;0,"Faltante","Sobrante"))</f>
        <v/>
      </c>
      <c r="O655" t="inlineStr">
        <is>
          <t>Cajero cuadrado, sin observación por parte de la sucursal</t>
        </is>
      </c>
      <c r="P655" t="n">
        <v>20500181</v>
      </c>
    </row>
    <row r="656">
      <c r="A656" t="n">
        <v>306</v>
      </c>
      <c r="B656" t="n">
        <v>428</v>
      </c>
      <c r="C656" t="inlineStr">
        <is>
          <t>DIEBOLD</t>
        </is>
      </c>
      <c r="D656" t="inlineStr">
        <is>
          <t>DIEBOLD</t>
        </is>
      </c>
      <c r="E656" s="3" t="n">
        <v>46105</v>
      </c>
      <c r="F656" s="3" t="n">
        <v>46101</v>
      </c>
      <c r="G656" t="inlineStr">
        <is>
          <t>16:45:00</t>
        </is>
      </c>
      <c r="H656" t="n">
        <v>73769200</v>
      </c>
      <c r="I656" t="n">
        <v>351374200</v>
      </c>
      <c r="J656" t="n">
        <v>4740000</v>
      </c>
      <c r="K656" t="n">
        <v>22811000</v>
      </c>
      <c r="M656">
        <f>I656-(H656+J656-K656)- L656</f>
        <v/>
      </c>
      <c r="N656">
        <f>IF(M656=0,"Cuadrado",IF(M656&gt;0,"Faltante","Sobrante"))</f>
        <v/>
      </c>
      <c r="O656" t="inlineStr">
        <is>
          <t>Gestión manual - Revisar por el personal encargado</t>
        </is>
      </c>
      <c r="P656" t="n">
        <v>1096233458</v>
      </c>
    </row>
    <row r="657">
      <c r="A657" t="n">
        <v>438</v>
      </c>
      <c r="B657" t="n">
        <v>1565</v>
      </c>
      <c r="C657" t="inlineStr">
        <is>
          <t>BELLTECH</t>
        </is>
      </c>
      <c r="D657" t="inlineStr">
        <is>
          <t>BELLTECH</t>
        </is>
      </c>
      <c r="E657" s="3" t="n">
        <v>46105</v>
      </c>
      <c r="F657" s="3" t="n">
        <v>46100</v>
      </c>
      <c r="G657" t="inlineStr">
        <is>
          <t>18:12:23</t>
        </is>
      </c>
      <c r="H657" t="n">
        <v>321063900</v>
      </c>
      <c r="I657" t="n">
        <v>186654900</v>
      </c>
      <c r="J657" t="n">
        <v>25530000</v>
      </c>
      <c r="K657" t="n">
        <v>29407000</v>
      </c>
      <c r="M657">
        <f>I657-(H657+J657-K657)- L657</f>
        <v/>
      </c>
      <c r="N657">
        <f>IF(M657=0,"Cuadrado",IF(M657&gt;0,"Faltante","Sobrante"))</f>
        <v/>
      </c>
      <c r="O657" t="inlineStr">
        <is>
          <t>La diferencia es contabilizada por la Gerencia De Autoservicios y Efectivo de manera centralizada a la cuenta de sobrantes 279510020 el 24/03/2026</t>
        </is>
      </c>
      <c r="P657" t="n">
        <v>1027887603</v>
      </c>
    </row>
    <row r="658">
      <c r="A658" t="n">
        <v>777</v>
      </c>
      <c r="B658" t="n">
        <v>4868</v>
      </c>
      <c r="C658" t="inlineStr">
        <is>
          <t>DIEBOLD</t>
        </is>
      </c>
      <c r="D658" t="inlineStr">
        <is>
          <t>DIEBOLD</t>
        </is>
      </c>
      <c r="E658" s="3" t="n">
        <v>46105</v>
      </c>
      <c r="F658" s="3" t="n">
        <v>46101</v>
      </c>
      <c r="G658" t="inlineStr">
        <is>
          <t>14:07:00</t>
        </is>
      </c>
      <c r="H658" t="n">
        <v>76420200</v>
      </c>
      <c r="I658" t="n">
        <v>49676550</v>
      </c>
      <c r="J658" t="n">
        <v>4170000</v>
      </c>
      <c r="K658" t="n">
        <v>24495650</v>
      </c>
      <c r="M658">
        <f>I658-(H658+J658-K658)- L658</f>
        <v/>
      </c>
      <c r="N658">
        <f>IF(M658=0,"Cuadrado",IF(M658&gt;0,"Faltante","Sobrante"))</f>
        <v/>
      </c>
      <c r="O658" t="inlineStr">
        <is>
          <t>La diferencia es contabilizada por la Gerencia De Autoservicios y Efectivo de manera centralizada a la cuenta de sobrantes 279510020 el 24/03/2026</t>
        </is>
      </c>
      <c r="P658" t="n">
        <v>1192816639</v>
      </c>
    </row>
    <row r="659">
      <c r="A659" t="n">
        <v>523</v>
      </c>
      <c r="B659" t="n">
        <v>5082</v>
      </c>
      <c r="C659" t="inlineStr">
        <is>
          <t>BELLTECH</t>
        </is>
      </c>
      <c r="D659" t="inlineStr">
        <is>
          <t>BELLTECH</t>
        </is>
      </c>
      <c r="E659" s="3" t="n">
        <v>46105</v>
      </c>
      <c r="F659" s="3" t="n">
        <v>46101</v>
      </c>
      <c r="G659" t="inlineStr">
        <is>
          <t>09:28:00</t>
        </is>
      </c>
      <c r="H659" t="n">
        <v>254478900</v>
      </c>
      <c r="I659" t="n">
        <v>222367900</v>
      </c>
      <c r="J659" t="n">
        <v>4730000</v>
      </c>
      <c r="K659" t="n">
        <v>31141000</v>
      </c>
      <c r="M659">
        <f>I659-(H659+J659-K659)- L659</f>
        <v/>
      </c>
      <c r="N659">
        <f>IF(M659=0,"Cuadrado",IF(M659&gt;0,"Faltante","Sobrante"))</f>
        <v/>
      </c>
      <c r="O659" t="inlineStr">
        <is>
          <t>La diferencia es contabilizada por la Gerencia De Autoservicios y Efectivo de manera centralizada a la cuenta de sobrantes 279510020 el 24/03/2026</t>
        </is>
      </c>
      <c r="P659" t="n">
        <v>1065609766</v>
      </c>
    </row>
    <row r="660">
      <c r="A660" t="n">
        <v>358</v>
      </c>
      <c r="B660" t="n">
        <v>5149</v>
      </c>
      <c r="C660" t="inlineStr">
        <is>
          <t>BELLTECH</t>
        </is>
      </c>
      <c r="D660" t="inlineStr">
        <is>
          <t>BELLTECH</t>
        </is>
      </c>
      <c r="E660" s="3" t="n">
        <v>46105</v>
      </c>
      <c r="F660" s="3" t="n">
        <v>46101</v>
      </c>
      <c r="G660" t="inlineStr">
        <is>
          <t>16:31:00</t>
        </is>
      </c>
      <c r="H660" t="n">
        <v>302385550</v>
      </c>
      <c r="I660" t="n">
        <v>133016250</v>
      </c>
      <c r="J660" t="n">
        <v>33500000</v>
      </c>
      <c r="K660" t="n">
        <v>195282650</v>
      </c>
      <c r="M660">
        <f>I660-(H660+J660-K660)- L660</f>
        <v/>
      </c>
      <c r="N660">
        <f>IF(M660=0,"Cuadrado",IF(M660&gt;0,"Faltante","Sobrante"))</f>
        <v/>
      </c>
      <c r="O660" t="inlineStr">
        <is>
          <t>La diferencia es contabilizada por la Gerencia De Autoservicios y Efectivo de manera centralizada a la cuenta de sobrantes 279510020 el 24/03/2026</t>
        </is>
      </c>
      <c r="P660" t="n">
        <v>46456877</v>
      </c>
    </row>
    <row r="661">
      <c r="A661" t="n">
        <v>793</v>
      </c>
      <c r="B661" t="n">
        <v>5216</v>
      </c>
      <c r="C661" t="inlineStr">
        <is>
          <t>BELLTECH</t>
        </is>
      </c>
      <c r="D661" t="inlineStr">
        <is>
          <t>BELLTECH</t>
        </is>
      </c>
      <c r="E661" s="3" t="n">
        <v>46105</v>
      </c>
      <c r="F661" s="3" t="n">
        <v>46101</v>
      </c>
      <c r="G661" t="inlineStr">
        <is>
          <t>11:14:00</t>
        </is>
      </c>
      <c r="H661" t="n">
        <v>230994400</v>
      </c>
      <c r="I661" t="n">
        <v>220238400</v>
      </c>
      <c r="J661" t="n">
        <v>11820000</v>
      </c>
      <c r="K661" t="n">
        <v>18526000</v>
      </c>
      <c r="M661">
        <f>I661-(H661+J661-K661)- L661</f>
        <v/>
      </c>
      <c r="N661">
        <f>IF(M661=0,"Cuadrado",IF(M661&gt;0,"Faltante","Sobrante"))</f>
        <v/>
      </c>
      <c r="O661" t="inlineStr">
        <is>
          <t>La diferencia es contabilizada por la Gerencia De Autoservicios y Efectivo de manera centralizada a la cuenta de sobrantes 279510020 el 24/03/2026</t>
        </is>
      </c>
      <c r="P661" t="n">
        <v>80218400</v>
      </c>
    </row>
    <row r="662">
      <c r="A662" t="n">
        <v>454</v>
      </c>
      <c r="B662" t="n">
        <v>5231</v>
      </c>
      <c r="C662" t="inlineStr">
        <is>
          <t>BELLTECH</t>
        </is>
      </c>
      <c r="D662" t="inlineStr">
        <is>
          <t>BELLTECH</t>
        </is>
      </c>
      <c r="E662" s="3" t="n">
        <v>46105</v>
      </c>
      <c r="F662" s="3" t="n">
        <v>46101</v>
      </c>
      <c r="G662" t="inlineStr">
        <is>
          <t>09:44:00</t>
        </is>
      </c>
      <c r="H662" t="n">
        <v>219996000</v>
      </c>
      <c r="I662" t="n">
        <v>193540600</v>
      </c>
      <c r="J662" t="n">
        <v>5640000</v>
      </c>
      <c r="K662" t="n">
        <v>31650000</v>
      </c>
      <c r="M662">
        <f>I662-(H662+J662-K662)- L662</f>
        <v/>
      </c>
      <c r="N662">
        <f>IF(M662=0,"Cuadrado",IF(M662&gt;0,"Faltante","Sobrante"))</f>
        <v/>
      </c>
      <c r="O662" t="inlineStr">
        <is>
          <t>La diferencia es contabilizada por la Gerencia De Autoservicios y Efectivo de manera centralizada a la cuenta de sobrantes 279510020 el 24/03/2026</t>
        </is>
      </c>
      <c r="P662" t="n">
        <v>1075238548</v>
      </c>
    </row>
    <row r="663">
      <c r="A663" t="n">
        <v>894</v>
      </c>
      <c r="B663" t="n">
        <v>6466</v>
      </c>
      <c r="C663" t="inlineStr">
        <is>
          <t>BELLTECH</t>
        </is>
      </c>
      <c r="D663" t="inlineStr">
        <is>
          <t>BELLTECH</t>
        </is>
      </c>
      <c r="E663" s="3" t="n">
        <v>46105</v>
      </c>
      <c r="F663" s="3" t="n">
        <v>46101</v>
      </c>
      <c r="G663" t="inlineStr">
        <is>
          <t>10:15:00</t>
        </is>
      </c>
      <c r="H663" t="n">
        <v>267981500</v>
      </c>
      <c r="I663" t="n">
        <v>277359000</v>
      </c>
      <c r="J663" t="n">
        <v>2040000</v>
      </c>
      <c r="K663" t="n">
        <v>0</v>
      </c>
      <c r="M663">
        <f>I663-(H663+J663-K663)- L663</f>
        <v/>
      </c>
      <c r="N663">
        <f>IF(M663=0,"Cuadrado",IF(M663&gt;0,"Faltante","Sobrante"))</f>
        <v/>
      </c>
      <c r="O663" t="inlineStr">
        <is>
          <t>El faltante $7.337.500 es cruzado con sobrante contabilizado el día 05/02/2026 ($2.900.000), el día 05/02/2026 ($4.437.500) el cual es reversado por la seccion el día 24/03/2026</t>
        </is>
      </c>
      <c r="P663" t="n">
        <v>1087122088</v>
      </c>
    </row>
    <row r="664">
      <c r="A664" t="n">
        <v>728</v>
      </c>
      <c r="B664" t="n">
        <v>8587</v>
      </c>
      <c r="C664" t="inlineStr">
        <is>
          <t>BELLTECH</t>
        </is>
      </c>
      <c r="D664" t="inlineStr">
        <is>
          <t>BELLTECH</t>
        </is>
      </c>
      <c r="E664" s="3" t="n">
        <v>46105</v>
      </c>
      <c r="F664" s="3" t="n">
        <v>46101</v>
      </c>
      <c r="G664" t="inlineStr">
        <is>
          <t>14:24:00</t>
        </is>
      </c>
      <c r="H664" t="n">
        <v>182812350</v>
      </c>
      <c r="I664" t="n">
        <v>168712350</v>
      </c>
      <c r="J664" t="n">
        <v>30200000</v>
      </c>
      <c r="K664" t="n">
        <v>44299950</v>
      </c>
      <c r="M664">
        <f>I664-(H664+J664-K664)- L664</f>
        <v/>
      </c>
      <c r="N664">
        <f>IF(M664=0,"Cuadrado",IF(M664&gt;0,"Faltante","Sobrante"))</f>
        <v/>
      </c>
      <c r="O664" t="inlineStr">
        <is>
          <t>La diferencia es contabilizada por la Gerencia De Autoservicios y Efectivo de manera centralizada a la cuenta de sobrantes 279510020 el 24/03/2026</t>
        </is>
      </c>
      <c r="P664" t="n">
        <v>1112783690</v>
      </c>
    </row>
    <row r="665">
      <c r="A665" t="n">
        <v>60</v>
      </c>
      <c r="B665" t="n">
        <v>8728</v>
      </c>
      <c r="C665" t="inlineStr">
        <is>
          <t>DIEBOLD</t>
        </is>
      </c>
      <c r="D665" t="inlineStr">
        <is>
          <t>DIEBOLD</t>
        </is>
      </c>
      <c r="E665" s="3" t="n">
        <v>46105</v>
      </c>
      <c r="F665" s="3" t="n">
        <v>46101</v>
      </c>
      <c r="G665" t="inlineStr">
        <is>
          <t>09:36:00</t>
        </is>
      </c>
      <c r="H665" t="n">
        <v>122840950</v>
      </c>
      <c r="I665" t="n">
        <v>114983150</v>
      </c>
      <c r="J665" t="n">
        <v>0</v>
      </c>
      <c r="K665" t="n">
        <v>7629800</v>
      </c>
      <c r="M665">
        <f>I665-(H665+J665-K665)- L665</f>
        <v/>
      </c>
      <c r="N665">
        <f>IF(M665=0,"Cuadrado",IF(M665&gt;0,"Faltante","Sobrante"))</f>
        <v/>
      </c>
      <c r="O665" t="inlineStr">
        <is>
          <t>La diferencia es contabilizada por la Gerencia De Autoservicios y Efectivo de manera centralizada a la cuenta de sobrantes 279510020 el 24/03/2026</t>
        </is>
      </c>
      <c r="P665" t="n">
        <v>14697128</v>
      </c>
    </row>
    <row r="666">
      <c r="A666" t="n">
        <v>721</v>
      </c>
      <c r="B666" t="n">
        <v>8896</v>
      </c>
      <c r="C666" t="inlineStr">
        <is>
          <t>BELLTECH</t>
        </is>
      </c>
      <c r="D666" t="inlineStr">
        <is>
          <t>BELLTECH</t>
        </is>
      </c>
      <c r="E666" s="3" t="n">
        <v>46105</v>
      </c>
      <c r="F666" s="3" t="n">
        <v>46101</v>
      </c>
      <c r="G666" t="inlineStr">
        <is>
          <t>14:12:00</t>
        </is>
      </c>
      <c r="H666" t="n">
        <v>102555600</v>
      </c>
      <c r="I666" t="n">
        <v>65149800</v>
      </c>
      <c r="J666" t="n">
        <v>14560000</v>
      </c>
      <c r="K666" t="n">
        <v>51963800</v>
      </c>
      <c r="M666">
        <f>I666-(H666+J666-K666)- L666</f>
        <v/>
      </c>
      <c r="N666">
        <f>IF(M666=0,"Cuadrado",IF(M666&gt;0,"Faltante","Sobrante"))</f>
        <v/>
      </c>
      <c r="O666" t="inlineStr">
        <is>
          <t>La diferencia es contabilizada por la Gerencia De Autoservicios y Efectivo de manera centralizada a la cuenta de sobrantes 279510020 el 24/03/2026</t>
        </is>
      </c>
      <c r="P666" t="n">
        <v>1088262262</v>
      </c>
    </row>
    <row r="667">
      <c r="A667" t="n">
        <v>721</v>
      </c>
      <c r="B667" t="n">
        <v>8897</v>
      </c>
      <c r="C667" t="inlineStr">
        <is>
          <t>DIEBOLD</t>
        </is>
      </c>
      <c r="D667" t="inlineStr">
        <is>
          <t>BELLTECH</t>
        </is>
      </c>
      <c r="E667" s="3" t="n">
        <v>46105</v>
      </c>
      <c r="F667" s="3" t="n">
        <v>46101</v>
      </c>
      <c r="G667" t="inlineStr">
        <is>
          <t>10:49:00</t>
        </is>
      </c>
      <c r="H667" t="n">
        <v>87800300</v>
      </c>
      <c r="I667" t="n">
        <v>74704300</v>
      </c>
      <c r="J667" t="n">
        <v>8940000</v>
      </c>
      <c r="K667" t="n">
        <v>22095950</v>
      </c>
      <c r="M667">
        <f>I667-(H667+J667-K667)- L667</f>
        <v/>
      </c>
      <c r="N667">
        <f>IF(M667=0,"Cuadrado",IF(M667&gt;0,"Faltante","Sobrante"))</f>
        <v/>
      </c>
      <c r="O667" t="inlineStr">
        <is>
          <t>El faltante $259.950 es cruzado con sobrante contabilizado el día 19/03/2026 ($60.000), el día 20/03/2026 ($199.950) el cual es reversado por la seccion el día 24/03/2026</t>
        </is>
      </c>
      <c r="P667" t="n">
        <v>1088262262</v>
      </c>
    </row>
    <row r="668">
      <c r="A668" t="n">
        <v>467</v>
      </c>
      <c r="B668" t="n">
        <v>9051</v>
      </c>
      <c r="C668" t="inlineStr">
        <is>
          <t>BELLTECH</t>
        </is>
      </c>
      <c r="D668" t="inlineStr">
        <is>
          <t>BELLTECH</t>
        </is>
      </c>
      <c r="E668" s="3" t="n">
        <v>46105</v>
      </c>
      <c r="F668" s="3" t="n">
        <v>46101</v>
      </c>
      <c r="G668" t="inlineStr">
        <is>
          <t>11:23:00</t>
        </is>
      </c>
      <c r="H668" t="n">
        <v>261723050</v>
      </c>
      <c r="I668" t="n">
        <v>250563050</v>
      </c>
      <c r="J668" t="n">
        <v>5060000</v>
      </c>
      <c r="K668" t="n">
        <v>9220000</v>
      </c>
      <c r="M668">
        <f>I668-(H668+J668-K668)- L668</f>
        <v/>
      </c>
      <c r="N668">
        <f>IF(M668=0,"Cuadrado",IF(M668&gt;0,"Faltante","Sobrante"))</f>
        <v/>
      </c>
      <c r="O668" t="inlineStr">
        <is>
          <t>La diferencia es contabilizada por la Gerencia De Autoservicios y Efectivo de manera centralizada a la cuenta de sobrantes 279510020 el 24/03/2026</t>
        </is>
      </c>
      <c r="P668" t="n">
        <v>52539189</v>
      </c>
    </row>
    <row r="669">
      <c r="A669" t="n">
        <v>890</v>
      </c>
      <c r="B669" t="n">
        <v>9584</v>
      </c>
      <c r="C669" t="inlineStr">
        <is>
          <t>BELLTECH</t>
        </is>
      </c>
      <c r="D669" t="inlineStr">
        <is>
          <t>BELLTECH</t>
        </is>
      </c>
      <c r="E669" s="3" t="n">
        <v>46105</v>
      </c>
      <c r="F669" s="3" t="n">
        <v>46101</v>
      </c>
      <c r="G669" t="inlineStr">
        <is>
          <t>08:54:00</t>
        </is>
      </c>
      <c r="H669" t="n">
        <v>223123850</v>
      </c>
      <c r="I669" t="n">
        <v>221793850</v>
      </c>
      <c r="J669" t="n">
        <v>2920000</v>
      </c>
      <c r="K669" t="n">
        <v>4200000</v>
      </c>
      <c r="M669">
        <f>I669-(H669+J669-K669)- L669</f>
        <v/>
      </c>
      <c r="N669">
        <f>IF(M669=0,"Cuadrado",IF(M669&gt;0,"Faltante","Sobrante"))</f>
        <v/>
      </c>
      <c r="O669" t="inlineStr">
        <is>
          <t>La diferencia es contabilizada por la Gerencia De Autoservicios y Efectivo de manera centralizada a la cuenta de sobrantes 279510020 el 24/03/2026</t>
        </is>
      </c>
      <c r="P669" t="n">
        <v>1006821894</v>
      </c>
    </row>
    <row r="670">
      <c r="A670" t="n">
        <v>728</v>
      </c>
      <c r="B670" t="n">
        <v>8586</v>
      </c>
      <c r="C670" t="inlineStr">
        <is>
          <t>BELLTECH</t>
        </is>
      </c>
      <c r="D670" t="inlineStr">
        <is>
          <t>BELLTECH</t>
        </is>
      </c>
      <c r="E670" s="3" t="n">
        <v>46105</v>
      </c>
      <c r="F670" s="3" t="n">
        <v>46101</v>
      </c>
      <c r="G670" t="inlineStr">
        <is>
          <t>13:59:00</t>
        </is>
      </c>
      <c r="H670" t="n">
        <v>266490150</v>
      </c>
      <c r="I670" t="n">
        <v>259713150</v>
      </c>
      <c r="J670" t="n">
        <v>18980000</v>
      </c>
      <c r="K670" t="n">
        <v>25757000</v>
      </c>
      <c r="M670">
        <f>I670-(H670+J670-K670)- L670</f>
        <v/>
      </c>
      <c r="N670">
        <f>IF(M670=0,"Cuadrado",IF(M670&gt;0,"Faltante","Sobrante"))</f>
        <v/>
      </c>
      <c r="O670" t="inlineStr">
        <is>
          <t>Cajero cuadrado, sin observación por parte de la sucursal</t>
        </is>
      </c>
      <c r="P670" t="n">
        <v>1112783690</v>
      </c>
    </row>
    <row r="671">
      <c r="A671" t="n">
        <v>306</v>
      </c>
      <c r="B671" t="n">
        <v>428</v>
      </c>
      <c r="C671" t="inlineStr">
        <is>
          <t>DIEBOLD</t>
        </is>
      </c>
      <c r="D671" t="inlineStr">
        <is>
          <t>DIEBOLD</t>
        </is>
      </c>
      <c r="E671" s="3" t="n">
        <v>46106</v>
      </c>
      <c r="F671" s="3" t="n">
        <v>46105</v>
      </c>
      <c r="G671" t="inlineStr">
        <is>
          <t>15:37:00</t>
        </is>
      </c>
      <c r="H671" t="n">
        <v>68070100</v>
      </c>
      <c r="I671" t="n">
        <v>458695600</v>
      </c>
      <c r="J671" t="n">
        <v>0</v>
      </c>
      <c r="K671" t="n">
        <v>37185500</v>
      </c>
      <c r="M671">
        <f>I671-(H671+J671-K671)- L671</f>
        <v/>
      </c>
      <c r="N671">
        <f>IF(M671=0,"Cuadrado",IF(M671&gt;0,"Faltante","Sobrante"))</f>
        <v/>
      </c>
      <c r="O671" t="inlineStr">
        <is>
          <t>ACLARAR DIFERENCIA Y REPETIR EL ARQUEO</t>
        </is>
      </c>
      <c r="P671" t="n">
        <v>1096233458</v>
      </c>
    </row>
    <row r="672">
      <c r="A672" t="n">
        <v>795</v>
      </c>
      <c r="B672" t="n">
        <v>1027</v>
      </c>
      <c r="C672" t="inlineStr">
        <is>
          <t>BELLTECH</t>
        </is>
      </c>
      <c r="D672" t="inlineStr">
        <is>
          <t>BELLTECH</t>
        </is>
      </c>
      <c r="E672" s="3" t="n">
        <v>46106</v>
      </c>
      <c r="F672" s="3" t="n">
        <v>46105</v>
      </c>
      <c r="G672" t="inlineStr">
        <is>
          <t>09:10:00</t>
        </is>
      </c>
      <c r="H672" t="n">
        <v>291953850</v>
      </c>
      <c r="I672" t="n">
        <v>288516600</v>
      </c>
      <c r="J672" t="n">
        <v>4190000</v>
      </c>
      <c r="K672" t="n">
        <v>7582000</v>
      </c>
      <c r="M672">
        <f>I672-(H672+J672-K672)- L672</f>
        <v/>
      </c>
      <c r="N672">
        <f>IF(M672=0,"Cuadrado",IF(M672&gt;0,"Faltante","Sobrante"))</f>
        <v/>
      </c>
      <c r="O672" t="inlineStr">
        <is>
          <t>La diferencia es contabilizada por la Gerencia De Autoservicios y Efectivo de manera centralizada a la cuenta de sobrantes 279510020 el 25/03/2026</t>
        </is>
      </c>
      <c r="P672" t="n">
        <v>91274094</v>
      </c>
    </row>
    <row r="673">
      <c r="A673" t="n">
        <v>795</v>
      </c>
      <c r="B673" t="n">
        <v>1028</v>
      </c>
      <c r="C673" t="inlineStr">
        <is>
          <t>BELLTECH</t>
        </is>
      </c>
      <c r="D673" t="inlineStr">
        <is>
          <t>BELLTECH</t>
        </is>
      </c>
      <c r="E673" s="3" t="n">
        <v>46106</v>
      </c>
      <c r="F673" s="3" t="n">
        <v>46105</v>
      </c>
      <c r="G673" t="inlineStr">
        <is>
          <t>08:31:00</t>
        </is>
      </c>
      <c r="H673" t="n">
        <v>191146850</v>
      </c>
      <c r="I673" t="n">
        <v>189197700</v>
      </c>
      <c r="J673" t="n">
        <v>300000</v>
      </c>
      <c r="K673" t="n">
        <v>2300000</v>
      </c>
      <c r="M673">
        <f>I673-(H673+J673-K673)- L673</f>
        <v/>
      </c>
      <c r="N673">
        <f>IF(M673=0,"Cuadrado",IF(M673&gt;0,"Faltante","Sobrante"))</f>
        <v/>
      </c>
      <c r="O673" t="inlineStr">
        <is>
          <t>ACLARAR DIFERENCIA Y REPETIR EL ARQUEO</t>
        </is>
      </c>
      <c r="P673" t="n">
        <v>91274094</v>
      </c>
    </row>
    <row r="674">
      <c r="A674" t="n">
        <v>395</v>
      </c>
      <c r="B674" t="n">
        <v>1529</v>
      </c>
      <c r="C674" t="inlineStr">
        <is>
          <t>BELLTECH</t>
        </is>
      </c>
      <c r="D674" t="inlineStr">
        <is>
          <t>BELLTECH</t>
        </is>
      </c>
      <c r="E674" s="3" t="n">
        <v>46106</v>
      </c>
      <c r="F674" s="3" t="n">
        <v>46105</v>
      </c>
      <c r="G674" t="inlineStr">
        <is>
          <t>09:46:00</t>
        </is>
      </c>
      <c r="H674" t="n">
        <v>244404700</v>
      </c>
      <c r="I674" t="n">
        <v>203376700</v>
      </c>
      <c r="J674" t="n">
        <v>2840000</v>
      </c>
      <c r="K674" t="n">
        <v>41468000</v>
      </c>
      <c r="M674">
        <f>I674-(H674+J674-K674)- L674</f>
        <v/>
      </c>
      <c r="N674">
        <f>IF(M674=0,"Cuadrado",IF(M674&gt;0,"Faltante","Sobrante"))</f>
        <v/>
      </c>
      <c r="O674" t="inlineStr">
        <is>
          <t>La diferencia es contabilizada por la Gerencia De Autoservicios y Efectivo de manera centralizada a la cuenta de sobrantes 279510020 el 25/03/2026</t>
        </is>
      </c>
      <c r="P674" t="n">
        <v>1121857901</v>
      </c>
    </row>
    <row r="675">
      <c r="A675" t="n">
        <v>275</v>
      </c>
      <c r="B675" t="n">
        <v>5034</v>
      </c>
      <c r="C675" t="inlineStr">
        <is>
          <t>BELLTECH</t>
        </is>
      </c>
      <c r="D675" t="inlineStr">
        <is>
          <t>BELLTECH</t>
        </is>
      </c>
      <c r="E675" s="3" t="n">
        <v>46106</v>
      </c>
      <c r="F675" s="3" t="n">
        <v>46105</v>
      </c>
      <c r="G675" t="inlineStr">
        <is>
          <t>11:27:00</t>
        </is>
      </c>
      <c r="H675" t="n">
        <v>54535350</v>
      </c>
      <c r="I675" t="n">
        <v>294144450</v>
      </c>
      <c r="J675" t="n">
        <v>8170000</v>
      </c>
      <c r="K675" t="n">
        <v>10839900</v>
      </c>
      <c r="M675">
        <f>I675-(H675+J675-K675)- L675</f>
        <v/>
      </c>
      <c r="N675">
        <f>IF(M675=0,"Cuadrado",IF(M675&gt;0,"Faltante","Sobrante"))</f>
        <v/>
      </c>
      <c r="O675" t="inlineStr">
        <is>
          <t>Cajero cuadrado, sin observación por parte de la sucursal</t>
        </is>
      </c>
      <c r="P675" t="n">
        <v>16055613</v>
      </c>
    </row>
    <row r="676">
      <c r="A676" t="n">
        <v>115</v>
      </c>
      <c r="B676" t="n">
        <v>5080</v>
      </c>
      <c r="C676" t="inlineStr">
        <is>
          <t>BELLTECH</t>
        </is>
      </c>
      <c r="D676" t="inlineStr">
        <is>
          <t>BELLTECH</t>
        </is>
      </c>
      <c r="E676" s="3" t="n">
        <v>46106</v>
      </c>
      <c r="F676" s="3" t="n">
        <v>46105</v>
      </c>
      <c r="G676" t="inlineStr">
        <is>
          <t>09:35:00</t>
        </is>
      </c>
      <c r="H676" t="n">
        <v>1035042150</v>
      </c>
      <c r="I676" t="n">
        <v>484015650</v>
      </c>
      <c r="J676" t="n">
        <v>1040000</v>
      </c>
      <c r="K676" t="n">
        <v>35005000</v>
      </c>
      <c r="M676">
        <f>I676-(H676+J676-K676)- L676</f>
        <v/>
      </c>
      <c r="N676">
        <f>IF(M676=0,"Cuadrado",IF(M676&gt;0,"Faltante","Sobrante"))</f>
        <v/>
      </c>
      <c r="O676" t="inlineStr">
        <is>
          <t>La diferencia es contabilizada por la Gerencia De Autoservicios y Efectivo de manera centralizada a la cuenta de sobrantes 279510020 el 25/03/2026</t>
        </is>
      </c>
      <c r="P676" t="n">
        <v>42158306</v>
      </c>
    </row>
    <row r="677">
      <c r="A677" t="n">
        <v>634</v>
      </c>
      <c r="B677" t="n">
        <v>5087</v>
      </c>
      <c r="C677" t="inlineStr">
        <is>
          <t>BELLTECH</t>
        </is>
      </c>
      <c r="D677" t="inlineStr">
        <is>
          <t>BELLTECH</t>
        </is>
      </c>
      <c r="E677" s="3" t="n">
        <v>46106</v>
      </c>
      <c r="F677" s="3" t="n">
        <v>46105</v>
      </c>
      <c r="G677" t="inlineStr">
        <is>
          <t>09:20:00</t>
        </is>
      </c>
      <c r="H677" t="n">
        <v>212583000</v>
      </c>
      <c r="I677" t="n">
        <v>214753000</v>
      </c>
      <c r="J677" t="n">
        <v>0</v>
      </c>
      <c r="K677" t="n">
        <v>0</v>
      </c>
      <c r="M677">
        <f>I677-(H677+J677-K677)- L677</f>
        <v/>
      </c>
      <c r="N677">
        <f>IF(M677=0,"Cuadrado",IF(M677&gt;0,"Faltante","Sobrante"))</f>
        <v/>
      </c>
      <c r="O677" t="inlineStr">
        <is>
          <t>El faltante $2.170.000 es cruzado con sobrante contabilizado el día 16/03/2026 ($2.021.000), el día 19/03/2026 ($149.000) el cual es reversado por la seccion el día 25/03/2026</t>
        </is>
      </c>
      <c r="P677" t="n">
        <v>1032424944</v>
      </c>
    </row>
    <row r="678">
      <c r="A678" t="n">
        <v>191</v>
      </c>
      <c r="B678" t="n">
        <v>5112</v>
      </c>
      <c r="C678" t="inlineStr">
        <is>
          <t>BELLTECH</t>
        </is>
      </c>
      <c r="D678" t="inlineStr">
        <is>
          <t>BELLTECH</t>
        </is>
      </c>
      <c r="E678" s="3" t="n">
        <v>46106</v>
      </c>
      <c r="F678" s="3" t="n">
        <v>46105</v>
      </c>
      <c r="G678" t="inlineStr">
        <is>
          <t>11:28:00</t>
        </is>
      </c>
      <c r="H678" t="n">
        <v>167552650</v>
      </c>
      <c r="I678" t="n">
        <v>147269450</v>
      </c>
      <c r="J678" t="n">
        <v>12000000</v>
      </c>
      <c r="K678" t="n">
        <v>29333200</v>
      </c>
      <c r="M678">
        <f>I678-(H678+J678-K678)- L678</f>
        <v/>
      </c>
      <c r="N678">
        <f>IF(M678=0,"Cuadrado",IF(M678&gt;0,"Faltante","Sobrante"))</f>
        <v/>
      </c>
      <c r="O678" t="inlineStr">
        <is>
          <t>La diferencia es contabilizada por la Gerencia De Autoservicios y Efectivo de manera centralizada a la cuenta de sobrantes 279510020 el 25/03/2026</t>
        </is>
      </c>
      <c r="P678" t="n">
        <v>80812756</v>
      </c>
    </row>
    <row r="679">
      <c r="A679" t="n">
        <v>292</v>
      </c>
      <c r="B679" t="n">
        <v>5116</v>
      </c>
      <c r="C679" t="inlineStr">
        <is>
          <t>BELLTECH</t>
        </is>
      </c>
      <c r="D679" t="inlineStr">
        <is>
          <t>BELLTECH</t>
        </is>
      </c>
      <c r="E679" s="3" t="n">
        <v>46106</v>
      </c>
      <c r="F679" s="3" t="n">
        <v>46105</v>
      </c>
      <c r="G679" t="inlineStr">
        <is>
          <t>09:10:00</t>
        </is>
      </c>
      <c r="H679" t="n">
        <v>249051300</v>
      </c>
      <c r="I679" t="n">
        <v>249023650</v>
      </c>
      <c r="J679" t="n">
        <v>0</v>
      </c>
      <c r="K679" t="n">
        <v>0</v>
      </c>
      <c r="M679">
        <f>I679-(H679+J679-K679)- L679</f>
        <v/>
      </c>
      <c r="N679">
        <f>IF(M679=0,"Cuadrado",IF(M679&gt;0,"Faltante","Sobrante"))</f>
        <v/>
      </c>
      <c r="O679" t="inlineStr">
        <is>
          <t>La diferencia es contabilizada por la Gerencia De Autoservicios y Efectivo de manera centralizada a la cuenta de sobrantes 279510020 el 25/03/2026</t>
        </is>
      </c>
      <c r="P679" t="n">
        <v>15490871</v>
      </c>
    </row>
    <row r="680">
      <c r="A680" t="n">
        <v>101</v>
      </c>
      <c r="B680" t="n">
        <v>5128</v>
      </c>
      <c r="C680" t="inlineStr">
        <is>
          <t>BELLTECH</t>
        </is>
      </c>
      <c r="D680" t="inlineStr">
        <is>
          <t>BELLTECH</t>
        </is>
      </c>
      <c r="E680" s="3" t="n">
        <v>46106</v>
      </c>
      <c r="F680" s="3" t="n">
        <v>46105</v>
      </c>
      <c r="G680" t="inlineStr">
        <is>
          <t>15:09:00</t>
        </is>
      </c>
      <c r="H680" t="n">
        <v>106442550</v>
      </c>
      <c r="I680" t="n">
        <v>357532550</v>
      </c>
      <c r="J680" t="n">
        <v>13400000</v>
      </c>
      <c r="K680" t="n">
        <v>103723000</v>
      </c>
      <c r="M680">
        <f>I680-(H680+J680-K680)- L680</f>
        <v/>
      </c>
      <c r="N680">
        <f>IF(M680=0,"Cuadrado",IF(M680&gt;0,"Faltante","Sobrante"))</f>
        <v/>
      </c>
      <c r="O680" t="inlineStr">
        <is>
          <t>La diferencia es contabilizada por la Gerencia De Autoservicios y Efectivo de manera centralizada a la cuenta de sobrantes 279510020 el 25/03/2026</t>
        </is>
      </c>
      <c r="P680" t="n">
        <v>1033724729</v>
      </c>
    </row>
    <row r="681">
      <c r="A681" t="n">
        <v>383</v>
      </c>
      <c r="B681" t="n">
        <v>5194</v>
      </c>
      <c r="C681" t="inlineStr">
        <is>
          <t>BELLTECH</t>
        </is>
      </c>
      <c r="D681" t="inlineStr">
        <is>
          <t>BELLTECH</t>
        </is>
      </c>
      <c r="E681" s="3" t="n">
        <v>46106</v>
      </c>
      <c r="F681" s="3" t="n">
        <v>46105</v>
      </c>
      <c r="G681" t="inlineStr">
        <is>
          <t>09:30:00</t>
        </is>
      </c>
      <c r="H681" t="n">
        <v>279517850</v>
      </c>
      <c r="I681" t="n">
        <v>249245850</v>
      </c>
      <c r="J681" t="n">
        <v>3770000</v>
      </c>
      <c r="K681" t="n">
        <v>37112000</v>
      </c>
      <c r="M681">
        <f>I681-(H681+J681-K681)- L681</f>
        <v/>
      </c>
      <c r="N681">
        <f>IF(M681=0,"Cuadrado",IF(M681&gt;0,"Faltante","Sobrante"))</f>
        <v/>
      </c>
      <c r="O681" t="inlineStr">
        <is>
          <t>El faltante $3.070.000 es cruzado con sobrante contabilizado el día 19/03/2026 ($1.650.000), el día 20/03/2026 ($1.420.000) el cual es reversado por la seccion el día 25/03/2026</t>
        </is>
      </c>
      <c r="P681" t="n">
        <v>1073160492</v>
      </c>
    </row>
    <row r="682">
      <c r="A682" t="n">
        <v>674</v>
      </c>
      <c r="B682" t="n">
        <v>5200</v>
      </c>
      <c r="C682" t="inlineStr">
        <is>
          <t>BELLTECH</t>
        </is>
      </c>
      <c r="D682" t="inlineStr">
        <is>
          <t>BELLTECH</t>
        </is>
      </c>
      <c r="E682" s="3" t="n">
        <v>46106</v>
      </c>
      <c r="F682" s="3" t="n">
        <v>46105</v>
      </c>
      <c r="G682" t="inlineStr">
        <is>
          <t>10:51:00</t>
        </is>
      </c>
      <c r="H682" t="n">
        <v>13208250</v>
      </c>
      <c r="I682" t="n">
        <v>29768300</v>
      </c>
      <c r="J682" t="n">
        <v>16560000</v>
      </c>
      <c r="K682" t="n">
        <v>0</v>
      </c>
      <c r="M682">
        <f>I682-(H682+J682-K682)- L682</f>
        <v/>
      </c>
      <c r="N682">
        <f>IF(M682=0,"Cuadrado",IF(M682&gt;0,"Faltante","Sobrante"))</f>
        <v/>
      </c>
      <c r="O682" t="inlineStr">
        <is>
          <t>ACLARAR DIFERENCIA Y REPETIR EL ARQUEO</t>
        </is>
      </c>
      <c r="P682" t="n">
        <v>79813088</v>
      </c>
    </row>
    <row r="683">
      <c r="A683" t="n">
        <v>678</v>
      </c>
      <c r="B683" t="n">
        <v>5227</v>
      </c>
      <c r="C683" t="inlineStr">
        <is>
          <t>BELLTECH</t>
        </is>
      </c>
      <c r="D683" t="inlineStr">
        <is>
          <t>BELLTECH</t>
        </is>
      </c>
      <c r="E683" s="3" t="n">
        <v>46106</v>
      </c>
      <c r="F683" s="3" t="n">
        <v>46105</v>
      </c>
      <c r="G683" t="inlineStr">
        <is>
          <t>08:49:00</t>
        </is>
      </c>
      <c r="H683" t="n">
        <v>190243100</v>
      </c>
      <c r="I683" t="n">
        <v>195026400</v>
      </c>
      <c r="J683" t="n">
        <v>0</v>
      </c>
      <c r="K683" t="n">
        <v>0</v>
      </c>
      <c r="M683">
        <f>I683-(H683+J683-K683)- L683</f>
        <v/>
      </c>
      <c r="N683">
        <f>IF(M683=0,"Cuadrado",IF(M683&gt;0,"Faltante","Sobrante"))</f>
        <v/>
      </c>
      <c r="O683" t="inlineStr">
        <is>
          <t>El faltante $4.783.300 es cruzado con sobrante contabilizado el día 17/03/2026 ($15.000), el día 18/03/2026 ($2.635.000), el día 20/03/2026 ($2.133.300) el cual es reversado por la seccion el día 25/03/2026</t>
        </is>
      </c>
      <c r="P683" t="n">
        <v>1102586250</v>
      </c>
    </row>
    <row r="684">
      <c r="A684" t="n">
        <v>267</v>
      </c>
      <c r="B684" t="n">
        <v>6186</v>
      </c>
      <c r="C684" t="inlineStr">
        <is>
          <t>BELLTECH</t>
        </is>
      </c>
      <c r="D684" t="inlineStr">
        <is>
          <t>BELLTECH</t>
        </is>
      </c>
      <c r="E684" s="3" t="n">
        <v>46106</v>
      </c>
      <c r="F684" s="3" t="n">
        <v>46105</v>
      </c>
      <c r="G684" t="inlineStr">
        <is>
          <t>09:17:00</t>
        </is>
      </c>
      <c r="H684" t="n">
        <v>218744700</v>
      </c>
      <c r="I684" t="n">
        <v>223800250</v>
      </c>
      <c r="J684" t="n">
        <v>5160000</v>
      </c>
      <c r="K684" t="n">
        <v>0</v>
      </c>
      <c r="M684">
        <f>I684-(H684+J684-K684)- L684</f>
        <v/>
      </c>
      <c r="N684">
        <f>IF(M684=0,"Cuadrado",IF(M684&gt;0,"Faltante","Sobrante"))</f>
        <v/>
      </c>
      <c r="O684" t="inlineStr">
        <is>
          <t>El faltante $1.020.000 es cruzado con sobrante contabilizado el día 24/03/2026 ($1.020.000) el cual es reversado por la seccion el día 25/03/2026</t>
        </is>
      </c>
      <c r="P684" t="n">
        <v>1017263917</v>
      </c>
    </row>
    <row r="685">
      <c r="A685" t="n">
        <v>178</v>
      </c>
      <c r="B685" t="n">
        <v>6218</v>
      </c>
      <c r="C685" t="inlineStr">
        <is>
          <t>BELLTECH</t>
        </is>
      </c>
      <c r="D685" t="inlineStr">
        <is>
          <t>BELLTECH</t>
        </is>
      </c>
      <c r="E685" s="3" t="n">
        <v>46106</v>
      </c>
      <c r="F685" s="3" t="n">
        <v>46105</v>
      </c>
      <c r="G685" t="inlineStr">
        <is>
          <t>10:22:00</t>
        </is>
      </c>
      <c r="H685" t="n">
        <v>165840200</v>
      </c>
      <c r="I685" t="n">
        <v>162385650</v>
      </c>
      <c r="J685" t="n">
        <v>3060000</v>
      </c>
      <c r="K685" t="n">
        <v>5914550</v>
      </c>
      <c r="M685">
        <f>I685-(H685+J685-K685)- L685</f>
        <v/>
      </c>
      <c r="N685">
        <f>IF(M685=0,"Cuadrado",IF(M685&gt;0,"Faltante","Sobrante"))</f>
        <v/>
      </c>
      <c r="O685" t="inlineStr">
        <is>
          <t>La diferencia es contabilizada por la Gerencia De Autoservicios y Efectivo de manera centralizada a la cuenta de sobrantes 279510020 el 25/03/2026</t>
        </is>
      </c>
      <c r="P685" t="n">
        <v>79516051</v>
      </c>
    </row>
    <row r="686">
      <c r="A686" t="n">
        <v>237</v>
      </c>
      <c r="B686" t="n">
        <v>6467</v>
      </c>
      <c r="C686" t="inlineStr">
        <is>
          <t>BELLTECH</t>
        </is>
      </c>
      <c r="D686" t="inlineStr">
        <is>
          <t>BELLTECH</t>
        </is>
      </c>
      <c r="E686" s="3" t="n">
        <v>46106</v>
      </c>
      <c r="F686" s="3" t="n">
        <v>46105</v>
      </c>
      <c r="G686" t="inlineStr">
        <is>
          <t>09:46:00</t>
        </is>
      </c>
      <c r="H686" t="n">
        <v>145620600</v>
      </c>
      <c r="I686" t="n">
        <v>146100600</v>
      </c>
      <c r="J686" t="n">
        <v>1970000</v>
      </c>
      <c r="K686" t="n">
        <v>1750000</v>
      </c>
      <c r="M686">
        <f>I686-(H686+J686-K686)- L686</f>
        <v/>
      </c>
      <c r="N686">
        <f>IF(M686=0,"Cuadrado",IF(M686&gt;0,"Faltante","Sobrante"))</f>
        <v/>
      </c>
      <c r="O686" t="inlineStr">
        <is>
          <t>El faltante $260.000 es cruzado con sobrante contabilizado el día 16/03/2026 ($260.000) el cual es reversado por la seccion el día 25/03/2026</t>
        </is>
      </c>
      <c r="P686" t="n">
        <v>1016078081</v>
      </c>
    </row>
    <row r="687">
      <c r="A687" t="n">
        <v>843</v>
      </c>
      <c r="B687" t="n">
        <v>6716</v>
      </c>
      <c r="C687" t="inlineStr">
        <is>
          <t>BELLTECH</t>
        </is>
      </c>
      <c r="D687" t="inlineStr">
        <is>
          <t>BELLTECH</t>
        </is>
      </c>
      <c r="E687" s="3" t="n">
        <v>46106</v>
      </c>
      <c r="F687" s="3" t="n">
        <v>46105</v>
      </c>
      <c r="G687" t="inlineStr">
        <is>
          <t>09:24:00</t>
        </is>
      </c>
      <c r="H687" t="n">
        <v>159525600</v>
      </c>
      <c r="I687" t="n">
        <v>157225600</v>
      </c>
      <c r="J687" t="n">
        <v>0</v>
      </c>
      <c r="K687" t="n">
        <v>0</v>
      </c>
      <c r="M687">
        <f>I687-(H687+J687-K687)- L687</f>
        <v/>
      </c>
      <c r="N687">
        <f>IF(M687=0,"Cuadrado",IF(M687&gt;0,"Faltante","Sobrante"))</f>
        <v/>
      </c>
      <c r="O687" t="inlineStr">
        <is>
          <t>La diferencia es contabilizada por la Gerencia De Autoservicios y Efectivo de manera centralizada a la cuenta de sobrantes 279510020 el 25/03/2026</t>
        </is>
      </c>
      <c r="P687" t="n">
        <v>1122728358</v>
      </c>
    </row>
    <row r="688">
      <c r="A688" t="n">
        <v>677</v>
      </c>
      <c r="B688" t="n">
        <v>7124</v>
      </c>
      <c r="C688" t="inlineStr">
        <is>
          <t>DIEBOLD</t>
        </is>
      </c>
      <c r="D688" t="inlineStr">
        <is>
          <t>BELLTECH</t>
        </is>
      </c>
      <c r="E688" s="3" t="n">
        <v>46106</v>
      </c>
      <c r="F688" s="3" t="n">
        <v>46105</v>
      </c>
      <c r="G688" t="inlineStr">
        <is>
          <t>10:01:23</t>
        </is>
      </c>
      <c r="H688" t="n">
        <v>185364750</v>
      </c>
      <c r="I688" t="n">
        <v>186677050</v>
      </c>
      <c r="J688" t="n">
        <v>30000</v>
      </c>
      <c r="K688" t="n">
        <v>0</v>
      </c>
      <c r="M688">
        <f>I688-(H688+J688-K688)- L688</f>
        <v/>
      </c>
      <c r="N688">
        <f>IF(M688=0,"Cuadrado",IF(M688&gt;0,"Faltante","Sobrante"))</f>
        <v/>
      </c>
      <c r="O688" t="inlineStr">
        <is>
          <t>El faltante $1.282.300 es cruzado con sobrante contabilizado el día 13/03/2026 ($700.000), el día 19/03/2026 ($582.300) el cual es reversado por la seccion el día 25/03/2026</t>
        </is>
      </c>
      <c r="P688" t="n">
        <v>1103101789</v>
      </c>
    </row>
    <row r="689">
      <c r="A689" t="n">
        <v>385</v>
      </c>
      <c r="B689" t="n">
        <v>7139</v>
      </c>
      <c r="C689" t="inlineStr">
        <is>
          <t>BELLTECH</t>
        </is>
      </c>
      <c r="D689" t="inlineStr">
        <is>
          <t>BELLTECH</t>
        </is>
      </c>
      <c r="E689" s="3" t="n">
        <v>46106</v>
      </c>
      <c r="F689" s="3" t="n">
        <v>46101</v>
      </c>
      <c r="G689" t="inlineStr">
        <is>
          <t>15:20:00</t>
        </is>
      </c>
      <c r="H689" t="n">
        <v>177980750</v>
      </c>
      <c r="I689" t="n">
        <v>209970350</v>
      </c>
      <c r="J689" t="n">
        <v>55530000</v>
      </c>
      <c r="K689" t="n">
        <v>37940400</v>
      </c>
      <c r="M689">
        <f>I689-(H689+J689-K689)- L689</f>
        <v/>
      </c>
      <c r="N689">
        <f>IF(M689=0,"Cuadrado",IF(M689&gt;0,"Faltante","Sobrante"))</f>
        <v/>
      </c>
      <c r="O689" t="inlineStr">
        <is>
          <t>ACLARAR DIFERENCIA Y REPETIR EL ARQUEO</t>
        </is>
      </c>
      <c r="P689" t="n">
        <v>1077970238</v>
      </c>
    </row>
    <row r="690">
      <c r="A690" t="n">
        <v>91</v>
      </c>
      <c r="B690" t="n">
        <v>7943</v>
      </c>
      <c r="C690" t="inlineStr">
        <is>
          <t>DIEBOLD</t>
        </is>
      </c>
      <c r="D690" t="inlineStr">
        <is>
          <t>DIEBOLD</t>
        </is>
      </c>
      <c r="E690" s="3" t="n">
        <v>46106</v>
      </c>
      <c r="F690" s="3" t="n">
        <v>46101</v>
      </c>
      <c r="G690" t="inlineStr">
        <is>
          <t>15:29:00</t>
        </is>
      </c>
      <c r="H690" t="n">
        <v>22899750</v>
      </c>
      <c r="I690" t="n">
        <v>222030750</v>
      </c>
      <c r="J690" t="n">
        <v>4860000</v>
      </c>
      <c r="K690" t="n">
        <v>21551000</v>
      </c>
      <c r="M690">
        <f>I690-(H690+J690-K690)- L690</f>
        <v/>
      </c>
      <c r="N690">
        <f>IF(M690=0,"Cuadrado",IF(M690&gt;0,"Faltante","Sobrante"))</f>
        <v/>
      </c>
      <c r="O690" t="inlineStr">
        <is>
          <t>La diferencia es contabilizada por la Gerencia De Autoservicios y Efectivo de manera centralizada a la cuenta de sobrantes 279510020 el 25/03/2026</t>
        </is>
      </c>
      <c r="P690" t="n">
        <v>1067844638</v>
      </c>
    </row>
    <row r="691">
      <c r="A691" t="n">
        <v>33</v>
      </c>
      <c r="B691" t="n">
        <v>8861</v>
      </c>
      <c r="C691" t="inlineStr">
        <is>
          <t>BELLTECH</t>
        </is>
      </c>
      <c r="D691" t="inlineStr">
        <is>
          <t>BELLTECH</t>
        </is>
      </c>
      <c r="E691" s="3" t="n">
        <v>46106</v>
      </c>
      <c r="F691" s="3" t="n">
        <v>46101</v>
      </c>
      <c r="G691" t="inlineStr">
        <is>
          <t>15:06:00</t>
        </is>
      </c>
      <c r="H691" t="n">
        <v>188459450</v>
      </c>
      <c r="I691" t="n">
        <v>183569950</v>
      </c>
      <c r="J691" t="n">
        <v>32470000</v>
      </c>
      <c r="K691" t="n">
        <v>36149500</v>
      </c>
      <c r="M691">
        <f>I691-(H691+J691-K691)- L691</f>
        <v/>
      </c>
      <c r="N691">
        <f>IF(M691=0,"Cuadrado",IF(M691&gt;0,"Faltante","Sobrante"))</f>
        <v/>
      </c>
      <c r="O691" t="inlineStr">
        <is>
          <t>La diferencia es contabilizada por la Gerencia De Autoservicios y Efectivo de manera centralizada a la cuenta de sobrantes 279510020 el 25/03/2026</t>
        </is>
      </c>
      <c r="P691" t="n">
        <v>79659379</v>
      </c>
    </row>
    <row r="692">
      <c r="A692" t="n">
        <v>890</v>
      </c>
      <c r="B692" t="n">
        <v>9584</v>
      </c>
      <c r="C692" t="inlineStr">
        <is>
          <t>BELLTECH</t>
        </is>
      </c>
      <c r="D692" t="inlineStr">
        <is>
          <t>BELLTECH</t>
        </is>
      </c>
      <c r="E692" s="3" t="n">
        <v>46106</v>
      </c>
      <c r="F692" s="3" t="n">
        <v>46105</v>
      </c>
      <c r="G692" t="inlineStr">
        <is>
          <t>15:32:00</t>
        </is>
      </c>
      <c r="H692" t="n">
        <v>196852200</v>
      </c>
      <c r="I692" t="n">
        <v>105440200</v>
      </c>
      <c r="J692" t="n">
        <v>11300000</v>
      </c>
      <c r="K692" t="n">
        <v>92662000</v>
      </c>
      <c r="M692">
        <f>I692-(H692+J692-K692)- L692</f>
        <v/>
      </c>
      <c r="N692">
        <f>IF(M692=0,"Cuadrado",IF(M692&gt;0,"Faltante","Sobrante"))</f>
        <v/>
      </c>
      <c r="O692" t="inlineStr">
        <is>
          <t>La diferencia es contabilizada por la Gerencia De Autoservicios y Efectivo de manera centralizada a la cuenta de sobrantes 279510020 el 25/03/2026</t>
        </is>
      </c>
      <c r="P692" t="n">
        <v>1053835867</v>
      </c>
    </row>
    <row r="693">
      <c r="A693" t="n">
        <v>849</v>
      </c>
      <c r="B693" t="n">
        <v>9725</v>
      </c>
      <c r="C693" t="inlineStr">
        <is>
          <t>BELLTECH</t>
        </is>
      </c>
      <c r="D693" t="inlineStr">
        <is>
          <t>BELLTECH</t>
        </is>
      </c>
      <c r="E693" s="3" t="n">
        <v>46106</v>
      </c>
      <c r="F693" s="3" t="n">
        <v>46105</v>
      </c>
      <c r="G693" t="inlineStr">
        <is>
          <t>11:09:00</t>
        </is>
      </c>
      <c r="H693" t="n">
        <v>94068400</v>
      </c>
      <c r="I693" t="n">
        <v>501471400</v>
      </c>
      <c r="J693" t="n">
        <v>10700000</v>
      </c>
      <c r="K693" t="n">
        <v>62800000</v>
      </c>
      <c r="M693">
        <f>I693-(H693+J693-K693)- L693</f>
        <v/>
      </c>
      <c r="N693">
        <f>IF(M693=0,"Cuadrado",IF(M693&gt;0,"Faltante","Sobrante"))</f>
        <v/>
      </c>
      <c r="O693" t="inlineStr">
        <is>
          <t>La diferencia es contabilizada por la Gerencia De Autoservicios y Efectivo de manera centralizada a la cuenta de sobrantes 279510020 el 25/03/2026</t>
        </is>
      </c>
      <c r="P693" t="n">
        <v>86063461</v>
      </c>
    </row>
    <row r="694">
      <c r="A694" t="n">
        <v>795</v>
      </c>
      <c r="B694" t="n">
        <v>1029</v>
      </c>
      <c r="C694" t="inlineStr">
        <is>
          <t>BELLTECH</t>
        </is>
      </c>
      <c r="D694" t="inlineStr">
        <is>
          <t>BELLTECH</t>
        </is>
      </c>
      <c r="E694" s="3" t="n">
        <v>46106</v>
      </c>
      <c r="F694" s="3" t="n">
        <v>46105</v>
      </c>
      <c r="G694" t="inlineStr">
        <is>
          <t>09:56:00</t>
        </is>
      </c>
      <c r="H694" t="n">
        <v>98696000</v>
      </c>
      <c r="I694" t="n">
        <v>100451050</v>
      </c>
      <c r="J694" t="n">
        <v>9080000</v>
      </c>
      <c r="K694" t="n">
        <v>7324950</v>
      </c>
      <c r="M694">
        <f>I694-(H694+J694-K694)- L694</f>
        <v/>
      </c>
      <c r="N694">
        <f>IF(M694=0,"Cuadrado",IF(M694&gt;0,"Faltante","Sobrante"))</f>
        <v/>
      </c>
      <c r="O694" t="inlineStr">
        <is>
          <t>Cajero cuadrado, sin observación por parte de la sucursal</t>
        </is>
      </c>
      <c r="P694" t="n">
        <v>91274094</v>
      </c>
    </row>
    <row r="695">
      <c r="A695" t="n">
        <v>395</v>
      </c>
      <c r="B695" t="n">
        <v>1528</v>
      </c>
      <c r="C695" t="inlineStr">
        <is>
          <t>BELLTECH</t>
        </is>
      </c>
      <c r="D695" t="inlineStr">
        <is>
          <t>BELLTECH</t>
        </is>
      </c>
      <c r="E695" s="3" t="n">
        <v>46106</v>
      </c>
      <c r="F695" s="3" t="n">
        <v>46105</v>
      </c>
      <c r="G695" t="inlineStr">
        <is>
          <t>09:31:00</t>
        </is>
      </c>
      <c r="H695" t="n">
        <v>136158550</v>
      </c>
      <c r="I695" t="n">
        <v>136158550</v>
      </c>
      <c r="J695" t="n">
        <v>0</v>
      </c>
      <c r="K695" t="n">
        <v>0</v>
      </c>
      <c r="M695">
        <f>I695-(H695+J695-K695)- L695</f>
        <v/>
      </c>
      <c r="N695">
        <f>IF(M695=0,"Cuadrado",IF(M695&gt;0,"Faltante","Sobrante"))</f>
        <v/>
      </c>
      <c r="O695" t="inlineStr">
        <is>
          <t>Cajero cuadrado, sin observación por parte de la sucursal</t>
        </is>
      </c>
      <c r="P695" t="n">
        <v>1121857901</v>
      </c>
    </row>
    <row r="696">
      <c r="A696" t="n">
        <v>659</v>
      </c>
      <c r="B696" t="n">
        <v>5102</v>
      </c>
      <c r="C696" t="inlineStr">
        <is>
          <t>BELLTECH</t>
        </is>
      </c>
      <c r="D696" t="inlineStr">
        <is>
          <t>BELLTECH</t>
        </is>
      </c>
      <c r="E696" s="3" t="n">
        <v>46106</v>
      </c>
      <c r="F696" s="3" t="n">
        <v>46105</v>
      </c>
      <c r="G696" t="inlineStr">
        <is>
          <t>15:15:00</t>
        </is>
      </c>
      <c r="H696" t="n">
        <v>301494600</v>
      </c>
      <c r="I696" t="n">
        <v>311005900</v>
      </c>
      <c r="J696" t="n">
        <v>16860000</v>
      </c>
      <c r="K696" t="n">
        <v>7348700</v>
      </c>
      <c r="M696">
        <f>I696-(H696+J696-K696)- L696</f>
        <v/>
      </c>
      <c r="N696">
        <f>IF(M696=0,"Cuadrado",IF(M696&gt;0,"Faltante","Sobrante"))</f>
        <v/>
      </c>
      <c r="O696" t="inlineStr">
        <is>
          <t>Cajero cuadrado, sin observación por parte de la sucursal</t>
        </is>
      </c>
      <c r="P696" t="n">
        <v>39575034</v>
      </c>
    </row>
    <row r="697">
      <c r="A697" t="n">
        <v>30</v>
      </c>
      <c r="B697" t="n">
        <v>6172</v>
      </c>
      <c r="C697" t="inlineStr">
        <is>
          <t>BELLTECH</t>
        </is>
      </c>
      <c r="D697" t="inlineStr">
        <is>
          <t>BELLTECH</t>
        </is>
      </c>
      <c r="E697" s="3" t="n">
        <v>46106</v>
      </c>
      <c r="F697" s="3" t="n">
        <v>46105</v>
      </c>
      <c r="G697" t="inlineStr">
        <is>
          <t>10:22:00</t>
        </is>
      </c>
      <c r="H697" t="n">
        <v>12524600</v>
      </c>
      <c r="I697" t="n">
        <v>272600</v>
      </c>
      <c r="J697" t="n">
        <v>100000</v>
      </c>
      <c r="K697" t="n">
        <v>12352000</v>
      </c>
      <c r="M697">
        <f>I697-(H697+J697-K697)- L697</f>
        <v/>
      </c>
      <c r="N697">
        <f>IF(M697=0,"Cuadrado",IF(M697&gt;0,"Faltante","Sobrante"))</f>
        <v/>
      </c>
      <c r="O697" t="inlineStr">
        <is>
          <t>Cajero cuadrado, sin observación por parte de la sucursal</t>
        </is>
      </c>
      <c r="P697" t="n">
        <v>79706159</v>
      </c>
    </row>
    <row r="698">
      <c r="A698" t="n">
        <v>556</v>
      </c>
      <c r="B698" t="n">
        <v>8333</v>
      </c>
      <c r="C698" t="inlineStr">
        <is>
          <t>BELLTECH</t>
        </is>
      </c>
      <c r="D698" t="inlineStr">
        <is>
          <t>BELLTECH</t>
        </is>
      </c>
      <c r="E698" s="3" t="n">
        <v>46106</v>
      </c>
      <c r="F698" s="3" t="n">
        <v>46105</v>
      </c>
      <c r="G698" t="inlineStr">
        <is>
          <t>09:42:00</t>
        </is>
      </c>
      <c r="H698" t="n">
        <v>288496250</v>
      </c>
      <c r="I698" t="n">
        <v>288290250</v>
      </c>
      <c r="J698" t="n">
        <v>3480000</v>
      </c>
      <c r="K698" t="n">
        <v>3686000</v>
      </c>
      <c r="M698">
        <f>I698-(H698+J698-K698)- L698</f>
        <v/>
      </c>
      <c r="N698">
        <f>IF(M698=0,"Cuadrado",IF(M698&gt;0,"Faltante","Sobrante"))</f>
        <v/>
      </c>
      <c r="O698" t="inlineStr">
        <is>
          <t>Cajero cuadrado, sin observación por parte de la sucursal</t>
        </is>
      </c>
      <c r="P698" t="n">
        <v>39450196</v>
      </c>
    </row>
    <row r="699">
      <c r="A699" t="n">
        <v>728</v>
      </c>
      <c r="B699" t="n">
        <v>8586</v>
      </c>
      <c r="C699" t="inlineStr">
        <is>
          <t>BELLTECH</t>
        </is>
      </c>
      <c r="D699" t="inlineStr">
        <is>
          <t>BELLTECH</t>
        </is>
      </c>
      <c r="E699" s="3" t="n">
        <v>46106</v>
      </c>
      <c r="F699" s="3" t="n">
        <v>46105</v>
      </c>
      <c r="G699" t="inlineStr">
        <is>
          <t>10:13:00</t>
        </is>
      </c>
      <c r="H699" t="n">
        <v>338920150</v>
      </c>
      <c r="I699" t="n">
        <v>276620150</v>
      </c>
      <c r="J699" t="n">
        <v>11800000</v>
      </c>
      <c r="K699" t="n">
        <v>74100000</v>
      </c>
      <c r="M699">
        <f>I699-(H699+J699-K699)- L699</f>
        <v/>
      </c>
      <c r="N699">
        <f>IF(M699=0,"Cuadrado",IF(M699&gt;0,"Faltante","Sobrante"))</f>
        <v/>
      </c>
      <c r="O699" t="inlineStr">
        <is>
          <t>Cajero cuadrado, sin observación por parte de la sucursal</t>
        </is>
      </c>
      <c r="P699" t="n">
        <v>1112783690</v>
      </c>
    </row>
    <row r="700">
      <c r="A700" t="n">
        <v>728</v>
      </c>
      <c r="B700" t="n">
        <v>8587</v>
      </c>
      <c r="C700" t="inlineStr">
        <is>
          <t>BELLTECH</t>
        </is>
      </c>
      <c r="D700" t="inlineStr">
        <is>
          <t>BELLTECH</t>
        </is>
      </c>
      <c r="E700" s="3" t="n">
        <v>46106</v>
      </c>
      <c r="F700" s="3" t="n">
        <v>46105</v>
      </c>
      <c r="G700" t="inlineStr">
        <is>
          <t>10:35:00</t>
        </is>
      </c>
      <c r="H700" t="n">
        <v>178638600</v>
      </c>
      <c r="I700" t="n">
        <v>152393900</v>
      </c>
      <c r="J700" t="n">
        <v>13090000</v>
      </c>
      <c r="K700" t="n">
        <v>39334700</v>
      </c>
      <c r="M700">
        <f>I700-(H700+J700-K700)- L700</f>
        <v/>
      </c>
      <c r="N700">
        <f>IF(M700=0,"Cuadrado",IF(M700&gt;0,"Faltante","Sobrante"))</f>
        <v/>
      </c>
      <c r="O700" t="inlineStr">
        <is>
          <t>El faltante $50 es cruzado con sobrante contabilizado el día 24/03/2026 ($50) el cual es reversado por la seccion el día 25/03/2026</t>
        </is>
      </c>
      <c r="P700" t="n">
        <v>1112783690</v>
      </c>
    </row>
    <row r="701">
      <c r="A701" t="n">
        <v>845</v>
      </c>
      <c r="B701" t="n">
        <v>9232</v>
      </c>
      <c r="C701" t="inlineStr">
        <is>
          <t>BELLTECH</t>
        </is>
      </c>
      <c r="D701" t="inlineStr">
        <is>
          <t>BELLTECH</t>
        </is>
      </c>
      <c r="E701" s="3" t="n">
        <v>46106</v>
      </c>
      <c r="F701" s="3" t="n">
        <v>46105</v>
      </c>
      <c r="G701" t="inlineStr">
        <is>
          <t>09:49:00</t>
        </is>
      </c>
      <c r="H701" t="n">
        <v>432317300</v>
      </c>
      <c r="I701" t="n">
        <v>451647300</v>
      </c>
      <c r="J701" t="n">
        <v>19330000</v>
      </c>
      <c r="K701" t="n">
        <v>0</v>
      </c>
      <c r="M701">
        <f>I701-(H701+J701-K701)- L701</f>
        <v/>
      </c>
      <c r="N701">
        <f>IF(M701=0,"Cuadrado",IF(M701&gt;0,"Faltante","Sobrante"))</f>
        <v/>
      </c>
      <c r="O701" t="inlineStr">
        <is>
          <t>Cajero cuadrado, sin observación por parte de la sucursal</t>
        </is>
      </c>
      <c r="P701" t="n">
        <v>1081413503</v>
      </c>
    </row>
    <row r="702">
      <c r="A702" t="n">
        <v>61</v>
      </c>
      <c r="B702" t="n">
        <v>781</v>
      </c>
      <c r="D702" t="inlineStr">
        <is>
          <t>DIEBOLD</t>
        </is>
      </c>
      <c r="E702" s="3" t="n">
        <v>46107</v>
      </c>
      <c r="F702" s="3" t="n">
        <v>46106</v>
      </c>
      <c r="G702" t="inlineStr">
        <is>
          <t>11:11:00</t>
        </is>
      </c>
      <c r="H702" t="n">
        <v>118883450</v>
      </c>
      <c r="I702" t="n">
        <v>381150000</v>
      </c>
      <c r="J702" t="n">
        <v>26250000</v>
      </c>
      <c r="K702" t="n">
        <v>0</v>
      </c>
      <c r="M702">
        <f>I702-(H702+J702-K702)- L702</f>
        <v/>
      </c>
      <c r="N702">
        <f>IF(M702=0,"Cuadrado",IF(M702&gt;0,"Faltante","Sobrante"))</f>
        <v/>
      </c>
      <c r="O702" t="inlineStr">
        <is>
          <t>ACLARAR DIFERENCIA Y REPETIR EL ARQUEO</t>
        </is>
      </c>
      <c r="P702" t="n">
        <v>1082848167</v>
      </c>
    </row>
    <row r="703">
      <c r="A703" t="n">
        <v>214</v>
      </c>
      <c r="B703" t="n">
        <v>1469</v>
      </c>
      <c r="C703" t="inlineStr">
        <is>
          <t>BELLTECH</t>
        </is>
      </c>
      <c r="D703" t="inlineStr">
        <is>
          <t>BELLTECH</t>
        </is>
      </c>
      <c r="E703" s="3" t="n">
        <v>46107</v>
      </c>
      <c r="F703" s="3" t="n">
        <v>46106</v>
      </c>
      <c r="G703" t="inlineStr">
        <is>
          <t>09:53:00</t>
        </is>
      </c>
      <c r="H703" t="n">
        <v>183763100</v>
      </c>
      <c r="I703" t="n">
        <v>181617250</v>
      </c>
      <c r="J703" t="n">
        <v>5210000</v>
      </c>
      <c r="K703" t="n">
        <v>5350000</v>
      </c>
      <c r="M703">
        <f>I703-(H703+J703-K703)- L703</f>
        <v/>
      </c>
      <c r="N703">
        <f>IF(M703=0,"Cuadrado",IF(M703&gt;0,"Faltante","Sobrante"))</f>
        <v/>
      </c>
      <c r="O703" t="inlineStr">
        <is>
          <t>La diferencia es contabilizada por la Gerencia De Autoservicios y Efectivo de manera centralizada a la cuenta de sobrantes 279510020 el 26/03/2026</t>
        </is>
      </c>
      <c r="P703" t="n">
        <v>1143387256</v>
      </c>
    </row>
    <row r="704">
      <c r="A704" t="n">
        <v>32</v>
      </c>
      <c r="B704" t="n">
        <v>5027</v>
      </c>
      <c r="C704" t="inlineStr">
        <is>
          <t>BELLTECH</t>
        </is>
      </c>
      <c r="D704" t="inlineStr">
        <is>
          <t>BELLTECH</t>
        </is>
      </c>
      <c r="E704" s="3" t="n">
        <v>46107</v>
      </c>
      <c r="F704" s="3" t="n">
        <v>46106</v>
      </c>
      <c r="G704" t="inlineStr">
        <is>
          <t>09:37:00</t>
        </is>
      </c>
      <c r="H704" t="n">
        <v>207200650</v>
      </c>
      <c r="I704" t="n">
        <v>215399700</v>
      </c>
      <c r="J704" t="n">
        <v>13300000</v>
      </c>
      <c r="K704" t="n">
        <v>5104950</v>
      </c>
      <c r="M704">
        <f>I704-(H704+J704-K704)- L704</f>
        <v/>
      </c>
      <c r="N704">
        <f>IF(M704=0,"Cuadrado",IF(M704&gt;0,"Faltante","Sobrante"))</f>
        <v/>
      </c>
      <c r="O704" t="inlineStr">
        <is>
          <t>El faltante $4.000 es cruzado con sobrante contabilizado el día 20/03/2026 ($4.000) el cual es reversado por la seccion el día 26/03/2026</t>
        </is>
      </c>
      <c r="P704" t="n">
        <v>79750158</v>
      </c>
    </row>
    <row r="705">
      <c r="A705" t="n">
        <v>867</v>
      </c>
      <c r="B705" t="n">
        <v>5043</v>
      </c>
      <c r="C705" t="inlineStr">
        <is>
          <t>BELLTECH</t>
        </is>
      </c>
      <c r="D705" t="inlineStr">
        <is>
          <t>BELLTECH</t>
        </is>
      </c>
      <c r="E705" s="3" t="n">
        <v>46107</v>
      </c>
      <c r="F705" s="3" t="n">
        <v>46106</v>
      </c>
      <c r="G705" t="inlineStr">
        <is>
          <t>10:20:00</t>
        </is>
      </c>
      <c r="H705" t="n">
        <v>218984050</v>
      </c>
      <c r="I705" t="n">
        <v>237414050</v>
      </c>
      <c r="J705" t="n">
        <v>17730000</v>
      </c>
      <c r="K705" t="n">
        <v>300000</v>
      </c>
      <c r="M705">
        <f>I705-(H705+J705-K705)- L705</f>
        <v/>
      </c>
      <c r="N705">
        <f>IF(M705=0,"Cuadrado",IF(M705&gt;0,"Faltante","Sobrante"))</f>
        <v/>
      </c>
      <c r="O705" t="inlineStr">
        <is>
          <t>ACLARAR DIFERENCIA Y REPETIR EL ARQUEO</t>
        </is>
      </c>
      <c r="P705" t="n">
        <v>9726594</v>
      </c>
    </row>
    <row r="706">
      <c r="A706" t="n">
        <v>682</v>
      </c>
      <c r="B706" t="n">
        <v>5049</v>
      </c>
      <c r="C706" t="inlineStr">
        <is>
          <t>BELLTECH</t>
        </is>
      </c>
      <c r="D706" t="inlineStr">
        <is>
          <t>BELLTECH</t>
        </is>
      </c>
      <c r="E706" s="3" t="n">
        <v>46107</v>
      </c>
      <c r="F706" s="3" t="n">
        <v>46106</v>
      </c>
      <c r="G706" t="inlineStr">
        <is>
          <t>15:01:00</t>
        </is>
      </c>
      <c r="H706" t="n">
        <v>214054850</v>
      </c>
      <c r="I706" t="n">
        <v>363587400</v>
      </c>
      <c r="J706" t="n">
        <v>39830000</v>
      </c>
      <c r="K706" t="n">
        <v>192437300</v>
      </c>
      <c r="M706">
        <f>I706-(H706+J706-K706)- L706</f>
        <v/>
      </c>
      <c r="N706">
        <f>IF(M706=0,"Cuadrado",IF(M706&gt;0,"Faltante","Sobrante"))</f>
        <v/>
      </c>
      <c r="O706" t="inlineStr">
        <is>
          <t>La diferencia es contabilizada por la Gerencia De Autoservicios y Efectivo de manera centralizada a la cuenta de sobrantes 279510020 el 26/03/2026</t>
        </is>
      </c>
      <c r="P706" t="n">
        <v>1018447800</v>
      </c>
    </row>
    <row r="707">
      <c r="A707" t="n">
        <v>115</v>
      </c>
      <c r="B707" t="n">
        <v>5080</v>
      </c>
      <c r="C707" t="inlineStr">
        <is>
          <t>BELLTECH</t>
        </is>
      </c>
      <c r="D707" t="inlineStr">
        <is>
          <t>BELLTECH</t>
        </is>
      </c>
      <c r="E707" s="3" t="n">
        <v>46107</v>
      </c>
      <c r="F707" s="3" t="n">
        <v>46106</v>
      </c>
      <c r="G707" t="inlineStr">
        <is>
          <t>09:54:00</t>
        </is>
      </c>
      <c r="H707" t="n">
        <v>201924150</v>
      </c>
      <c r="I707" t="n">
        <v>189258650</v>
      </c>
      <c r="J707" t="n">
        <v>8840000</v>
      </c>
      <c r="K707" t="n">
        <v>21494000</v>
      </c>
      <c r="M707">
        <f>I707-(H707+J707-K707)- L707</f>
        <v/>
      </c>
      <c r="N707">
        <f>IF(M707=0,"Cuadrado",IF(M707&gt;0,"Faltante","Sobrante"))</f>
        <v/>
      </c>
      <c r="O707" t="inlineStr">
        <is>
          <t>La diferencia es contabilizada por la Gerencia De Autoservicios y Efectivo de manera centralizada a la cuenta de sobrantes 279510020 el 26/03/2026</t>
        </is>
      </c>
      <c r="P707" t="n">
        <v>42158306</v>
      </c>
    </row>
    <row r="708">
      <c r="A708" t="n">
        <v>656</v>
      </c>
      <c r="B708" t="n">
        <v>5103</v>
      </c>
      <c r="C708" t="inlineStr">
        <is>
          <t>BELLTECH</t>
        </is>
      </c>
      <c r="D708" t="inlineStr">
        <is>
          <t>BELLTECH</t>
        </is>
      </c>
      <c r="E708" s="3" t="n">
        <v>46107</v>
      </c>
      <c r="F708" s="3" t="n">
        <v>46106</v>
      </c>
      <c r="G708" t="inlineStr">
        <is>
          <t>08:39:00</t>
        </is>
      </c>
      <c r="H708" t="n">
        <v>201778900</v>
      </c>
      <c r="I708" t="n">
        <v>194215300</v>
      </c>
      <c r="J708" t="n">
        <v>500000</v>
      </c>
      <c r="K708" t="n">
        <v>5850000</v>
      </c>
      <c r="M708">
        <f>I708-(H708+J708-K708)- L708</f>
        <v/>
      </c>
      <c r="N708">
        <f>IF(M708=0,"Cuadrado",IF(M708&gt;0,"Faltante","Sobrante"))</f>
        <v/>
      </c>
      <c r="O708" t="inlineStr">
        <is>
          <t>La diferencia es contabilizada por la Gerencia De Autoservicios y Efectivo de manera centralizada a la cuenta de sobrantes 279510020 el 26/03/2026</t>
        </is>
      </c>
      <c r="P708" t="n">
        <v>1065627875</v>
      </c>
    </row>
    <row r="709">
      <c r="A709" t="n">
        <v>366</v>
      </c>
      <c r="B709" t="n">
        <v>5132</v>
      </c>
      <c r="C709" t="inlineStr">
        <is>
          <t>BELLTECH</t>
        </is>
      </c>
      <c r="D709" t="inlineStr">
        <is>
          <t>BELLTECH</t>
        </is>
      </c>
      <c r="E709" s="3" t="n">
        <v>46107</v>
      </c>
      <c r="F709" s="3" t="n">
        <v>46106</v>
      </c>
      <c r="G709" t="inlineStr">
        <is>
          <t>15:52:00</t>
        </is>
      </c>
      <c r="H709" t="n">
        <v>124962100</v>
      </c>
      <c r="I709" t="n">
        <v>120584600</v>
      </c>
      <c r="J709" t="n">
        <v>35110000</v>
      </c>
      <c r="K709" t="n">
        <v>40419500</v>
      </c>
      <c r="M709">
        <f>I709-(H709+J709-K709)- L709</f>
        <v/>
      </c>
      <c r="N709">
        <f>IF(M709=0,"Cuadrado",IF(M709&gt;0,"Faltante","Sobrante"))</f>
        <v/>
      </c>
      <c r="O709" t="inlineStr">
        <is>
          <t>El faltante $932.000 es cruzado con sobrante contabilizado el día 06/03/2026 ($932.000) el cual es reversado por la seccion el día 26/03/2026</t>
        </is>
      </c>
      <c r="P709" t="n">
        <v>1035426009</v>
      </c>
    </row>
    <row r="710">
      <c r="A710" t="n">
        <v>91</v>
      </c>
      <c r="B710" t="n">
        <v>5148</v>
      </c>
      <c r="C710" t="inlineStr">
        <is>
          <t>BELLTECH</t>
        </is>
      </c>
      <c r="D710" t="inlineStr">
        <is>
          <t>BELLTECH</t>
        </is>
      </c>
      <c r="E710" s="3" t="n">
        <v>46107</v>
      </c>
      <c r="F710" s="3" t="n">
        <v>46106</v>
      </c>
      <c r="G710" t="inlineStr">
        <is>
          <t>15:39:00</t>
        </is>
      </c>
      <c r="H710" t="n">
        <v>34786950</v>
      </c>
      <c r="I710" t="n">
        <v>-5818050</v>
      </c>
      <c r="J710" t="n">
        <v>11210000</v>
      </c>
      <c r="K710" t="n">
        <v>26145000</v>
      </c>
      <c r="M710">
        <f>I710-(H710+J710-K710)- L710</f>
        <v/>
      </c>
      <c r="N710">
        <f>IF(M710=0,"Cuadrado",IF(M710&gt;0,"Faltante","Sobrante"))</f>
        <v/>
      </c>
      <c r="O710" t="inlineStr">
        <is>
          <t>La diferencia es contabilizada por la Gerencia De Autoservicios y Efectivo de manera centralizada a la cuenta de sobrantes 279510020 el 26/03/2026</t>
        </is>
      </c>
      <c r="P710" t="n">
        <v>1067844638</v>
      </c>
    </row>
    <row r="711">
      <c r="A711" t="n">
        <v>667</v>
      </c>
      <c r="B711" t="n">
        <v>5167</v>
      </c>
      <c r="C711" t="inlineStr">
        <is>
          <t>BELLTECH</t>
        </is>
      </c>
      <c r="D711" t="inlineStr">
        <is>
          <t>BELLTECH</t>
        </is>
      </c>
      <c r="E711" s="3" t="n">
        <v>46107</v>
      </c>
      <c r="F711" s="3" t="n">
        <v>46106</v>
      </c>
      <c r="G711" t="inlineStr">
        <is>
          <t>15:27:00</t>
        </is>
      </c>
      <c r="H711" t="n">
        <v>328543500</v>
      </c>
      <c r="I711" t="n">
        <v>306338550</v>
      </c>
      <c r="J711" t="n">
        <v>42160000</v>
      </c>
      <c r="K711" t="n">
        <v>14452000</v>
      </c>
      <c r="M711">
        <f>I711-(H711+J711-K711)- L711</f>
        <v/>
      </c>
      <c r="N711">
        <f>IF(M711=0,"Cuadrado",IF(M711&gt;0,"Faltante","Sobrante"))</f>
        <v/>
      </c>
      <c r="O711" t="inlineStr">
        <is>
          <t>La diferencia es contabilizada por la Gerencia De Autoservicios y Efectivo de manera centralizada a la cuenta de sobrantes 279510020 el 26/03/2026</t>
        </is>
      </c>
      <c r="P711" t="n">
        <v>79953058</v>
      </c>
    </row>
    <row r="712">
      <c r="A712" t="n">
        <v>664</v>
      </c>
      <c r="B712" t="n">
        <v>5191</v>
      </c>
      <c r="C712" t="inlineStr">
        <is>
          <t>BELLTECH</t>
        </is>
      </c>
      <c r="D712" t="inlineStr">
        <is>
          <t>BELLTECH</t>
        </is>
      </c>
      <c r="E712" s="3" t="n">
        <v>46107</v>
      </c>
      <c r="F712" s="3" t="n">
        <v>46106</v>
      </c>
      <c r="G712" t="inlineStr">
        <is>
          <t>14:15:00</t>
        </is>
      </c>
      <c r="H712" t="n">
        <v>205403000</v>
      </c>
      <c r="I712" t="n">
        <v>213541700</v>
      </c>
      <c r="J712" t="n">
        <v>155850000</v>
      </c>
      <c r="K712" t="n">
        <v>134901300</v>
      </c>
      <c r="M712">
        <f>I712-(H712+J712-K712)- L712</f>
        <v/>
      </c>
      <c r="N712">
        <f>IF(M712=0,"Cuadrado",IF(M712&gt;0,"Faltante","Sobrante"))</f>
        <v/>
      </c>
      <c r="O712" t="inlineStr">
        <is>
          <t>La diferencia es contabilizada por la Gerencia De Autoservicios y Efectivo de manera centralizada a la cuenta de sobrantes 279510020 el 26/03/2026</t>
        </is>
      </c>
      <c r="P712" t="n">
        <v>53052650</v>
      </c>
    </row>
    <row r="713">
      <c r="A713" t="n">
        <v>674</v>
      </c>
      <c r="B713" t="n">
        <v>5200</v>
      </c>
      <c r="C713" t="inlineStr">
        <is>
          <t>BELLTECH</t>
        </is>
      </c>
      <c r="D713" t="inlineStr">
        <is>
          <t>BELLTECH</t>
        </is>
      </c>
      <c r="E713" s="3" t="n">
        <v>46107</v>
      </c>
      <c r="F713" s="3" t="n">
        <v>46106</v>
      </c>
      <c r="G713" t="inlineStr">
        <is>
          <t>09:25:00</t>
        </is>
      </c>
      <c r="H713" t="n">
        <v>159872250</v>
      </c>
      <c r="I713" t="n">
        <v>101142300</v>
      </c>
      <c r="J713" t="n">
        <v>8270000</v>
      </c>
      <c r="K713" t="n">
        <v>67000000</v>
      </c>
      <c r="M713">
        <f>I713-(H713+J713-K713)- L713</f>
        <v/>
      </c>
      <c r="N713">
        <f>IF(M713=0,"Cuadrado",IF(M713&gt;0,"Faltante","Sobrante"))</f>
        <v/>
      </c>
      <c r="O713" t="inlineStr">
        <is>
          <t>La diferencia es contabilizada por la Gerencia De Autoservicios y Efectivo de manera centralizada a la cuenta de faltantes 168710093 el 26/03/2026, esta diferencia ingresa a proceso de investigación en el área para identificar a que corresponde.</t>
        </is>
      </c>
      <c r="P713" t="n">
        <v>79813088</v>
      </c>
    </row>
    <row r="714">
      <c r="A714" t="n">
        <v>625</v>
      </c>
      <c r="B714" t="n">
        <v>6096</v>
      </c>
      <c r="C714" t="inlineStr">
        <is>
          <t>BELLTECH</t>
        </is>
      </c>
      <c r="D714" t="inlineStr">
        <is>
          <t>BELLTECH</t>
        </is>
      </c>
      <c r="E714" s="3" t="n">
        <v>46107</v>
      </c>
      <c r="F714" s="3" t="n">
        <v>46106</v>
      </c>
      <c r="G714" t="inlineStr">
        <is>
          <t>12:51:00</t>
        </is>
      </c>
      <c r="H714" t="n">
        <v>3782250</v>
      </c>
      <c r="I714" t="n">
        <v>24667650</v>
      </c>
      <c r="J714" t="n">
        <v>22840000</v>
      </c>
      <c r="K714" t="n">
        <v>0</v>
      </c>
      <c r="M714">
        <f>I714-(H714+J714-K714)- L714</f>
        <v/>
      </c>
      <c r="N714">
        <f>IF(M714=0,"Cuadrado",IF(M714&gt;0,"Faltante","Sobrante"))</f>
        <v/>
      </c>
      <c r="O714" t="inlineStr">
        <is>
          <t>La diferencia es contabilizada por la Gerencia De Autoservicios y Efectivo de manera centralizada a la cuenta de sobrantes 279510020 el 26/03/2026</t>
        </is>
      </c>
      <c r="P714" t="n">
        <v>1040733598</v>
      </c>
    </row>
    <row r="715">
      <c r="A715" t="n">
        <v>868</v>
      </c>
      <c r="B715" t="n">
        <v>6149</v>
      </c>
      <c r="C715" t="inlineStr">
        <is>
          <t>DIEBOLD</t>
        </is>
      </c>
      <c r="D715" t="inlineStr">
        <is>
          <t>DIEBOLD</t>
        </is>
      </c>
      <c r="E715" s="3" t="n">
        <v>46107</v>
      </c>
      <c r="F715" s="3" t="n">
        <v>46106</v>
      </c>
      <c r="G715" t="inlineStr">
        <is>
          <t>10:10:00</t>
        </is>
      </c>
      <c r="H715" t="n">
        <v>217631800</v>
      </c>
      <c r="I715" t="n">
        <v>220817800</v>
      </c>
      <c r="J715" t="n">
        <v>14150000</v>
      </c>
      <c r="K715" t="n">
        <v>0</v>
      </c>
      <c r="M715">
        <f>I715-(H715+J715-K715)- L715</f>
        <v/>
      </c>
      <c r="N715">
        <f>IF(M715=0,"Cuadrado",IF(M715&gt;0,"Faltante","Sobrante"))</f>
        <v/>
      </c>
      <c r="O715" t="inlineStr">
        <is>
          <t>La diferencia es contabilizada por la Gerencia De Autoservicios y Efectivo de manera centralizada a la cuenta de sobrantes 279510020 el 26/03/2026</t>
        </is>
      </c>
      <c r="P715" t="n">
        <v>31602728</v>
      </c>
    </row>
    <row r="716">
      <c r="A716" t="n">
        <v>820</v>
      </c>
      <c r="B716" t="n">
        <v>6174</v>
      </c>
      <c r="C716" t="inlineStr">
        <is>
          <t>BELLTECH</t>
        </is>
      </c>
      <c r="D716" t="inlineStr">
        <is>
          <t>BELLTECH</t>
        </is>
      </c>
      <c r="E716" s="3" t="n">
        <v>46107</v>
      </c>
      <c r="F716" s="3" t="n">
        <v>46106</v>
      </c>
      <c r="G716" t="inlineStr">
        <is>
          <t>15:04:00</t>
        </is>
      </c>
      <c r="H716" t="n">
        <v>182264700</v>
      </c>
      <c r="I716" t="n">
        <v>193263500</v>
      </c>
      <c r="J716" t="n">
        <v>37360000</v>
      </c>
      <c r="K716" t="n">
        <v>27531000</v>
      </c>
      <c r="M716">
        <f>I716-(H716+J716-K716)- L716</f>
        <v/>
      </c>
      <c r="N716">
        <f>IF(M716=0,"Cuadrado",IF(M716&gt;0,"Faltante","Sobrante"))</f>
        <v/>
      </c>
      <c r="O716" t="inlineStr">
        <is>
          <t>El faltante $1.169.800 es cruzado con sobrante contabilizado el día 20/03/2026 ($1.169.800) el cual es reversado por la seccion el día 26/03/2026</t>
        </is>
      </c>
      <c r="P716" t="n">
        <v>1090400247</v>
      </c>
    </row>
    <row r="717">
      <c r="A717" t="n">
        <v>236</v>
      </c>
      <c r="B717" t="n">
        <v>6242</v>
      </c>
      <c r="C717" t="inlineStr">
        <is>
          <t>BELLTECH</t>
        </is>
      </c>
      <c r="D717" t="inlineStr">
        <is>
          <t>BELLTECH</t>
        </is>
      </c>
      <c r="E717" s="3" t="n">
        <v>46107</v>
      </c>
      <c r="F717" s="3" t="n">
        <v>46106</v>
      </c>
      <c r="G717" t="inlineStr">
        <is>
          <t>15:26:00</t>
        </is>
      </c>
      <c r="H717" t="n">
        <v>160067350</v>
      </c>
      <c r="I717" t="n">
        <v>140994850</v>
      </c>
      <c r="J717" t="n">
        <v>83560000</v>
      </c>
      <c r="K717" t="n">
        <v>102621700</v>
      </c>
      <c r="M717">
        <f>I717-(H717+J717-K717)- L717</f>
        <v/>
      </c>
      <c r="N717">
        <f>IF(M717=0,"Cuadrado",IF(M717&gt;0,"Faltante","Sobrante"))</f>
        <v/>
      </c>
      <c r="O717" t="inlineStr">
        <is>
          <t>La diferencia es contabilizada por la Gerencia De Autoservicios y Efectivo de manera centralizada a la cuenta de sobrantes 279510020 el 26/03/2026</t>
        </is>
      </c>
      <c r="P717" t="n">
        <v>71369714</v>
      </c>
    </row>
    <row r="718">
      <c r="A718" t="n">
        <v>718</v>
      </c>
      <c r="B718" t="n">
        <v>6248</v>
      </c>
      <c r="C718" t="inlineStr">
        <is>
          <t>BELLTECH</t>
        </is>
      </c>
      <c r="D718" t="inlineStr">
        <is>
          <t>BELLTECH</t>
        </is>
      </c>
      <c r="E718" s="3" t="n">
        <v>46107</v>
      </c>
      <c r="F718" s="3" t="n">
        <v>46106</v>
      </c>
      <c r="G718" t="inlineStr">
        <is>
          <t>14:54:00</t>
        </is>
      </c>
      <c r="H718" t="n">
        <v>203681200</v>
      </c>
      <c r="I718" t="n">
        <v>191514200</v>
      </c>
      <c r="J718" t="n">
        <v>34080000</v>
      </c>
      <c r="K718" t="n">
        <v>91076000</v>
      </c>
      <c r="M718">
        <f>I718-(H718+J718-K718)- L718</f>
        <v/>
      </c>
      <c r="N718">
        <f>IF(M718=0,"Cuadrado",IF(M718&gt;0,"Faltante","Sobrante"))</f>
        <v/>
      </c>
      <c r="O718" t="inlineStr">
        <is>
          <t>Gestión manual - Revisar por el personal encargado</t>
        </is>
      </c>
      <c r="P718" t="n">
        <v>1110458168</v>
      </c>
    </row>
    <row r="719">
      <c r="A719" t="n">
        <v>337</v>
      </c>
      <c r="B719" t="n">
        <v>6253</v>
      </c>
      <c r="C719" t="inlineStr">
        <is>
          <t>BELLTECH</t>
        </is>
      </c>
      <c r="D719" t="inlineStr">
        <is>
          <t>BELLTECH</t>
        </is>
      </c>
      <c r="E719" s="3" t="n">
        <v>46107</v>
      </c>
      <c r="F719" s="3" t="n">
        <v>46106</v>
      </c>
      <c r="G719" t="inlineStr">
        <is>
          <t>15:03:00</t>
        </is>
      </c>
      <c r="H719" t="n">
        <v>112681400</v>
      </c>
      <c r="I719" t="n">
        <v>304893400</v>
      </c>
      <c r="J719" t="n">
        <v>43950000</v>
      </c>
      <c r="K719" t="n">
        <v>93521000</v>
      </c>
      <c r="M719">
        <f>I719-(H719+J719-K719)- L719</f>
        <v/>
      </c>
      <c r="N719">
        <f>IF(M719=0,"Cuadrado",IF(M719&gt;0,"Faltante","Sobrante"))</f>
        <v/>
      </c>
      <c r="O719" t="inlineStr">
        <is>
          <t>Gestión manual - Revisar por el personal encargado</t>
        </is>
      </c>
      <c r="P719" t="n">
        <v>80386330</v>
      </c>
    </row>
    <row r="720">
      <c r="A720" t="n">
        <v>894</v>
      </c>
      <c r="B720" t="n">
        <v>6466</v>
      </c>
      <c r="C720" t="inlineStr">
        <is>
          <t>BELLTECH</t>
        </is>
      </c>
      <c r="D720" t="inlineStr">
        <is>
          <t>BELLTECH</t>
        </is>
      </c>
      <c r="E720" s="3" t="n">
        <v>46107</v>
      </c>
      <c r="F720" s="3" t="n">
        <v>46106</v>
      </c>
      <c r="G720" t="inlineStr">
        <is>
          <t>08:58:00</t>
        </is>
      </c>
      <c r="H720" t="n">
        <v>129172400</v>
      </c>
      <c r="I720" t="n">
        <v>126922400</v>
      </c>
      <c r="J720" t="n">
        <v>0</v>
      </c>
      <c r="K720" t="n">
        <v>2150000</v>
      </c>
      <c r="M720">
        <f>I720-(H720+J720-K720)- L720</f>
        <v/>
      </c>
      <c r="N720">
        <f>IF(M720=0,"Cuadrado",IF(M720&gt;0,"Faltante","Sobrante"))</f>
        <v/>
      </c>
      <c r="O720" t="inlineStr">
        <is>
          <t>La diferencia es contabilizada por la Gerencia De Autoservicios y Efectivo de manera centralizada a la cuenta de sobrantes 279510020 el 26/03/2026</t>
        </is>
      </c>
      <c r="P720" t="n">
        <v>1087122088</v>
      </c>
    </row>
    <row r="721">
      <c r="A721" t="n">
        <v>352</v>
      </c>
      <c r="B721" t="n">
        <v>6618</v>
      </c>
      <c r="C721" t="inlineStr">
        <is>
          <t>BELLTECH</t>
        </is>
      </c>
      <c r="D721" t="inlineStr">
        <is>
          <t>BELLTECH</t>
        </is>
      </c>
      <c r="E721" s="3" t="n">
        <v>46107</v>
      </c>
      <c r="F721" s="3" t="n">
        <v>46106</v>
      </c>
      <c r="G721" t="inlineStr">
        <is>
          <t>14:47:00</t>
        </is>
      </c>
      <c r="H721" t="n">
        <v>262457700</v>
      </c>
      <c r="I721" t="n">
        <v>390711950</v>
      </c>
      <c r="J721" t="n">
        <v>44270000</v>
      </c>
      <c r="K721" t="n">
        <v>74608750</v>
      </c>
      <c r="M721">
        <f>I721-(H721+J721-K721)- L721</f>
        <v/>
      </c>
      <c r="N721">
        <f>IF(M721=0,"Cuadrado",IF(M721&gt;0,"Faltante","Sobrante"))</f>
        <v/>
      </c>
      <c r="O721" t="inlineStr">
        <is>
          <t>La diferencia es contabilizada por la Gerencia De Autoservicios y Efectivo de manera centralizada a la cuenta de sobrantes 279510020 el 26/03/2026</t>
        </is>
      </c>
      <c r="P721" t="n">
        <v>28559006</v>
      </c>
    </row>
    <row r="722">
      <c r="A722" t="n">
        <v>658</v>
      </c>
      <c r="B722" t="n">
        <v>7074</v>
      </c>
      <c r="C722" t="inlineStr">
        <is>
          <t>DIEBOLD</t>
        </is>
      </c>
      <c r="D722" t="inlineStr">
        <is>
          <t>BELLTECH</t>
        </is>
      </c>
      <c r="E722" s="3" t="n">
        <v>46107</v>
      </c>
      <c r="F722" s="3" t="n">
        <v>46106</v>
      </c>
      <c r="G722" t="inlineStr">
        <is>
          <t>11:15:00</t>
        </is>
      </c>
      <c r="H722" t="n">
        <v>231060650</v>
      </c>
      <c r="I722" t="n">
        <v>182040400</v>
      </c>
      <c r="J722" t="n">
        <v>3070000</v>
      </c>
      <c r="K722" t="n">
        <v>41383600</v>
      </c>
      <c r="M722">
        <f>I722-(H722+J722-K722)- L722</f>
        <v/>
      </c>
      <c r="N722">
        <f>IF(M722=0,"Cuadrado",IF(M722&gt;0,"Faltante","Sobrante"))</f>
        <v/>
      </c>
      <c r="O722" t="inlineStr">
        <is>
          <t>La diferencia es contabilizada por la Gerencia De Autoservicios y Efectivo de manera centralizada a la cuenta de sobrantes 279510020 el 26/03/2026</t>
        </is>
      </c>
      <c r="P722" t="n">
        <v>79880795</v>
      </c>
    </row>
    <row r="723">
      <c r="A723" t="n">
        <v>123</v>
      </c>
      <c r="B723" t="n">
        <v>7134</v>
      </c>
      <c r="C723" t="inlineStr">
        <is>
          <t>DIEBOLD</t>
        </is>
      </c>
      <c r="D723" t="inlineStr">
        <is>
          <t>DIEBOLD</t>
        </is>
      </c>
      <c r="E723" s="3" t="n">
        <v>46107</v>
      </c>
      <c r="F723" s="3" t="n">
        <v>46106</v>
      </c>
      <c r="G723" t="inlineStr">
        <is>
          <t>14:57:00</t>
        </is>
      </c>
      <c r="H723" t="n">
        <v>89930150</v>
      </c>
      <c r="I723" t="n">
        <v>182770200</v>
      </c>
      <c r="J723" t="n">
        <v>20270000</v>
      </c>
      <c r="K723" t="n">
        <v>106666950</v>
      </c>
      <c r="M723">
        <f>I723-(H723+J723-K723)- L723</f>
        <v/>
      </c>
      <c r="N723">
        <f>IF(M723=0,"Cuadrado",IF(M723&gt;0,"Faltante","Sobrante"))</f>
        <v/>
      </c>
      <c r="O723" t="inlineStr">
        <is>
          <t>Cajero cuadrado, sin observación por parte de la sucursal</t>
        </is>
      </c>
      <c r="P723" t="n">
        <v>39445526</v>
      </c>
    </row>
    <row r="724">
      <c r="A724" t="n">
        <v>172</v>
      </c>
      <c r="B724" t="n">
        <v>7429</v>
      </c>
      <c r="C724" t="inlineStr">
        <is>
          <t>BELLTECH</t>
        </is>
      </c>
      <c r="D724" t="inlineStr">
        <is>
          <t>BELLTECH</t>
        </is>
      </c>
      <c r="E724" s="3" t="n">
        <v>46107</v>
      </c>
      <c r="F724" s="3" t="n">
        <v>46106</v>
      </c>
      <c r="G724" t="inlineStr">
        <is>
          <t>15:39:00</t>
        </is>
      </c>
      <c r="H724" t="n">
        <v>252977300</v>
      </c>
      <c r="I724" t="n">
        <v>230282200</v>
      </c>
      <c r="J724" t="n">
        <v>19840000</v>
      </c>
      <c r="K724" t="n">
        <v>42535050</v>
      </c>
      <c r="M724">
        <f>I724-(H724+J724-K724)- L724</f>
        <v/>
      </c>
      <c r="N724">
        <f>IF(M724=0,"Cuadrado",IF(M724&gt;0,"Faltante","Sobrante"))</f>
        <v/>
      </c>
      <c r="O724" t="inlineStr">
        <is>
          <t>La diferencia es contabilizada por la Gerencia De Autoservicios y Efectivo de manera centralizada a la cuenta de sobrantes 279510020 el 26/03/2026</t>
        </is>
      </c>
      <c r="P724" t="n">
        <v>52156260</v>
      </c>
    </row>
    <row r="725">
      <c r="A725" t="n">
        <v>453</v>
      </c>
      <c r="B725" t="n">
        <v>8018</v>
      </c>
      <c r="C725" t="inlineStr">
        <is>
          <t>BELLTECH</t>
        </is>
      </c>
      <c r="D725" t="inlineStr">
        <is>
          <t>BELLTECH</t>
        </is>
      </c>
      <c r="E725" s="3" t="n">
        <v>46107</v>
      </c>
      <c r="F725" s="3" t="n">
        <v>46106</v>
      </c>
      <c r="G725" t="inlineStr">
        <is>
          <t>15:44:00</t>
        </is>
      </c>
      <c r="H725" t="n">
        <v>339204100</v>
      </c>
      <c r="I725" t="n">
        <v>252186550</v>
      </c>
      <c r="J725" t="n">
        <v>17400000</v>
      </c>
      <c r="K725" t="n">
        <v>355526400</v>
      </c>
      <c r="M725">
        <f>I725-(H725+J725-K725)- L725</f>
        <v/>
      </c>
      <c r="N725">
        <f>IF(M725=0,"Cuadrado",IF(M725&gt;0,"Faltante","Sobrante"))</f>
        <v/>
      </c>
      <c r="O725" t="inlineStr">
        <is>
          <t>ACLARAR DIFERENCIA Y REPETIR EL ARQUEO</t>
        </is>
      </c>
      <c r="P725" t="n">
        <v>1083897578</v>
      </c>
    </row>
    <row r="726">
      <c r="A726" t="n">
        <v>509</v>
      </c>
      <c r="B726" t="n">
        <v>8835</v>
      </c>
      <c r="C726" t="inlineStr">
        <is>
          <t>BELLTECH</t>
        </is>
      </c>
      <c r="D726" t="inlineStr">
        <is>
          <t>BELLTECH</t>
        </is>
      </c>
      <c r="E726" s="3" t="n">
        <v>46107</v>
      </c>
      <c r="F726" s="3" t="n">
        <v>46106</v>
      </c>
      <c r="G726" t="inlineStr">
        <is>
          <t>09:29:00</t>
        </is>
      </c>
      <c r="H726" t="n">
        <v>131746550</v>
      </c>
      <c r="I726" t="n">
        <v>120739500</v>
      </c>
      <c r="J726" t="n">
        <v>3850000</v>
      </c>
      <c r="K726" t="n">
        <v>21612000</v>
      </c>
      <c r="M726">
        <f>I726-(H726+J726-K726)- L726</f>
        <v/>
      </c>
      <c r="N726">
        <f>IF(M726=0,"Cuadrado",IF(M726&gt;0,"Faltante","Sobrante"))</f>
        <v/>
      </c>
      <c r="O726" t="inlineStr">
        <is>
          <t>ACLARAR DIFERENCIA Y REPETIR EL ARQUEO</t>
        </is>
      </c>
      <c r="P726" t="n">
        <v>1143370364</v>
      </c>
    </row>
    <row r="727">
      <c r="A727" t="n">
        <v>33</v>
      </c>
      <c r="B727" t="n">
        <v>8861</v>
      </c>
      <c r="C727" t="inlineStr">
        <is>
          <t>BELLTECH</t>
        </is>
      </c>
      <c r="D727" t="inlineStr">
        <is>
          <t>BELLTECH</t>
        </is>
      </c>
      <c r="E727" s="3" t="n">
        <v>46107</v>
      </c>
      <c r="F727" s="3" t="n">
        <v>46106</v>
      </c>
      <c r="G727" t="inlineStr">
        <is>
          <t>09:32:00</t>
        </is>
      </c>
      <c r="H727" t="n">
        <v>213168250</v>
      </c>
      <c r="I727" t="n">
        <v>220918250</v>
      </c>
      <c r="J727" t="n">
        <v>9650000</v>
      </c>
      <c r="K727" t="n">
        <v>570000</v>
      </c>
      <c r="M727">
        <f>I727-(H727+J727-K727)- L727</f>
        <v/>
      </c>
      <c r="N727">
        <f>IF(M727=0,"Cuadrado",IF(M727&gt;0,"Faltante","Sobrante"))</f>
        <v/>
      </c>
      <c r="O727" t="inlineStr">
        <is>
          <t>La diferencia es contabilizada por la Gerencia De Autoservicios y Efectivo de manera centralizada a la cuenta de sobrantes 279510020 el 26/03/2026</t>
        </is>
      </c>
      <c r="P727" t="n">
        <v>79659379</v>
      </c>
    </row>
    <row r="728">
      <c r="A728" t="n">
        <v>225</v>
      </c>
      <c r="B728" t="n">
        <v>8868</v>
      </c>
      <c r="C728" t="inlineStr">
        <is>
          <t>BELLTECH</t>
        </is>
      </c>
      <c r="D728" t="inlineStr">
        <is>
          <t>BELLTECH</t>
        </is>
      </c>
      <c r="E728" s="3" t="n">
        <v>46107</v>
      </c>
      <c r="F728" s="3" t="n">
        <v>46106</v>
      </c>
      <c r="G728" t="inlineStr">
        <is>
          <t>10:01:00</t>
        </is>
      </c>
      <c r="H728" t="n">
        <v>124029200</v>
      </c>
      <c r="I728" t="n">
        <v>113511200</v>
      </c>
      <c r="J728" t="n">
        <v>4740000</v>
      </c>
      <c r="K728" t="n">
        <v>9196000</v>
      </c>
      <c r="M728">
        <f>I728-(H728+J728-K728)- L728</f>
        <v/>
      </c>
      <c r="N728">
        <f>IF(M728=0,"Cuadrado",IF(M728&gt;0,"Faltante","Sobrante"))</f>
        <v/>
      </c>
      <c r="O728" t="inlineStr">
        <is>
          <t>La diferencia es contabilizada por la Gerencia De Autoservicios y Efectivo de manera centralizada a la cuenta de sobrantes 279510020 el 26/03/2026</t>
        </is>
      </c>
      <c r="P728" t="n">
        <v>80212698</v>
      </c>
    </row>
    <row r="729">
      <c r="A729" t="n">
        <v>442</v>
      </c>
      <c r="B729" t="n">
        <v>8887</v>
      </c>
      <c r="C729" t="inlineStr">
        <is>
          <t>BELLTECH</t>
        </is>
      </c>
      <c r="D729" t="inlineStr">
        <is>
          <t>BELLTECH</t>
        </is>
      </c>
      <c r="E729" s="3" t="n">
        <v>46107</v>
      </c>
      <c r="F729" s="3" t="n">
        <v>46106</v>
      </c>
      <c r="G729" t="inlineStr">
        <is>
          <t>11:02:00</t>
        </is>
      </c>
      <c r="H729" t="n">
        <v>201739800</v>
      </c>
      <c r="I729" t="n">
        <v>170175750</v>
      </c>
      <c r="J729" t="n">
        <v>11720000</v>
      </c>
      <c r="K729" t="n">
        <v>31120000</v>
      </c>
      <c r="M729">
        <f>I729-(H729+J729-K729)- L729</f>
        <v/>
      </c>
      <c r="N729">
        <f>IF(M729=0,"Cuadrado",IF(M729&gt;0,"Faltante","Sobrante"))</f>
        <v/>
      </c>
      <c r="O729" t="inlineStr">
        <is>
          <t>La diferencia es contabilizada por la Gerencia De Autoservicios y Efectivo de manera centralizada a la cuenta de sobrantes 279510020 el 26/03/2026</t>
        </is>
      </c>
      <c r="P729" t="n">
        <v>1140853558</v>
      </c>
    </row>
    <row r="730">
      <c r="A730" t="n">
        <v>721</v>
      </c>
      <c r="B730" t="n">
        <v>8896</v>
      </c>
      <c r="C730" t="inlineStr">
        <is>
          <t>BELLTECH</t>
        </is>
      </c>
      <c r="D730" t="inlineStr">
        <is>
          <t>BELLTECH</t>
        </is>
      </c>
      <c r="E730" s="3" t="n">
        <v>46107</v>
      </c>
      <c r="F730" s="3" t="n">
        <v>46106</v>
      </c>
      <c r="G730" t="inlineStr">
        <is>
          <t>10:38:00</t>
        </is>
      </c>
      <c r="H730" t="n">
        <v>275318200</v>
      </c>
      <c r="I730" t="n">
        <v>256558750</v>
      </c>
      <c r="J730" t="n">
        <v>17960000</v>
      </c>
      <c r="K730" t="n">
        <v>35715500</v>
      </c>
      <c r="M730">
        <f>I730-(H730+J730-K730)- L730</f>
        <v/>
      </c>
      <c r="N730">
        <f>IF(M730=0,"Cuadrado",IF(M730&gt;0,"Faltante","Sobrante"))</f>
        <v/>
      </c>
      <c r="O730" t="inlineStr">
        <is>
          <t>La diferencia es contabilizada por la Gerencia De Autoservicios y Efectivo de manera centralizada a la cuenta de sobrantes 279510020 el 26/03/2026</t>
        </is>
      </c>
      <c r="P730" t="n">
        <v>1088262262</v>
      </c>
    </row>
    <row r="731">
      <c r="A731" t="n">
        <v>721</v>
      </c>
      <c r="B731" t="n">
        <v>8897</v>
      </c>
      <c r="C731" t="inlineStr">
        <is>
          <t>DIEBOLD</t>
        </is>
      </c>
      <c r="D731" t="inlineStr">
        <is>
          <t>BELLTECH</t>
        </is>
      </c>
      <c r="E731" s="3" t="n">
        <v>46107</v>
      </c>
      <c r="F731" s="3" t="n">
        <v>46106</v>
      </c>
      <c r="G731" t="inlineStr">
        <is>
          <t>09:42:00</t>
        </is>
      </c>
      <c r="H731" t="n">
        <v>181257300</v>
      </c>
      <c r="I731" t="n">
        <v>179445350</v>
      </c>
      <c r="J731" t="n">
        <v>13260000</v>
      </c>
      <c r="K731" t="n">
        <v>15072000</v>
      </c>
      <c r="M731">
        <f>I731-(H731+J731-K731)- L731</f>
        <v/>
      </c>
      <c r="N731">
        <f>IF(M731=0,"Cuadrado",IF(M731&gt;0,"Faltante","Sobrante"))</f>
        <v/>
      </c>
      <c r="O731" t="inlineStr">
        <is>
          <t>La diferencia es contabilizada por la Gerencia De Autoservicios y Efectivo de manera centralizada a la cuenta de faltantes 168710093 el 26/03/2026, esta diferencia ingresa a proceso de investigación en el área para identificar a que corresponde.</t>
        </is>
      </c>
      <c r="P731" t="n">
        <v>1088262262</v>
      </c>
    </row>
    <row r="732">
      <c r="A732" t="n">
        <v>20</v>
      </c>
      <c r="B732" t="n">
        <v>9204</v>
      </c>
      <c r="C732" t="inlineStr">
        <is>
          <t>BELLTECH</t>
        </is>
      </c>
      <c r="D732" t="inlineStr">
        <is>
          <t>BELLTECH</t>
        </is>
      </c>
      <c r="E732" s="3" t="n">
        <v>46107</v>
      </c>
      <c r="F732" s="3" t="n">
        <v>46106</v>
      </c>
      <c r="G732" t="inlineStr">
        <is>
          <t>08:39:00</t>
        </is>
      </c>
      <c r="H732" t="n">
        <v>77233900</v>
      </c>
      <c r="I732" t="n">
        <v>77213900</v>
      </c>
      <c r="J732" t="n">
        <v>0</v>
      </c>
      <c r="K732" t="n">
        <v>0</v>
      </c>
      <c r="M732">
        <f>I732-(H732+J732-K732)- L732</f>
        <v/>
      </c>
      <c r="N732">
        <f>IF(M732=0,"Cuadrado",IF(M732&gt;0,"Faltante","Sobrante"))</f>
        <v/>
      </c>
      <c r="O732" t="inlineStr">
        <is>
          <t>La diferencia es contabilizada por la Gerencia De Autoservicios y Efectivo de manera centralizada a la cuenta de sobrantes 279510020 el 26/03/2026</t>
        </is>
      </c>
      <c r="P732" t="n">
        <v>91232943</v>
      </c>
    </row>
    <row r="733">
      <c r="A733" t="n">
        <v>229</v>
      </c>
      <c r="B733" t="n">
        <v>9604</v>
      </c>
      <c r="C733" t="inlineStr">
        <is>
          <t>BELLTECH</t>
        </is>
      </c>
      <c r="D733" t="inlineStr">
        <is>
          <t>BELLTECH</t>
        </is>
      </c>
      <c r="E733" s="3" t="n">
        <v>46107</v>
      </c>
      <c r="F733" s="3" t="n">
        <v>46106</v>
      </c>
      <c r="G733" t="inlineStr">
        <is>
          <t>13:27:00</t>
        </is>
      </c>
      <c r="H733" t="n">
        <v>184665050</v>
      </c>
      <c r="I733" t="n">
        <v>189534050</v>
      </c>
      <c r="J733" t="n">
        <v>8620000</v>
      </c>
      <c r="K733" t="n">
        <v>0</v>
      </c>
      <c r="M733">
        <f>I733-(H733+J733-K733)- L733</f>
        <v/>
      </c>
      <c r="N733">
        <f>IF(M733=0,"Cuadrado",IF(M733&gt;0,"Faltante","Sobrante"))</f>
        <v/>
      </c>
      <c r="O733" t="inlineStr">
        <is>
          <t>La diferencia es contabilizada por la Gerencia De Autoservicios y Efectivo de manera centralizada a la cuenta de sobrantes 279510020 el 26/03/2026</t>
        </is>
      </c>
      <c r="P733" t="n">
        <v>79653318</v>
      </c>
    </row>
    <row r="734">
      <c r="A734" t="n">
        <v>551</v>
      </c>
      <c r="B734" t="n">
        <v>9643</v>
      </c>
      <c r="C734" t="inlineStr">
        <is>
          <t>BELLTECH</t>
        </is>
      </c>
      <c r="D734" t="inlineStr">
        <is>
          <t>BELLTECH</t>
        </is>
      </c>
      <c r="E734" s="3" t="n">
        <v>46107</v>
      </c>
      <c r="F734" s="3" t="n">
        <v>46106</v>
      </c>
      <c r="G734" t="inlineStr">
        <is>
          <t>09:08:00</t>
        </is>
      </c>
      <c r="H734" t="n">
        <v>99549400</v>
      </c>
      <c r="I734" t="n">
        <v>102929400</v>
      </c>
      <c r="J734" t="n">
        <v>3600000</v>
      </c>
      <c r="K734" t="n">
        <v>200000</v>
      </c>
      <c r="M734">
        <f>I734-(H734+J734-K734)- L734</f>
        <v/>
      </c>
      <c r="N734">
        <f>IF(M734=0,"Cuadrado",IF(M734&gt;0,"Faltante","Sobrante"))</f>
        <v/>
      </c>
      <c r="O734" t="inlineStr">
        <is>
          <t>La diferencia es contabilizada por la Gerencia De Autoservicios y Efectivo de manera centralizada a la cuenta de sobrantes 279510020 el 26/03/2026</t>
        </is>
      </c>
      <c r="P734" t="n">
        <v>1152213498</v>
      </c>
    </row>
    <row r="735">
      <c r="A735" t="n">
        <v>551</v>
      </c>
      <c r="B735" t="n">
        <v>9644</v>
      </c>
      <c r="C735" t="inlineStr">
        <is>
          <t>BELLTECH</t>
        </is>
      </c>
      <c r="D735" t="inlineStr">
        <is>
          <t>BELLTECH</t>
        </is>
      </c>
      <c r="E735" s="3" t="n">
        <v>46107</v>
      </c>
      <c r="F735" s="3" t="n">
        <v>46106</v>
      </c>
      <c r="G735" t="inlineStr">
        <is>
          <t>09:27:00</t>
        </is>
      </c>
      <c r="H735" t="n">
        <v>60657200</v>
      </c>
      <c r="I735" t="n">
        <v>64901200</v>
      </c>
      <c r="J735" t="n">
        <v>5960000</v>
      </c>
      <c r="K735" t="n">
        <v>1720000</v>
      </c>
      <c r="M735">
        <f>I735-(H735+J735-K735)- L735</f>
        <v/>
      </c>
      <c r="N735">
        <f>IF(M735=0,"Cuadrado",IF(M735&gt;0,"Faltante","Sobrante"))</f>
        <v/>
      </c>
      <c r="O735" t="inlineStr">
        <is>
          <t>El faltante $4.000 es cruzado con sobrante contabilizado el día 13/03/2026 ($4.000) el cual es reversado por la seccion el día 26/03/2026</t>
        </is>
      </c>
      <c r="P735" t="n">
        <v>1152213498</v>
      </c>
    </row>
    <row r="736">
      <c r="A736" t="n">
        <v>876</v>
      </c>
      <c r="B736" t="n">
        <v>9682</v>
      </c>
      <c r="C736" t="inlineStr">
        <is>
          <t>BELLTECH</t>
        </is>
      </c>
      <c r="D736" t="inlineStr">
        <is>
          <t>BELLTECH</t>
        </is>
      </c>
      <c r="E736" s="3" t="n">
        <v>46107</v>
      </c>
      <c r="F736" s="3" t="n">
        <v>46106</v>
      </c>
      <c r="G736" t="inlineStr">
        <is>
          <t>10:35:00</t>
        </is>
      </c>
      <c r="H736" t="n">
        <v>445456450</v>
      </c>
      <c r="I736" t="n">
        <v>544027650</v>
      </c>
      <c r="J736" t="n">
        <v>0</v>
      </c>
      <c r="K736" t="n">
        <v>0</v>
      </c>
      <c r="M736">
        <f>I736-(H736+J736-K736)- L736</f>
        <v/>
      </c>
      <c r="N736">
        <f>IF(M736=0,"Cuadrado",IF(M736&gt;0,"Faltante","Sobrante"))</f>
        <v/>
      </c>
      <c r="O736" t="inlineStr">
        <is>
          <t>La diferencia es contabilizada por la Gerencia De Autoservicios y Efectivo de manera centralizada a la cuenta de sobrantes 279510020 el 26/03/2026</t>
        </is>
      </c>
      <c r="P736" t="n">
        <v>1002032451</v>
      </c>
    </row>
    <row r="737">
      <c r="A737" t="n">
        <v>806</v>
      </c>
      <c r="B737" t="n">
        <v>5156</v>
      </c>
      <c r="C737" t="inlineStr">
        <is>
          <t>BELLTECH</t>
        </is>
      </c>
      <c r="D737" t="inlineStr">
        <is>
          <t>BELLTECH</t>
        </is>
      </c>
      <c r="E737" s="3" t="n">
        <v>46107</v>
      </c>
      <c r="F737" s="3" t="n">
        <v>46106</v>
      </c>
      <c r="G737" t="inlineStr">
        <is>
          <t>09:35:00</t>
        </is>
      </c>
      <c r="H737" t="n">
        <v>310668250</v>
      </c>
      <c r="I737" t="n">
        <v>310668250</v>
      </c>
      <c r="J737" t="n">
        <v>0</v>
      </c>
      <c r="K737" t="n">
        <v>0</v>
      </c>
      <c r="M737">
        <f>I737-(H737+J737-K737)- L737</f>
        <v/>
      </c>
      <c r="N737">
        <f>IF(M737=0,"Cuadrado",IF(M737&gt;0,"Faltante","Sobrante"))</f>
        <v/>
      </c>
      <c r="O737" t="inlineStr">
        <is>
          <t>Cajero cuadrado, sin observación por parte de la sucursal</t>
        </is>
      </c>
      <c r="P737" t="n">
        <v>7335993</v>
      </c>
    </row>
    <row r="738">
      <c r="A738" t="n">
        <v>302</v>
      </c>
      <c r="B738" t="n">
        <v>5170</v>
      </c>
      <c r="C738" t="inlineStr">
        <is>
          <t>BELLTECH</t>
        </is>
      </c>
      <c r="D738" t="inlineStr">
        <is>
          <t>BELLTECH</t>
        </is>
      </c>
      <c r="E738" s="3" t="n">
        <v>46107</v>
      </c>
      <c r="F738" s="3" t="n">
        <v>46106</v>
      </c>
      <c r="G738" t="inlineStr">
        <is>
          <t>08:19:00</t>
        </is>
      </c>
      <c r="H738" t="n">
        <v>224147800</v>
      </c>
      <c r="I738" t="n">
        <v>226607800</v>
      </c>
      <c r="J738" t="n">
        <v>3330000</v>
      </c>
      <c r="K738" t="n">
        <v>870000</v>
      </c>
      <c r="M738">
        <f>I738-(H738+J738-K738)- L738</f>
        <v/>
      </c>
      <c r="N738">
        <f>IF(M738=0,"Cuadrado",IF(M738&gt;0,"Faltante","Sobrante"))</f>
        <v/>
      </c>
      <c r="O738" t="inlineStr">
        <is>
          <t>Cajero cuadrado, sin observación por parte de la sucursal</t>
        </is>
      </c>
      <c r="P738" t="n">
        <v>1102374502</v>
      </c>
    </row>
    <row r="739">
      <c r="A739" t="n">
        <v>959</v>
      </c>
      <c r="B739" t="n">
        <v>9265</v>
      </c>
      <c r="C739" t="inlineStr">
        <is>
          <t>DIEBOLD</t>
        </is>
      </c>
      <c r="D739" t="inlineStr">
        <is>
          <t>DIEBOLD</t>
        </is>
      </c>
      <c r="E739" s="3" t="n">
        <v>46107</v>
      </c>
      <c r="F739" s="3" t="n">
        <v>46106</v>
      </c>
      <c r="G739" t="inlineStr">
        <is>
          <t>09:09:00</t>
        </is>
      </c>
      <c r="H739" t="n">
        <v>105307500</v>
      </c>
      <c r="I739" t="n">
        <v>110977500</v>
      </c>
      <c r="J739" t="n">
        <v>5670000</v>
      </c>
      <c r="K739" t="n">
        <v>0</v>
      </c>
      <c r="M739">
        <f>I739-(H739+J739-K739)- L739</f>
        <v/>
      </c>
      <c r="N739">
        <f>IF(M739=0,"Cuadrado",IF(M739&gt;0,"Faltante","Sobrante"))</f>
        <v/>
      </c>
      <c r="O739" t="inlineStr">
        <is>
          <t>Cajero cuadrado, sin observación por parte de la sucursal</t>
        </is>
      </c>
      <c r="P739" t="n">
        <v>1028002263</v>
      </c>
    </row>
    <row r="740">
      <c r="A740" t="n">
        <v>306</v>
      </c>
      <c r="B740" t="n">
        <v>428</v>
      </c>
      <c r="C740" t="inlineStr">
        <is>
          <t>DIEBOLD</t>
        </is>
      </c>
      <c r="D740" t="inlineStr">
        <is>
          <t>DIEBOLD</t>
        </is>
      </c>
      <c r="E740" s="3" t="n">
        <v>46108</v>
      </c>
      <c r="F740" s="3" t="n">
        <v>46107</v>
      </c>
      <c r="G740" t="inlineStr">
        <is>
          <t>15:22:00</t>
        </is>
      </c>
      <c r="H740" t="n">
        <v>251645850</v>
      </c>
      <c r="I740" t="n">
        <v>233257250</v>
      </c>
      <c r="J740" t="n">
        <v>9690000</v>
      </c>
      <c r="K740" t="n">
        <v>33667600</v>
      </c>
      <c r="M740">
        <f>I740-(H740+J740-K740)- L740</f>
        <v/>
      </c>
      <c r="N740">
        <f>IF(M740=0,"Cuadrado",IF(M740&gt;0,"Faltante","Sobrante"))</f>
        <v/>
      </c>
      <c r="O740" t="inlineStr">
        <is>
          <t>La diferencia es contabilizada por la Gerencia De Autoservicios y Efectivo de manera centralizada a la cuenta de faltantes 168710093 el 27/03/2026, esta diferencia ingresa a proceso de investigación en el área para identificar a que corresponde.</t>
        </is>
      </c>
      <c r="P740" t="n">
        <v>1096233458</v>
      </c>
    </row>
    <row r="741">
      <c r="A741" t="n">
        <v>331</v>
      </c>
      <c r="B741" t="n">
        <v>575</v>
      </c>
      <c r="C741" t="inlineStr">
        <is>
          <t>BELLTECH</t>
        </is>
      </c>
      <c r="D741" t="inlineStr">
        <is>
          <t>BELLTECH</t>
        </is>
      </c>
      <c r="E741" s="3" t="n">
        <v>46108</v>
      </c>
      <c r="F741" s="3" t="n">
        <v>46107</v>
      </c>
      <c r="G741" t="inlineStr">
        <is>
          <t>13:40:00</t>
        </is>
      </c>
      <c r="H741" t="n">
        <v>113728550</v>
      </c>
      <c r="I741" t="n">
        <v>191402900</v>
      </c>
      <c r="J741" t="n">
        <v>21740000</v>
      </c>
      <c r="K741" t="n">
        <v>109065000</v>
      </c>
      <c r="M741">
        <f>I741-(H741+J741-K741)- L741</f>
        <v/>
      </c>
      <c r="N741">
        <f>IF(M741=0,"Cuadrado",IF(M741&gt;0,"Faltante","Sobrante"))</f>
        <v/>
      </c>
      <c r="O741" t="inlineStr">
        <is>
          <t>La diferencia es contabilizada por la Gerencia De Autoservicios y Efectivo de manera centralizada a la cuenta de sobrantes 279510020 el 27/03/2026</t>
        </is>
      </c>
      <c r="P741" t="n">
        <v>32244978</v>
      </c>
    </row>
    <row r="742">
      <c r="A742" t="n">
        <v>795</v>
      </c>
      <c r="B742" t="n">
        <v>1028</v>
      </c>
      <c r="C742" t="inlineStr">
        <is>
          <t>BELLTECH</t>
        </is>
      </c>
      <c r="D742" t="inlineStr">
        <is>
          <t>BELLTECH</t>
        </is>
      </c>
      <c r="E742" s="3" t="n">
        <v>46108</v>
      </c>
      <c r="F742" s="3" t="n">
        <v>46107</v>
      </c>
      <c r="G742" t="inlineStr">
        <is>
          <t>13:08:00</t>
        </is>
      </c>
      <c r="H742" t="n">
        <v>323600600</v>
      </c>
      <c r="I742" t="n">
        <v>257612650</v>
      </c>
      <c r="J742" t="n">
        <v>24100000</v>
      </c>
      <c r="K742" t="n">
        <v>90063850</v>
      </c>
      <c r="M742">
        <f>I742-(H742+J742-K742)- L742</f>
        <v/>
      </c>
      <c r="N742">
        <f>IF(M742=0,"Cuadrado",IF(M742&gt;0,"Faltante","Sobrante"))</f>
        <v/>
      </c>
      <c r="O742" t="inlineStr">
        <is>
          <t>La diferencia es contabilizada por la Gerencia De Autoservicios y Efectivo de manera centralizada a la cuenta de sobrantes 279510020 el 27/03/2026</t>
        </is>
      </c>
      <c r="P742" t="n">
        <v>91274094</v>
      </c>
    </row>
    <row r="743">
      <c r="A743" t="n">
        <v>882</v>
      </c>
      <c r="B743" t="n">
        <v>5020</v>
      </c>
      <c r="C743" t="inlineStr">
        <is>
          <t>BELLTECH</t>
        </is>
      </c>
      <c r="D743" t="inlineStr">
        <is>
          <t>BELLTECH</t>
        </is>
      </c>
      <c r="E743" s="3" t="n">
        <v>46108</v>
      </c>
      <c r="F743" s="3" t="n">
        <v>46107</v>
      </c>
      <c r="G743" t="inlineStr">
        <is>
          <t>10:46:00</t>
        </is>
      </c>
      <c r="H743" t="n">
        <v>373206300</v>
      </c>
      <c r="I743" t="n">
        <v>357552300</v>
      </c>
      <c r="J743" t="n">
        <v>15680000</v>
      </c>
      <c r="K743" t="n">
        <v>31374000</v>
      </c>
      <c r="M743">
        <f>I743-(H743+J743-K743)- L743</f>
        <v/>
      </c>
      <c r="N743">
        <f>IF(M743=0,"Cuadrado",IF(M743&gt;0,"Faltante","Sobrante"))</f>
        <v/>
      </c>
      <c r="O743" t="inlineStr">
        <is>
          <t>ACLARAR DIFERENCIA Y REPETIR EL ARQUEO</t>
        </is>
      </c>
      <c r="P743" t="n">
        <v>33369487</v>
      </c>
    </row>
    <row r="744">
      <c r="A744" t="n">
        <v>261</v>
      </c>
      <c r="B744" t="n">
        <v>5048</v>
      </c>
      <c r="C744" t="inlineStr">
        <is>
          <t>BELLTECH</t>
        </is>
      </c>
      <c r="D744" t="inlineStr">
        <is>
          <t>BELLTECH</t>
        </is>
      </c>
      <c r="E744" s="3" t="n">
        <v>46108</v>
      </c>
      <c r="F744" s="3" t="n">
        <v>46107</v>
      </c>
      <c r="G744" t="inlineStr">
        <is>
          <t>08:31:00</t>
        </is>
      </c>
      <c r="H744" t="n">
        <v>207970950</v>
      </c>
      <c r="I744" t="n">
        <v>207950950</v>
      </c>
      <c r="J744" t="n">
        <v>0</v>
      </c>
      <c r="K744" t="n">
        <v>0</v>
      </c>
      <c r="M744">
        <f>I744-(H744+J744-K744)- L744</f>
        <v/>
      </c>
      <c r="N744">
        <f>IF(M744=0,"Cuadrado",IF(M744&gt;0,"Faltante","Sobrante"))</f>
        <v/>
      </c>
      <c r="O744" t="inlineStr">
        <is>
          <t>La diferencia es contabilizada por la Gerencia De Autoservicios y Efectivo de manera centralizada a la cuenta de sobrantes 279510020 el 27/03/2026</t>
        </is>
      </c>
      <c r="P744" t="n">
        <v>1061762416</v>
      </c>
    </row>
    <row r="745">
      <c r="A745" t="n">
        <v>781</v>
      </c>
      <c r="B745" t="n">
        <v>5057</v>
      </c>
      <c r="C745" t="inlineStr">
        <is>
          <t>BELLTECH</t>
        </is>
      </c>
      <c r="D745" t="inlineStr">
        <is>
          <t>BELLTECH</t>
        </is>
      </c>
      <c r="E745" s="3" t="n">
        <v>46108</v>
      </c>
      <c r="F745" s="3" t="n">
        <v>46106</v>
      </c>
      <c r="G745" t="inlineStr">
        <is>
          <t>11:11:00</t>
        </is>
      </c>
      <c r="H745" t="n">
        <v>118883450</v>
      </c>
      <c r="I745" t="n">
        <v>99095450</v>
      </c>
      <c r="J745" t="n">
        <v>17010000</v>
      </c>
      <c r="K745" t="n">
        <v>36161000</v>
      </c>
      <c r="M745">
        <f>I745-(H745+J745-K745)- L745</f>
        <v/>
      </c>
      <c r="N745">
        <f>IF(M745=0,"Cuadrado",IF(M745&gt;0,"Faltante","Sobrante"))</f>
        <v/>
      </c>
      <c r="O745" t="inlineStr">
        <is>
          <t>La diferencia es contabilizada por la Gerencia De Autoservicios y Efectivo de manera centralizada a la cuenta de sobrantes 279510020 el 27/03/2026</t>
        </is>
      </c>
      <c r="P745" t="n">
        <v>1082848167</v>
      </c>
    </row>
    <row r="746">
      <c r="A746" t="n">
        <v>7</v>
      </c>
      <c r="B746" t="n">
        <v>5059</v>
      </c>
      <c r="C746" t="inlineStr">
        <is>
          <t>BELLTECH</t>
        </is>
      </c>
      <c r="D746" t="inlineStr">
        <is>
          <t>BELLTECH</t>
        </is>
      </c>
      <c r="E746" s="3" t="n">
        <v>46108</v>
      </c>
      <c r="F746" s="3" t="n">
        <v>46107</v>
      </c>
      <c r="G746" t="inlineStr">
        <is>
          <t>09:25:00</t>
        </is>
      </c>
      <c r="H746" t="n">
        <v>260349900</v>
      </c>
      <c r="I746" t="n">
        <v>257016900</v>
      </c>
      <c r="J746" t="n">
        <v>0</v>
      </c>
      <c r="K746" t="n">
        <v>3815000</v>
      </c>
      <c r="M746">
        <f>I746-(H746+J746-K746)- L746</f>
        <v/>
      </c>
      <c r="N746">
        <f>IF(M746=0,"Cuadrado",IF(M746&gt;0,"Faltante","Sobrante"))</f>
        <v/>
      </c>
      <c r="O746" t="inlineStr">
        <is>
          <t>ACLARAR DIFERENCIA Y REPETIR EL ARQUEO</t>
        </is>
      </c>
      <c r="P746" t="n">
        <v>1020460907</v>
      </c>
    </row>
    <row r="747">
      <c r="A747" t="n">
        <v>333</v>
      </c>
      <c r="B747" t="n">
        <v>5076</v>
      </c>
      <c r="C747" t="inlineStr">
        <is>
          <t>BELLTECH</t>
        </is>
      </c>
      <c r="D747" t="inlineStr">
        <is>
          <t>BELLTECH</t>
        </is>
      </c>
      <c r="E747" s="3" t="n">
        <v>46108</v>
      </c>
      <c r="F747" s="3" t="n">
        <v>46107</v>
      </c>
      <c r="G747" t="inlineStr">
        <is>
          <t>10:52:00</t>
        </is>
      </c>
      <c r="H747" t="n">
        <v>66947750</v>
      </c>
      <c r="I747" t="n">
        <v>225660750</v>
      </c>
      <c r="J747" t="n">
        <v>6090000</v>
      </c>
      <c r="K747" t="n">
        <v>23188000</v>
      </c>
      <c r="M747">
        <f>I747-(H747+J747-K747)- L747</f>
        <v/>
      </c>
      <c r="N747">
        <f>IF(M747=0,"Cuadrado",IF(M747&gt;0,"Faltante","Sobrante"))</f>
        <v/>
      </c>
      <c r="O747" t="inlineStr">
        <is>
          <t>Gestión manual - Revisar por el personal encargado</t>
        </is>
      </c>
      <c r="P747" t="n">
        <v>1036606819</v>
      </c>
    </row>
    <row r="748">
      <c r="A748" t="n">
        <v>265</v>
      </c>
      <c r="B748" t="n">
        <v>5083</v>
      </c>
      <c r="C748" t="inlineStr">
        <is>
          <t>BELLTECH</t>
        </is>
      </c>
      <c r="D748" t="inlineStr">
        <is>
          <t>BELLTECH</t>
        </is>
      </c>
      <c r="E748" s="3" t="n">
        <v>46108</v>
      </c>
      <c r="F748" s="3" t="n">
        <v>46107</v>
      </c>
      <c r="G748" t="inlineStr">
        <is>
          <t>09:37:00</t>
        </is>
      </c>
      <c r="H748" t="n">
        <v>156002150</v>
      </c>
      <c r="I748" t="n">
        <v>149865150</v>
      </c>
      <c r="J748" t="n">
        <v>15330000</v>
      </c>
      <c r="K748" t="n">
        <v>5867000</v>
      </c>
      <c r="M748">
        <f>I748-(H748+J748-K748)- L748</f>
        <v/>
      </c>
      <c r="N748">
        <f>IF(M748=0,"Cuadrado",IF(M748&gt;0,"Faltante","Sobrante"))</f>
        <v/>
      </c>
      <c r="O748" t="inlineStr">
        <is>
          <t>La diferencia es contabilizada por la Gerencia De Autoservicios y Efectivo de manera centralizada a la cuenta de sobrantes 279510020 el 27/03/2026</t>
        </is>
      </c>
      <c r="P748" t="n">
        <v>34568304</v>
      </c>
    </row>
    <row r="749">
      <c r="A749" t="n">
        <v>937</v>
      </c>
      <c r="B749" t="n">
        <v>5115</v>
      </c>
      <c r="C749" t="inlineStr">
        <is>
          <t>BELLTECH</t>
        </is>
      </c>
      <c r="D749" t="inlineStr">
        <is>
          <t>BELLTECH</t>
        </is>
      </c>
      <c r="E749" s="3" t="n">
        <v>46108</v>
      </c>
      <c r="F749" s="3" t="n">
        <v>46107</v>
      </c>
      <c r="G749" t="inlineStr">
        <is>
          <t>08:10:00</t>
        </is>
      </c>
      <c r="H749" t="n">
        <v>141355300</v>
      </c>
      <c r="I749" t="n">
        <v>142745300</v>
      </c>
      <c r="J749" t="n">
        <v>100000</v>
      </c>
      <c r="K749" t="n">
        <v>500000</v>
      </c>
      <c r="M749">
        <f>I749-(H749+J749-K749)- L749</f>
        <v/>
      </c>
      <c r="N749">
        <f>IF(M749=0,"Cuadrado",IF(M749&gt;0,"Faltante","Sobrante"))</f>
        <v/>
      </c>
      <c r="O749" t="inlineStr">
        <is>
          <t>El faltante $1.790.000 es cruzado con sobrante contabilizado el día 10/03/2026 ($150.000), el día 17/03/2026 ($1.640.000) el cual es reversado por la seccion el día 27/03/2026</t>
        </is>
      </c>
      <c r="P749" t="n">
        <v>1061702364</v>
      </c>
    </row>
    <row r="750">
      <c r="A750" t="n">
        <v>789</v>
      </c>
      <c r="B750" t="n">
        <v>5118</v>
      </c>
      <c r="C750" t="inlineStr">
        <is>
          <t>BELLTECH</t>
        </is>
      </c>
      <c r="D750" t="inlineStr">
        <is>
          <t>BELLTECH</t>
        </is>
      </c>
      <c r="E750" s="3" t="n">
        <v>46108</v>
      </c>
      <c r="F750" s="3" t="n">
        <v>46107</v>
      </c>
      <c r="G750" t="inlineStr">
        <is>
          <t>08:54:00</t>
        </is>
      </c>
      <c r="H750" t="n">
        <v>116842500</v>
      </c>
      <c r="I750" t="n">
        <v>99119600</v>
      </c>
      <c r="J750" t="n">
        <v>9760000</v>
      </c>
      <c r="K750" t="n">
        <v>25132000</v>
      </c>
      <c r="M750">
        <f>I750-(H750+J750-K750)- L750</f>
        <v/>
      </c>
      <c r="N750">
        <f>IF(M750=0,"Cuadrado",IF(M750&gt;0,"Faltante","Sobrante"))</f>
        <v/>
      </c>
      <c r="O750" t="inlineStr">
        <is>
          <t>La diferencia es contabilizada por la Gerencia De Autoservicios y Efectivo de manera centralizada a la cuenta de sobrantes 279510020 el 27/03/2026</t>
        </is>
      </c>
      <c r="P750" t="n">
        <v>1102835683</v>
      </c>
    </row>
    <row r="751">
      <c r="A751" t="n">
        <v>91</v>
      </c>
      <c r="B751" t="n">
        <v>5148</v>
      </c>
      <c r="C751" t="inlineStr">
        <is>
          <t>BELLTECH</t>
        </is>
      </c>
      <c r="D751" t="inlineStr">
        <is>
          <t>BELLTECH</t>
        </is>
      </c>
      <c r="E751" s="3" t="n">
        <v>46108</v>
      </c>
      <c r="F751" s="3" t="n">
        <v>46106</v>
      </c>
      <c r="G751" t="inlineStr">
        <is>
          <t>15:39:00</t>
        </is>
      </c>
      <c r="H751" t="n">
        <v>34786950</v>
      </c>
      <c r="I751" t="n">
        <v>-5818050</v>
      </c>
      <c r="J751" t="n">
        <v>11210000</v>
      </c>
      <c r="K751" t="n">
        <v>26145000</v>
      </c>
      <c r="M751">
        <f>I751-(H751+J751-K751)- L751</f>
        <v/>
      </c>
      <c r="N751">
        <f>IF(M751=0,"Cuadrado",IF(M751&gt;0,"Faltante","Sobrante"))</f>
        <v/>
      </c>
      <c r="O751" t="inlineStr">
        <is>
          <t>La diferencia es contabilizada por la Gerencia De Autoservicios y Efectivo de manera centralizada a la cuenta de sobrantes 279510020 el 27/03/2026</t>
        </is>
      </c>
      <c r="P751" t="n">
        <v>1067844638</v>
      </c>
    </row>
    <row r="752">
      <c r="A752" t="n">
        <v>667</v>
      </c>
      <c r="B752" t="n">
        <v>5167</v>
      </c>
      <c r="C752" t="inlineStr">
        <is>
          <t>BELLTECH</t>
        </is>
      </c>
      <c r="D752" t="inlineStr">
        <is>
          <t>BELLTECH</t>
        </is>
      </c>
      <c r="E752" s="3" t="n">
        <v>46108</v>
      </c>
      <c r="F752" s="3" t="n">
        <v>46106</v>
      </c>
      <c r="G752" t="inlineStr">
        <is>
          <t>15:27:00</t>
        </is>
      </c>
      <c r="H752" t="n">
        <v>328543500</v>
      </c>
      <c r="I752" t="n">
        <v>306338550</v>
      </c>
      <c r="J752" t="n">
        <v>42160000</v>
      </c>
      <c r="K752" t="n">
        <v>14452000</v>
      </c>
      <c r="M752">
        <f>I752-(H752+J752-K752)- L752</f>
        <v/>
      </c>
      <c r="N752">
        <f>IF(M752=0,"Cuadrado",IF(M752&gt;0,"Faltante","Sobrante"))</f>
        <v/>
      </c>
      <c r="O752" t="inlineStr">
        <is>
          <t>La diferencia es contabilizada por la Gerencia De Autoservicios y Efectivo de manera centralizada a la cuenta de sobrantes 279510020 el 27/03/2026</t>
        </is>
      </c>
      <c r="P752" t="n">
        <v>79953058</v>
      </c>
    </row>
    <row r="753">
      <c r="A753" t="n">
        <v>606</v>
      </c>
      <c r="B753" t="n">
        <v>5201</v>
      </c>
      <c r="C753" t="inlineStr">
        <is>
          <t>BELLTECH</t>
        </is>
      </c>
      <c r="D753" t="inlineStr">
        <is>
          <t>BELLTECH</t>
        </is>
      </c>
      <c r="E753" s="3" t="n">
        <v>46108</v>
      </c>
      <c r="F753" s="3" t="n">
        <v>46107</v>
      </c>
      <c r="G753" t="inlineStr">
        <is>
          <t>10:12:00</t>
        </is>
      </c>
      <c r="H753" t="n">
        <v>321846550</v>
      </c>
      <c r="I753" t="n">
        <v>336286550</v>
      </c>
      <c r="J753" t="n">
        <v>16240000</v>
      </c>
      <c r="K753" t="n">
        <v>3100000</v>
      </c>
      <c r="M753">
        <f>I753-(H753+J753-K753)- L753</f>
        <v/>
      </c>
      <c r="N753">
        <f>IF(M753=0,"Cuadrado",IF(M753&gt;0,"Faltante","Sobrante"))</f>
        <v/>
      </c>
      <c r="O753" t="inlineStr">
        <is>
          <t>El faltante $1.300.000 es cruzado con sobrante contabilizado el día 20/03/2026 ($1.300.000) el cual es reversado por la seccion el día 27/03/2026</t>
        </is>
      </c>
      <c r="P753" t="n">
        <v>33368879</v>
      </c>
    </row>
    <row r="754">
      <c r="A754" t="n">
        <v>946</v>
      </c>
      <c r="B754" t="n">
        <v>5225</v>
      </c>
      <c r="C754" t="inlineStr">
        <is>
          <t>BELLTECH</t>
        </is>
      </c>
      <c r="D754" t="inlineStr">
        <is>
          <t>BELLTECH</t>
        </is>
      </c>
      <c r="E754" s="3" t="n">
        <v>46108</v>
      </c>
      <c r="F754" s="3" t="n">
        <v>46107</v>
      </c>
      <c r="G754" t="inlineStr">
        <is>
          <t>15:10:00</t>
        </is>
      </c>
      <c r="H754" t="n">
        <v>282555550</v>
      </c>
      <c r="I754" t="n">
        <v>301850550</v>
      </c>
      <c r="J754" t="n">
        <v>40640000</v>
      </c>
      <c r="K754" t="n">
        <v>21645000</v>
      </c>
      <c r="M754">
        <f>I754-(H754+J754-K754)- L754</f>
        <v/>
      </c>
      <c r="N754">
        <f>IF(M754=0,"Cuadrado",IF(M754&gt;0,"Faltante","Sobrante"))</f>
        <v/>
      </c>
      <c r="O754" t="inlineStr">
        <is>
          <t>El faltante $300.000 es cruzado con sobrante contabilizado el día 18/03/2026 ($300.000) el cual es reversado por la seccion el día 27/03/2026</t>
        </is>
      </c>
      <c r="P754" t="n">
        <v>20500181</v>
      </c>
    </row>
    <row r="755">
      <c r="A755" t="n">
        <v>625</v>
      </c>
      <c r="B755" t="n">
        <v>6096</v>
      </c>
      <c r="C755" t="inlineStr">
        <is>
          <t>BELLTECH</t>
        </is>
      </c>
      <c r="D755" t="inlineStr">
        <is>
          <t>BELLTECH</t>
        </is>
      </c>
      <c r="E755" s="3" t="n">
        <v>46108</v>
      </c>
      <c r="F755" s="3" t="n">
        <v>46107</v>
      </c>
      <c r="G755" t="inlineStr">
        <is>
          <t>15:00:00</t>
        </is>
      </c>
      <c r="H755" t="n">
        <v>65996800</v>
      </c>
      <c r="I755" t="n">
        <v>70996200</v>
      </c>
      <c r="J755" t="n">
        <v>38910000</v>
      </c>
      <c r="K755" t="n">
        <v>31955000</v>
      </c>
      <c r="M755">
        <f>I755-(H755+J755-K755)- L755</f>
        <v/>
      </c>
      <c r="N755">
        <f>IF(M755=0,"Cuadrado",IF(M755&gt;0,"Faltante","Sobrante"))</f>
        <v/>
      </c>
      <c r="O755" t="inlineStr">
        <is>
          <t>La diferencia es contabilizada por la Gerencia De Autoservicios y Efectivo de manera centralizada a la cuenta de sobrantes 279510020 el 27/03/2026</t>
        </is>
      </c>
      <c r="P755" t="n">
        <v>1040733598</v>
      </c>
    </row>
    <row r="756">
      <c r="A756" t="n">
        <v>571</v>
      </c>
      <c r="B756" t="n">
        <v>6150</v>
      </c>
      <c r="C756" t="inlineStr">
        <is>
          <t>BELLTECH</t>
        </is>
      </c>
      <c r="D756" t="inlineStr">
        <is>
          <t>BELLTECH</t>
        </is>
      </c>
      <c r="E756" s="3" t="n">
        <v>46108</v>
      </c>
      <c r="F756" s="3" t="n">
        <v>46107</v>
      </c>
      <c r="G756" t="inlineStr">
        <is>
          <t>10:02:00</t>
        </is>
      </c>
      <c r="H756" t="n">
        <v>224011400</v>
      </c>
      <c r="I756" t="n">
        <v>228358400</v>
      </c>
      <c r="J756" t="n">
        <v>13620000</v>
      </c>
      <c r="K756" t="n">
        <v>9953000</v>
      </c>
      <c r="M756">
        <f>I756-(H756+J756-K756)- L756</f>
        <v/>
      </c>
      <c r="N756">
        <f>IF(M756=0,"Cuadrado",IF(M756&gt;0,"Faltante","Sobrante"))</f>
        <v/>
      </c>
      <c r="O756" t="inlineStr">
        <is>
          <t>El faltante $680.000 es cruzado con sobrante contabilizado el día 12/03/2026 ($416.000), el día 16/03/2026 ($9.050), el día 18/03/2026 ($254.950) el cual es reversado por la seccion el día 27/03/2026</t>
        </is>
      </c>
      <c r="P756" t="n">
        <v>53159749</v>
      </c>
    </row>
    <row r="757">
      <c r="A757" t="n">
        <v>74</v>
      </c>
      <c r="B757" t="n">
        <v>6215</v>
      </c>
      <c r="C757" t="inlineStr">
        <is>
          <t>DIEBOLD</t>
        </is>
      </c>
      <c r="D757" t="inlineStr">
        <is>
          <t>DIEBOLD</t>
        </is>
      </c>
      <c r="E757" s="3" t="n">
        <v>46108</v>
      </c>
      <c r="F757" s="3" t="n">
        <v>46106</v>
      </c>
      <c r="G757" t="inlineStr">
        <is>
          <t>09:29:00</t>
        </is>
      </c>
      <c r="H757" t="n">
        <v>152773600</v>
      </c>
      <c r="I757" t="n">
        <v>309693600</v>
      </c>
      <c r="J757" t="n">
        <v>11390000</v>
      </c>
      <c r="K757" t="n">
        <v>29170000</v>
      </c>
      <c r="M757">
        <f>I757-(H757+J757-K757)- L757</f>
        <v/>
      </c>
      <c r="N757">
        <f>IF(M757=0,"Cuadrado",IF(M757&gt;0,"Faltante","Sobrante"))</f>
        <v/>
      </c>
      <c r="O757" t="inlineStr">
        <is>
          <t>La diferencia es contabilizada por la Gerencia De Autoservicios y Efectivo de manera centralizada a la cuenta de sobrantes 279510020 el 27/03/2026</t>
        </is>
      </c>
      <c r="P757" t="n">
        <v>59314706</v>
      </c>
    </row>
    <row r="758">
      <c r="A758" t="n">
        <v>236</v>
      </c>
      <c r="B758" t="n">
        <v>6242</v>
      </c>
      <c r="C758" t="inlineStr">
        <is>
          <t>BELLTECH</t>
        </is>
      </c>
      <c r="D758" t="inlineStr">
        <is>
          <t>BELLTECH</t>
        </is>
      </c>
      <c r="E758" s="3" t="n">
        <v>46108</v>
      </c>
      <c r="F758" s="3" t="n">
        <v>46106</v>
      </c>
      <c r="G758" t="inlineStr">
        <is>
          <t>15:26:00</t>
        </is>
      </c>
      <c r="H758" t="n">
        <v>160067350</v>
      </c>
      <c r="I758" t="n">
        <v>140994850</v>
      </c>
      <c r="J758" t="n">
        <v>83560000</v>
      </c>
      <c r="K758" t="n">
        <v>102621700</v>
      </c>
      <c r="M758">
        <f>I758-(H758+J758-K758)- L758</f>
        <v/>
      </c>
      <c r="N758">
        <f>IF(M758=0,"Cuadrado",IF(M758&gt;0,"Faltante","Sobrante"))</f>
        <v/>
      </c>
      <c r="O758" t="inlineStr">
        <is>
          <t>El faltante $29.200 es cruzado con sobrante contabilizado el día 25/03/2026 ($29.200) el cual es reversado por la seccion el día 27/03/2026</t>
        </is>
      </c>
      <c r="P758" t="n">
        <v>71369714</v>
      </c>
    </row>
    <row r="759">
      <c r="A759" t="n">
        <v>79</v>
      </c>
      <c r="B759" t="n">
        <v>6245</v>
      </c>
      <c r="C759" t="inlineStr">
        <is>
          <t>BELLTECH</t>
        </is>
      </c>
      <c r="D759" t="inlineStr">
        <is>
          <t>BELLTECH</t>
        </is>
      </c>
      <c r="E759" s="3" t="n">
        <v>46108</v>
      </c>
      <c r="F759" s="3" t="n">
        <v>46107</v>
      </c>
      <c r="G759" t="inlineStr">
        <is>
          <t>08:20:00</t>
        </is>
      </c>
      <c r="H759" t="n">
        <v>3145300</v>
      </c>
      <c r="I759" t="n">
        <v>273447300</v>
      </c>
      <c r="J759" t="n">
        <v>800000</v>
      </c>
      <c r="K759" t="n">
        <v>12745000</v>
      </c>
      <c r="M759">
        <f>I759-(H759+J759-K759)- L759</f>
        <v/>
      </c>
      <c r="N759">
        <f>IF(M759=0,"Cuadrado",IF(M759&gt;0,"Faltante","Sobrante"))</f>
        <v/>
      </c>
      <c r="O759" t="inlineStr">
        <is>
          <t>La diferencia es contabilizada por la Gerencia De Autoservicios y Efectivo de manera centralizada a la cuenta de sobrantes 279510020 el 27/03/2026</t>
        </is>
      </c>
      <c r="P759" t="n">
        <v>79772242</v>
      </c>
    </row>
    <row r="760">
      <c r="A760" t="n">
        <v>718</v>
      </c>
      <c r="B760" t="n">
        <v>6248</v>
      </c>
      <c r="C760" t="inlineStr">
        <is>
          <t>BELLTECH</t>
        </is>
      </c>
      <c r="D760" t="inlineStr">
        <is>
          <t>BELLTECH</t>
        </is>
      </c>
      <c r="E760" s="3" t="n">
        <v>46108</v>
      </c>
      <c r="F760" s="3" t="n">
        <v>46106</v>
      </c>
      <c r="G760" t="inlineStr">
        <is>
          <t>14:54:00</t>
        </is>
      </c>
      <c r="H760" t="n">
        <v>203681200</v>
      </c>
      <c r="I760" t="n">
        <v>191514200</v>
      </c>
      <c r="J760" t="n">
        <v>34080000</v>
      </c>
      <c r="K760" t="n">
        <v>91076000</v>
      </c>
      <c r="M760">
        <f>I760-(H760+J760-K760)- L760</f>
        <v/>
      </c>
      <c r="N760">
        <f>IF(M760=0,"Cuadrado",IF(M760&gt;0,"Faltante","Sobrante"))</f>
        <v/>
      </c>
      <c r="O760" t="inlineStr">
        <is>
          <t>Gestión manual - Revisar por el personal encargado</t>
        </is>
      </c>
      <c r="P760" t="n">
        <v>1110458168</v>
      </c>
    </row>
    <row r="761">
      <c r="A761" t="n">
        <v>371</v>
      </c>
      <c r="B761" t="n">
        <v>6718</v>
      </c>
      <c r="C761" t="inlineStr">
        <is>
          <t>BELLTECH</t>
        </is>
      </c>
      <c r="D761" t="inlineStr">
        <is>
          <t>BELLTECH</t>
        </is>
      </c>
      <c r="E761" s="3" t="n">
        <v>46108</v>
      </c>
      <c r="F761" s="3" t="n">
        <v>46106</v>
      </c>
      <c r="G761" t="inlineStr">
        <is>
          <t>15:16:00</t>
        </is>
      </c>
      <c r="H761" t="n">
        <v>348801450</v>
      </c>
      <c r="I761" t="n">
        <v>391039600</v>
      </c>
      <c r="J761" t="n">
        <v>3150000</v>
      </c>
      <c r="K761" t="n">
        <v>354717850</v>
      </c>
      <c r="M761">
        <f>I761-(H761+J761-K761)- L761</f>
        <v/>
      </c>
      <c r="N761">
        <f>IF(M761=0,"Cuadrado",IF(M761&gt;0,"Faltante","Sobrante"))</f>
        <v/>
      </c>
      <c r="O761" t="inlineStr">
        <is>
          <t>La diferencia es contabilizada por la Gerencia De Autoservicios y Efectivo de manera centralizada a la cuenta de sobrantes 279510020 el 27/03/2026</t>
        </is>
      </c>
      <c r="P761" t="n">
        <v>39279278</v>
      </c>
    </row>
    <row r="762">
      <c r="A762" t="n">
        <v>549</v>
      </c>
      <c r="B762" t="n">
        <v>7123</v>
      </c>
      <c r="C762" t="inlineStr">
        <is>
          <t>BELLTECH</t>
        </is>
      </c>
      <c r="D762" t="inlineStr">
        <is>
          <t>BELLTECH</t>
        </is>
      </c>
      <c r="E762" s="3" t="n">
        <v>46108</v>
      </c>
      <c r="F762" s="3" t="n">
        <v>46107</v>
      </c>
      <c r="G762" t="inlineStr">
        <is>
          <t>14:07:43</t>
        </is>
      </c>
      <c r="H762" t="n">
        <v>197716350</v>
      </c>
      <c r="I762" t="n">
        <v>218577300</v>
      </c>
      <c r="J762" t="n">
        <v>26020000</v>
      </c>
      <c r="K762" t="n">
        <v>9605000</v>
      </c>
      <c r="M762">
        <f>I762-(H762+J762-K762)- L762</f>
        <v/>
      </c>
      <c r="N762">
        <f>IF(M762=0,"Cuadrado",IF(M762&gt;0,"Faltante","Sobrante"))</f>
        <v/>
      </c>
      <c r="O762" t="inlineStr">
        <is>
          <t>La diferencia es contabilizada por la Gerencia De Autoservicios y Efectivo de manera centralizada a la cuenta de faltantes 168710093 el 27/03/2026, esta diferencia ingresa a proceso de investigación en el área para identificar a que corresponde.</t>
        </is>
      </c>
      <c r="P762" t="n">
        <v>39428454</v>
      </c>
    </row>
    <row r="763">
      <c r="A763" t="n">
        <v>385</v>
      </c>
      <c r="B763" t="n">
        <v>7139</v>
      </c>
      <c r="C763" t="inlineStr">
        <is>
          <t>BELLTECH</t>
        </is>
      </c>
      <c r="D763" t="inlineStr">
        <is>
          <t>BELLTECH</t>
        </is>
      </c>
      <c r="E763" s="3" t="n">
        <v>46108</v>
      </c>
      <c r="F763" s="3" t="n">
        <v>46106</v>
      </c>
      <c r="G763" t="inlineStr">
        <is>
          <t>17:41:00</t>
        </is>
      </c>
      <c r="H763" t="n">
        <v>289104700</v>
      </c>
      <c r="I763" t="n">
        <v>257914550</v>
      </c>
      <c r="J763" t="n">
        <v>41200000</v>
      </c>
      <c r="K763" t="n">
        <v>87075350</v>
      </c>
      <c r="M763">
        <f>I763-(H763+J763-K763)- L763</f>
        <v/>
      </c>
      <c r="N763">
        <f>IF(M763=0,"Cuadrado",IF(M763&gt;0,"Faltante","Sobrante"))</f>
        <v/>
      </c>
      <c r="O763" t="inlineStr">
        <is>
          <t>La diferencia es contabilizada por la Gerencia De Autoservicios y Efectivo de manera centralizada a la cuenta de faltantes 168710093 el 27/03/2026, esta diferencia ingresa a proceso de investigación en el área para identificar a que corresponde.</t>
        </is>
      </c>
      <c r="P763" t="n">
        <v>1077970238</v>
      </c>
    </row>
    <row r="764">
      <c r="A764" t="n">
        <v>172</v>
      </c>
      <c r="B764" t="n">
        <v>7429</v>
      </c>
      <c r="C764" t="inlineStr">
        <is>
          <t>BELLTECH</t>
        </is>
      </c>
      <c r="D764" t="inlineStr">
        <is>
          <t>BELLTECH</t>
        </is>
      </c>
      <c r="E764" s="3" t="n">
        <v>46108</v>
      </c>
      <c r="F764" s="3" t="n">
        <v>46106</v>
      </c>
      <c r="G764" t="inlineStr">
        <is>
          <t>15:39:00</t>
        </is>
      </c>
      <c r="H764" t="n">
        <v>252977300</v>
      </c>
      <c r="I764" t="n">
        <v>230282200</v>
      </c>
      <c r="J764" t="n">
        <v>19840000</v>
      </c>
      <c r="K764" t="n">
        <v>42535050</v>
      </c>
      <c r="M764">
        <f>I764-(H764+J764-K764)- L764</f>
        <v/>
      </c>
      <c r="N764">
        <f>IF(M764=0,"Cuadrado",IF(M764&gt;0,"Faltante","Sobrante"))</f>
        <v/>
      </c>
      <c r="O764" t="inlineStr">
        <is>
          <t>La diferencia es contabilizada por la Gerencia De Autoservicios y Efectivo de manera centralizada a la cuenta de sobrantes 279510020 el 27/03/2026</t>
        </is>
      </c>
      <c r="P764" t="n">
        <v>52156260</v>
      </c>
    </row>
    <row r="765">
      <c r="A765" t="n">
        <v>7</v>
      </c>
      <c r="B765" t="n">
        <v>7812</v>
      </c>
      <c r="C765" t="inlineStr">
        <is>
          <t>DIEBOLD</t>
        </is>
      </c>
      <c r="D765" t="inlineStr">
        <is>
          <t>DIEBOLD</t>
        </is>
      </c>
      <c r="E765" s="3" t="n">
        <v>46108</v>
      </c>
      <c r="F765" s="3" t="n">
        <v>46107</v>
      </c>
      <c r="G765" t="inlineStr">
        <is>
          <t>10:05:00</t>
        </is>
      </c>
      <c r="H765" t="n">
        <v>93136700</v>
      </c>
      <c r="I765" t="n">
        <v>91296700</v>
      </c>
      <c r="J765" t="n">
        <v>0</v>
      </c>
      <c r="K765" t="n">
        <v>1250000</v>
      </c>
      <c r="M765">
        <f>I765-(H765+J765-K765)- L765</f>
        <v/>
      </c>
      <c r="N765">
        <f>IF(M765=0,"Cuadrado",IF(M765&gt;0,"Faltante","Sobrante"))</f>
        <v/>
      </c>
      <c r="O765" t="inlineStr">
        <is>
          <t>La diferencia es contabilizada por la Gerencia De Autoservicios y Efectivo de manera centralizada a la cuenta de sobrantes 279510020 el 27/03/2026</t>
        </is>
      </c>
      <c r="P765" t="n">
        <v>1020460907</v>
      </c>
    </row>
    <row r="766">
      <c r="A766" t="n">
        <v>166</v>
      </c>
      <c r="B766" t="n">
        <v>7939</v>
      </c>
      <c r="C766" t="inlineStr">
        <is>
          <t>BELLTECH</t>
        </is>
      </c>
      <c r="D766" t="inlineStr">
        <is>
          <t>BELLTECH</t>
        </is>
      </c>
      <c r="E766" s="3" t="n">
        <v>46108</v>
      </c>
      <c r="F766" s="3" t="n">
        <v>46107</v>
      </c>
      <c r="G766" t="inlineStr">
        <is>
          <t>09:00:00</t>
        </is>
      </c>
      <c r="H766" t="n">
        <v>332427550</v>
      </c>
      <c r="I766" t="n">
        <v>316482550</v>
      </c>
      <c r="J766" t="n">
        <v>370000</v>
      </c>
      <c r="K766" t="n">
        <v>18655000</v>
      </c>
      <c r="M766">
        <f>I766-(H766+J766-K766)- L766</f>
        <v/>
      </c>
      <c r="N766">
        <f>IF(M766=0,"Cuadrado",IF(M766&gt;0,"Faltante","Sobrante"))</f>
        <v/>
      </c>
      <c r="O766" t="inlineStr">
        <is>
          <t>El faltante $2.340.000 es cruzado con sobrante contabilizado el día 11/03/2026 ($2.340.000) el cual es reversado por la seccion el día 27/03/2026</t>
        </is>
      </c>
      <c r="P766" t="n">
        <v>50938822</v>
      </c>
    </row>
    <row r="767">
      <c r="A767" t="n">
        <v>166</v>
      </c>
      <c r="B767" t="n">
        <v>7940</v>
      </c>
      <c r="C767" t="inlineStr">
        <is>
          <t>BELLTECH</t>
        </is>
      </c>
      <c r="D767" t="inlineStr">
        <is>
          <t>BELLTECH</t>
        </is>
      </c>
      <c r="E767" s="3" t="n">
        <v>46108</v>
      </c>
      <c r="F767" s="3" t="n">
        <v>46107</v>
      </c>
      <c r="G767" t="inlineStr">
        <is>
          <t>10:17:00</t>
        </is>
      </c>
      <c r="H767" t="n">
        <v>368271400</v>
      </c>
      <c r="I767" t="n">
        <v>307546300</v>
      </c>
      <c r="J767" t="n">
        <v>11300000</v>
      </c>
      <c r="K767" t="n">
        <v>66104700</v>
      </c>
      <c r="M767">
        <f>I767-(H767+J767-K767)- L767</f>
        <v/>
      </c>
      <c r="N767">
        <f>IF(M767=0,"Cuadrado",IF(M767&gt;0,"Faltante","Sobrante"))</f>
        <v/>
      </c>
      <c r="O767" t="inlineStr">
        <is>
          <t>La diferencia es contabilizada por la Gerencia De Autoservicios y Efectivo de manera centralizada a la cuenta de sobrantes 279510020 el 27/03/2026</t>
        </is>
      </c>
      <c r="P767" t="n">
        <v>50938822</v>
      </c>
    </row>
    <row r="768">
      <c r="A768" t="n">
        <v>453</v>
      </c>
      <c r="B768" t="n">
        <v>8018</v>
      </c>
      <c r="C768" t="inlineStr">
        <is>
          <t>BELLTECH</t>
        </is>
      </c>
      <c r="D768" t="inlineStr">
        <is>
          <t>BELLTECH</t>
        </is>
      </c>
      <c r="E768" s="3" t="n">
        <v>46108</v>
      </c>
      <c r="F768" s="3" t="n">
        <v>46106</v>
      </c>
      <c r="G768" t="inlineStr">
        <is>
          <t>15:44:00</t>
        </is>
      </c>
      <c r="H768" t="n">
        <v>339204100</v>
      </c>
      <c r="I768" t="n">
        <v>252186550</v>
      </c>
      <c r="J768" t="n">
        <v>17400000</v>
      </c>
      <c r="K768" t="n">
        <v>355526400</v>
      </c>
      <c r="M768">
        <f>I768-(H768+J768-K768)- L768</f>
        <v/>
      </c>
      <c r="N768">
        <f>IF(M768=0,"Cuadrado",IF(M768&gt;0,"Faltante","Sobrante"))</f>
        <v/>
      </c>
      <c r="O768" t="inlineStr">
        <is>
          <t>ACLARAR DIFERENCIA Y REPETIR EL ARQUEO</t>
        </is>
      </c>
      <c r="P768" t="n">
        <v>1083897578</v>
      </c>
    </row>
    <row r="769">
      <c r="A769" t="n">
        <v>291</v>
      </c>
      <c r="B769" t="n">
        <v>8139</v>
      </c>
      <c r="C769" t="inlineStr">
        <is>
          <t>DIEBOLD</t>
        </is>
      </c>
      <c r="D769" t="inlineStr">
        <is>
          <t>DIEBOLD</t>
        </is>
      </c>
      <c r="E769" s="3" t="n">
        <v>46108</v>
      </c>
      <c r="F769" s="3" t="n">
        <v>46107</v>
      </c>
      <c r="G769" t="inlineStr">
        <is>
          <t>10:38:00</t>
        </is>
      </c>
      <c r="H769" t="n">
        <v>269778950</v>
      </c>
      <c r="I769" t="n">
        <v>207502950</v>
      </c>
      <c r="J769" t="n">
        <v>11400000</v>
      </c>
      <c r="K769" t="n">
        <v>74750000</v>
      </c>
      <c r="M769">
        <f>I769-(H769+J769-K769)- L769</f>
        <v/>
      </c>
      <c r="N769">
        <f>IF(M769=0,"Cuadrado",IF(M769&gt;0,"Faltante","Sobrante"))</f>
        <v/>
      </c>
      <c r="O769" t="inlineStr">
        <is>
          <t>El faltante $1.074.000 es cruzado con sobrante contabilizado el día 13/03/2026 ($1.074.000) el cual es reversado por la seccion el día 27/03/2026</t>
        </is>
      </c>
      <c r="P769" t="n">
        <v>1095930956</v>
      </c>
    </row>
    <row r="770">
      <c r="A770" t="n">
        <v>916</v>
      </c>
      <c r="B770" t="n">
        <v>8290</v>
      </c>
      <c r="D770" t="inlineStr">
        <is>
          <t>BELLTECH</t>
        </is>
      </c>
      <c r="E770" s="3" t="n">
        <v>46108</v>
      </c>
      <c r="F770" s="3" t="n">
        <v>46107</v>
      </c>
      <c r="G770" t="inlineStr">
        <is>
          <t>14:07:00</t>
        </is>
      </c>
      <c r="H770" t="n">
        <v>326655150</v>
      </c>
      <c r="I770" t="n">
        <v>276544800</v>
      </c>
      <c r="J770" t="n">
        <v>45710000</v>
      </c>
      <c r="K770" t="n">
        <v>96062950</v>
      </c>
      <c r="M770">
        <f>I770-(H770+J770-K770)- L770</f>
        <v/>
      </c>
      <c r="N770">
        <f>IF(M770=0,"Cuadrado",IF(M770&gt;0,"Faltante","Sobrante"))</f>
        <v/>
      </c>
      <c r="O770" t="inlineStr">
        <is>
          <t>ACLARAR DIFERENCIA Y REPETIR EL ARQUEO</t>
        </is>
      </c>
      <c r="P770" t="n">
        <v>1082887437</v>
      </c>
    </row>
    <row r="771">
      <c r="A771" t="n">
        <v>728</v>
      </c>
      <c r="B771" t="n">
        <v>8587</v>
      </c>
      <c r="C771" t="inlineStr">
        <is>
          <t>BELLTECH</t>
        </is>
      </c>
      <c r="D771" t="inlineStr">
        <is>
          <t>BELLTECH</t>
        </is>
      </c>
      <c r="E771" s="3" t="n">
        <v>46108</v>
      </c>
      <c r="F771" s="3" t="n">
        <v>46107</v>
      </c>
      <c r="G771" t="inlineStr">
        <is>
          <t>14:46:00</t>
        </is>
      </c>
      <c r="H771" t="n">
        <v>183108600</v>
      </c>
      <c r="I771" t="n">
        <v>219908650</v>
      </c>
      <c r="J771" t="n">
        <v>36800000</v>
      </c>
      <c r="K771" t="n">
        <v>0</v>
      </c>
      <c r="M771">
        <f>I771-(H771+J771-K771)- L771</f>
        <v/>
      </c>
      <c r="N771">
        <f>IF(M771=0,"Cuadrado",IF(M771&gt;0,"Faltante","Sobrante"))</f>
        <v/>
      </c>
      <c r="O771" t="inlineStr">
        <is>
          <t>La diferencia es contabilizada por la Gerencia De Autoservicios y Efectivo de manera centralizada a la cuenta de faltantes 168710093 el 27/03/2026, esta diferencia ingresa a proceso de investigación en el área para identificar a que corresponde.</t>
        </is>
      </c>
      <c r="P771" t="n">
        <v>1112783690</v>
      </c>
    </row>
    <row r="772">
      <c r="A772" t="n">
        <v>31</v>
      </c>
      <c r="B772" t="n">
        <v>8737</v>
      </c>
      <c r="C772" t="inlineStr">
        <is>
          <t>BELLTECH</t>
        </is>
      </c>
      <c r="D772" t="inlineStr">
        <is>
          <t>BELLTECH</t>
        </is>
      </c>
      <c r="E772" s="3" t="n">
        <v>46108</v>
      </c>
      <c r="F772" s="3" t="n">
        <v>46107</v>
      </c>
      <c r="G772" t="inlineStr">
        <is>
          <t>09:19:00</t>
        </is>
      </c>
      <c r="H772" t="n">
        <v>233266800</v>
      </c>
      <c r="I772" t="n">
        <v>223931850</v>
      </c>
      <c r="J772" t="n">
        <v>7170000</v>
      </c>
      <c r="K772" t="n">
        <v>15700000</v>
      </c>
      <c r="M772">
        <f>I772-(H772+J772-K772)- L772</f>
        <v/>
      </c>
      <c r="N772">
        <f>IF(M772=0,"Cuadrado",IF(M772&gt;0,"Faltante","Sobrante"))</f>
        <v/>
      </c>
      <c r="O772" t="inlineStr">
        <is>
          <t>La diferencia es contabilizada por la Gerencia De Autoservicios y Efectivo de manera centralizada a la cuenta de sobrantes 279510020 el 27/03/2026</t>
        </is>
      </c>
      <c r="P772" t="n">
        <v>80168704</v>
      </c>
    </row>
    <row r="773">
      <c r="A773" t="n">
        <v>509</v>
      </c>
      <c r="B773" t="n">
        <v>8835</v>
      </c>
      <c r="C773" t="inlineStr">
        <is>
          <t>BELLTECH</t>
        </is>
      </c>
      <c r="D773" t="inlineStr">
        <is>
          <t>BELLTECH</t>
        </is>
      </c>
      <c r="E773" s="3" t="n">
        <v>46108</v>
      </c>
      <c r="F773" s="3" t="n">
        <v>46106</v>
      </c>
      <c r="G773" t="inlineStr">
        <is>
          <t>09:29:00</t>
        </is>
      </c>
      <c r="H773" t="n">
        <v>131746550</v>
      </c>
      <c r="I773" t="n">
        <v>120739500</v>
      </c>
      <c r="J773" t="n">
        <v>3850000</v>
      </c>
      <c r="K773" t="n">
        <v>21612000</v>
      </c>
      <c r="M773">
        <f>I773-(H773+J773-K773)- L773</f>
        <v/>
      </c>
      <c r="N773">
        <f>IF(M773=0,"Cuadrado",IF(M773&gt;0,"Faltante","Sobrante"))</f>
        <v/>
      </c>
      <c r="O773" t="inlineStr">
        <is>
          <t>ACLARAR DIFERENCIA Y REPETIR EL ARQUEO</t>
        </is>
      </c>
      <c r="P773" t="n">
        <v>1143370364</v>
      </c>
    </row>
    <row r="774">
      <c r="A774" t="n">
        <v>442</v>
      </c>
      <c r="B774" t="n">
        <v>8888</v>
      </c>
      <c r="C774" t="inlineStr">
        <is>
          <t>BELLTECH</t>
        </is>
      </c>
      <c r="D774" t="inlineStr">
        <is>
          <t>BELLTECH</t>
        </is>
      </c>
      <c r="E774" s="3" t="n">
        <v>46108</v>
      </c>
      <c r="F774" s="3" t="n">
        <v>46107</v>
      </c>
      <c r="G774" t="inlineStr">
        <is>
          <t>09:32:00</t>
        </is>
      </c>
      <c r="H774" t="n">
        <v>551313400</v>
      </c>
      <c r="I774" t="n">
        <v>536704850</v>
      </c>
      <c r="J774" t="n">
        <v>2700000</v>
      </c>
      <c r="K774" t="n">
        <v>17290000</v>
      </c>
      <c r="M774">
        <f>I774-(H774+J774-K774)- L774</f>
        <v/>
      </c>
      <c r="N774">
        <f>IF(M774=0,"Cuadrado",IF(M774&gt;0,"Faltante","Sobrante"))</f>
        <v/>
      </c>
      <c r="O774" t="inlineStr">
        <is>
          <t>La diferencia es contabilizada por la Gerencia De Autoservicios y Efectivo de manera centralizada a la cuenta de sobrantes 279510020 el 27/03/2026</t>
        </is>
      </c>
      <c r="P774" t="n">
        <v>1140853558</v>
      </c>
    </row>
    <row r="775">
      <c r="A775" t="n">
        <v>876</v>
      </c>
      <c r="B775" t="n">
        <v>9682</v>
      </c>
      <c r="C775" t="inlineStr">
        <is>
          <t>BELLTECH</t>
        </is>
      </c>
      <c r="D775" t="inlineStr">
        <is>
          <t>BELLTECH</t>
        </is>
      </c>
      <c r="E775" s="3" t="n">
        <v>46108</v>
      </c>
      <c r="F775" s="3" t="n">
        <v>46106</v>
      </c>
      <c r="G775" t="inlineStr">
        <is>
          <t>10:35:00</t>
        </is>
      </c>
      <c r="H775" t="n">
        <v>445456450</v>
      </c>
      <c r="I775" t="n">
        <v>544027650</v>
      </c>
      <c r="J775" t="n">
        <v>0</v>
      </c>
      <c r="K775" t="n">
        <v>0</v>
      </c>
      <c r="M775">
        <f>I775-(H775+J775-K775)- L775</f>
        <v/>
      </c>
      <c r="N775">
        <f>IF(M775=0,"Cuadrado",IF(M775&gt;0,"Faltante","Sobrante"))</f>
        <v/>
      </c>
      <c r="O775" t="inlineStr">
        <is>
          <t>La diferencia es contabilizada por la Gerencia De Autoservicios y Efectivo de manera centralizada a la cuenta de sobrantes 279510020 el 27/03/2026</t>
        </is>
      </c>
      <c r="P775" t="n">
        <v>1002032451</v>
      </c>
    </row>
    <row r="776">
      <c r="A776" t="n">
        <v>849</v>
      </c>
      <c r="B776" t="n">
        <v>9724</v>
      </c>
      <c r="C776" t="inlineStr">
        <is>
          <t>BELLTECH</t>
        </is>
      </c>
      <c r="D776" t="inlineStr">
        <is>
          <t>BELLTECH</t>
        </is>
      </c>
      <c r="E776" s="3" t="n">
        <v>46108</v>
      </c>
      <c r="F776" s="3" t="n">
        <v>46107</v>
      </c>
      <c r="G776" t="inlineStr">
        <is>
          <t>14:59:00</t>
        </is>
      </c>
      <c r="H776" t="n">
        <v>102664400</v>
      </c>
      <c r="I776" t="n">
        <v>210519600</v>
      </c>
      <c r="J776" t="n">
        <v>38600000</v>
      </c>
      <c r="K776" t="n">
        <v>114250000</v>
      </c>
      <c r="M776">
        <f>I776-(H776+J776-K776)- L776</f>
        <v/>
      </c>
      <c r="N776">
        <f>IF(M776=0,"Cuadrado",IF(M776&gt;0,"Faltante","Sobrante"))</f>
        <v/>
      </c>
      <c r="O776" t="inlineStr">
        <is>
          <t>La diferencia es contabilizada por la Gerencia De Autoservicios y Efectivo de manera centralizada a la cuenta de sobrantes 279510020 el 27/03/2026</t>
        </is>
      </c>
      <c r="P776" t="n">
        <v>86063461</v>
      </c>
    </row>
    <row r="777">
      <c r="A777" t="n">
        <v>849</v>
      </c>
      <c r="B777" t="n">
        <v>9725</v>
      </c>
      <c r="C777" t="inlineStr">
        <is>
          <t>BELLTECH</t>
        </is>
      </c>
      <c r="D777" t="inlineStr">
        <is>
          <t>BELLTECH</t>
        </is>
      </c>
      <c r="E777" s="3" t="n">
        <v>46108</v>
      </c>
      <c r="F777" s="3" t="n">
        <v>46107</v>
      </c>
      <c r="G777" t="inlineStr">
        <is>
          <t>14:41:00</t>
        </is>
      </c>
      <c r="H777" t="n">
        <v>101542350</v>
      </c>
      <c r="I777" t="n">
        <v>284576450</v>
      </c>
      <c r="J777" t="n">
        <v>24850000</v>
      </c>
      <c r="K777" t="n">
        <v>96560900</v>
      </c>
      <c r="M777">
        <f>I777-(H777+J777-K777)- L777</f>
        <v/>
      </c>
      <c r="N777">
        <f>IF(M777=0,"Cuadrado",IF(M777&gt;0,"Faltante","Sobrante"))</f>
        <v/>
      </c>
      <c r="O777" t="inlineStr">
        <is>
          <t>La diferencia es contabilizada por la Gerencia De Autoservicios y Efectivo de manera centralizada a la cuenta de sobrantes 279510020 el 27/03/2026</t>
        </is>
      </c>
      <c r="P777" t="n">
        <v>86063461</v>
      </c>
    </row>
    <row r="778">
      <c r="A778" t="n">
        <v>486</v>
      </c>
      <c r="B778" t="n">
        <v>5081</v>
      </c>
      <c r="C778" t="inlineStr">
        <is>
          <t>BELLTECH</t>
        </is>
      </c>
      <c r="D778" t="inlineStr">
        <is>
          <t>BELLTECH</t>
        </is>
      </c>
      <c r="E778" s="3" t="n">
        <v>46108</v>
      </c>
      <c r="F778" s="3" t="n">
        <v>46107</v>
      </c>
      <c r="G778" t="inlineStr">
        <is>
          <t>08:54:00</t>
        </is>
      </c>
      <c r="H778" t="n">
        <v>28550100</v>
      </c>
      <c r="I778" t="n">
        <v>30770100</v>
      </c>
      <c r="J778" t="n">
        <v>2220000</v>
      </c>
      <c r="K778" t="n">
        <v>0</v>
      </c>
      <c r="M778">
        <f>I778-(H778+J778-K778)- L778</f>
        <v/>
      </c>
      <c r="N778">
        <f>IF(M778=0,"Cuadrado",IF(M778&gt;0,"Faltante","Sobrante"))</f>
        <v/>
      </c>
      <c r="O778" t="inlineStr">
        <is>
          <t>Cajero cuadrado, sin observación por parte de la sucursal</t>
        </is>
      </c>
      <c r="P778" t="n">
        <v>72303636</v>
      </c>
    </row>
    <row r="779">
      <c r="A779" t="n">
        <v>53</v>
      </c>
      <c r="B779" t="n">
        <v>5141</v>
      </c>
      <c r="C779" t="inlineStr">
        <is>
          <t>BELLTECH</t>
        </is>
      </c>
      <c r="D779" t="inlineStr">
        <is>
          <t>BELLTECH</t>
        </is>
      </c>
      <c r="E779" s="3" t="n">
        <v>46108</v>
      </c>
      <c r="F779" s="3" t="n">
        <v>46107</v>
      </c>
      <c r="G779" t="inlineStr">
        <is>
          <t>09:38:00</t>
        </is>
      </c>
      <c r="H779" t="n">
        <v>220859000</v>
      </c>
      <c r="I779" t="n">
        <v>220859000</v>
      </c>
      <c r="J779" t="n">
        <v>0</v>
      </c>
      <c r="K779" t="n">
        <v>0</v>
      </c>
      <c r="M779">
        <f>I779-(H779+J779-K779)- L779</f>
        <v/>
      </c>
      <c r="N779">
        <f>IF(M779=0,"Cuadrado",IF(M779&gt;0,"Faltante","Sobrante"))</f>
        <v/>
      </c>
      <c r="O779" t="inlineStr">
        <is>
          <t>Cajero cuadrado, sin observación por parte de la sucursal</t>
        </is>
      </c>
      <c r="P779" t="n">
        <v>52778719</v>
      </c>
    </row>
    <row r="780">
      <c r="A780" t="n">
        <v>302</v>
      </c>
      <c r="B780" t="n">
        <v>5170</v>
      </c>
      <c r="C780" t="inlineStr">
        <is>
          <t>BELLTECH</t>
        </is>
      </c>
      <c r="D780" t="inlineStr">
        <is>
          <t>BELLTECH</t>
        </is>
      </c>
      <c r="E780" s="3" t="n">
        <v>46108</v>
      </c>
      <c r="F780" s="3" t="n">
        <v>46107</v>
      </c>
      <c r="G780" t="inlineStr">
        <is>
          <t>08:06:00</t>
        </is>
      </c>
      <c r="H780" t="n">
        <v>100584600</v>
      </c>
      <c r="I780" t="n">
        <v>101629600</v>
      </c>
      <c r="J780" t="n">
        <v>6490000</v>
      </c>
      <c r="K780" t="n">
        <v>5445000</v>
      </c>
      <c r="M780">
        <f>I780-(H780+J780-K780)- L780</f>
        <v/>
      </c>
      <c r="N780">
        <f>IF(M780=0,"Cuadrado",IF(M780&gt;0,"Faltante","Sobrante"))</f>
        <v/>
      </c>
      <c r="O780" t="inlineStr">
        <is>
          <t>Cajero cuadrado, sin observación por parte de la sucursal</t>
        </is>
      </c>
      <c r="P780" t="n">
        <v>1102374502</v>
      </c>
    </row>
    <row r="781">
      <c r="A781" t="n">
        <v>762</v>
      </c>
      <c r="B781" t="n">
        <v>5181</v>
      </c>
      <c r="C781" t="inlineStr">
        <is>
          <t>BELLTECH</t>
        </is>
      </c>
      <c r="D781" t="inlineStr">
        <is>
          <t>BELLTECH</t>
        </is>
      </c>
      <c r="E781" s="3" t="n">
        <v>46108</v>
      </c>
      <c r="F781" s="3" t="n">
        <v>46107</v>
      </c>
      <c r="G781" t="inlineStr">
        <is>
          <t>09:25:20</t>
        </is>
      </c>
      <c r="H781" t="n">
        <v>167726550</v>
      </c>
      <c r="I781" t="n">
        <v>168356550</v>
      </c>
      <c r="J781" t="n">
        <v>630000</v>
      </c>
      <c r="K781" t="n">
        <v>0</v>
      </c>
      <c r="M781">
        <f>I781-(H781+J781-K781)- L781</f>
        <v/>
      </c>
      <c r="N781">
        <f>IF(M781=0,"Cuadrado",IF(M781&gt;0,"Faltante","Sobrante"))</f>
        <v/>
      </c>
      <c r="O781" t="inlineStr">
        <is>
          <t>Cajero cuadrado, sin observación por parte de la sucursal</t>
        </is>
      </c>
      <c r="P781" t="n">
        <v>94364510</v>
      </c>
    </row>
    <row r="782">
      <c r="A782" t="n">
        <v>231</v>
      </c>
      <c r="B782" t="n">
        <v>6243</v>
      </c>
      <c r="C782" t="inlineStr">
        <is>
          <t>BELLTECH</t>
        </is>
      </c>
      <c r="D782" t="inlineStr">
        <is>
          <t>BELLTECH</t>
        </is>
      </c>
      <c r="E782" s="3" t="n">
        <v>46108</v>
      </c>
      <c r="F782" s="3" t="n">
        <v>46107</v>
      </c>
      <c r="G782" t="inlineStr">
        <is>
          <t>08:18:00</t>
        </is>
      </c>
      <c r="H782" t="n">
        <v>135383900</v>
      </c>
      <c r="I782" t="n">
        <v>135383900</v>
      </c>
      <c r="J782" t="n">
        <v>0</v>
      </c>
      <c r="K782" t="n">
        <v>0</v>
      </c>
      <c r="M782">
        <f>I782-(H782+J782-K782)- L782</f>
        <v/>
      </c>
      <c r="N782">
        <f>IF(M782=0,"Cuadrado",IF(M782&gt;0,"Faltante","Sobrante"))</f>
        <v/>
      </c>
      <c r="O782" t="inlineStr">
        <is>
          <t>Cajero cuadrado, sin observación por parte de la sucursal</t>
        </is>
      </c>
      <c r="P782" t="n">
        <v>52979634</v>
      </c>
    </row>
    <row r="783">
      <c r="A783" t="n">
        <v>389</v>
      </c>
      <c r="B783" t="n">
        <v>7327</v>
      </c>
      <c r="C783" t="inlineStr">
        <is>
          <t>BELLTECH</t>
        </is>
      </c>
      <c r="D783" t="inlineStr">
        <is>
          <t>BELLTECH</t>
        </is>
      </c>
      <c r="E783" s="3" t="n">
        <v>46108</v>
      </c>
      <c r="F783" s="3" t="n">
        <v>46107</v>
      </c>
      <c r="G783" t="inlineStr">
        <is>
          <t>08:05:00</t>
        </is>
      </c>
      <c r="H783" t="n">
        <v>229022650</v>
      </c>
      <c r="I783" t="n">
        <v>229022650</v>
      </c>
      <c r="J783" t="n">
        <v>0</v>
      </c>
      <c r="K783" t="n">
        <v>0</v>
      </c>
      <c r="M783">
        <f>I783-(H783+J783-K783)- L783</f>
        <v/>
      </c>
      <c r="N783">
        <f>IF(M783=0,"Cuadrado",IF(M783&gt;0,"Faltante","Sobrante"))</f>
        <v/>
      </c>
      <c r="O783" t="inlineStr">
        <is>
          <t>Cajero cuadrado, sin observación por parte de la sucursal</t>
        </is>
      </c>
      <c r="P783" t="n">
        <v>14319846</v>
      </c>
    </row>
    <row r="784">
      <c r="A784" t="n">
        <v>728</v>
      </c>
      <c r="B784" t="n">
        <v>8586</v>
      </c>
      <c r="C784" t="inlineStr">
        <is>
          <t>BELLTECH</t>
        </is>
      </c>
      <c r="D784" t="inlineStr">
        <is>
          <t>BELLTECH</t>
        </is>
      </c>
      <c r="E784" s="3" t="n">
        <v>46108</v>
      </c>
      <c r="F784" s="3" t="n">
        <v>46107</v>
      </c>
      <c r="G784" t="inlineStr">
        <is>
          <t>14:22:00</t>
        </is>
      </c>
      <c r="H784" t="n">
        <v>346069350</v>
      </c>
      <c r="I784" t="n">
        <v>247929350</v>
      </c>
      <c r="J784" t="n">
        <v>15650000</v>
      </c>
      <c r="K784" t="n">
        <v>113790000</v>
      </c>
      <c r="M784">
        <f>I784-(H784+J784-K784)- L784</f>
        <v/>
      </c>
      <c r="N784">
        <f>IF(M784=0,"Cuadrado",IF(M784&gt;0,"Faltante","Sobrante"))</f>
        <v/>
      </c>
      <c r="O784" t="inlineStr">
        <is>
          <t>Cajero cuadrado, sin observación por parte de la sucursal</t>
        </is>
      </c>
      <c r="P784" t="n">
        <v>1112783690</v>
      </c>
    </row>
    <row r="785">
      <c r="A785" t="n">
        <v>331</v>
      </c>
      <c r="B785" t="n">
        <v>574</v>
      </c>
      <c r="C785" t="inlineStr">
        <is>
          <t>BELLTECH</t>
        </is>
      </c>
      <c r="D785" t="inlineStr">
        <is>
          <t>BELLTECH</t>
        </is>
      </c>
      <c r="E785" s="3" t="n">
        <v>46111</v>
      </c>
      <c r="F785" s="3" t="n">
        <v>46108</v>
      </c>
      <c r="G785" t="inlineStr">
        <is>
          <t>11:06:00</t>
        </is>
      </c>
      <c r="H785" t="n">
        <v>139532500</v>
      </c>
      <c r="I785" t="n">
        <v>125988500</v>
      </c>
      <c r="J785" t="n">
        <v>13720000</v>
      </c>
      <c r="K785" t="n">
        <v>30214000</v>
      </c>
      <c r="L785">
        <f>560000+2390000</f>
        <v/>
      </c>
      <c r="M785">
        <f>I785-(H785+J785-K785)- L785</f>
        <v/>
      </c>
      <c r="N785">
        <f>IF(M785=0,"Cuadrado",IF(M785&gt;0,"Faltante","Sobrante"))</f>
        <v/>
      </c>
      <c r="O785" t="inlineStr">
        <is>
          <t>El faltante $2.950.000 es cruzado con sobrante contabilizado el día 18/03/2026 ($560.000), el día 19/03/2026 ($2.390.000) el cual es reversado por la seccion el día 30/03/2026</t>
        </is>
      </c>
      <c r="P785" t="n">
        <v>32244978</v>
      </c>
    </row>
    <row r="786">
      <c r="A786" t="n">
        <v>331</v>
      </c>
      <c r="B786" t="n">
        <v>575</v>
      </c>
      <c r="C786" t="inlineStr">
        <is>
          <t>BELLTECH</t>
        </is>
      </c>
      <c r="D786" t="inlineStr">
        <is>
          <t>BELLTECH</t>
        </is>
      </c>
      <c r="E786" s="3" t="n">
        <v>46111</v>
      </c>
      <c r="F786" s="3" t="n">
        <v>46108</v>
      </c>
      <c r="G786" t="inlineStr">
        <is>
          <t>11:27:00</t>
        </is>
      </c>
      <c r="H786" t="n">
        <v>138130650</v>
      </c>
      <c r="I786" t="n">
        <v>115330000</v>
      </c>
      <c r="J786" t="n">
        <v>13510000</v>
      </c>
      <c r="K786" t="n">
        <v>15570000</v>
      </c>
      <c r="L786">
        <f>-20720650</f>
        <v/>
      </c>
      <c r="M786">
        <f>I786-(H786+J786-K786)- L786</f>
        <v/>
      </c>
      <c r="N786">
        <f>IF(M786=0,"Cuadrado",IF(M786&gt;0,"Faltante","Sobrante"))</f>
        <v/>
      </c>
      <c r="O786" t="inlineStr">
        <is>
          <t>La diferencia es contabilizada por la Gerencia De Autoservicios y Efectivo de manera centralizada a la cuenta de sobrantes 279510020 el 30/03/2026</t>
        </is>
      </c>
      <c r="P786" t="n">
        <v>32244978</v>
      </c>
    </row>
    <row r="787">
      <c r="A787" t="n">
        <v>438</v>
      </c>
      <c r="B787" t="n">
        <v>1565</v>
      </c>
      <c r="C787" t="inlineStr">
        <is>
          <t>BELLTECH</t>
        </is>
      </c>
      <c r="D787" t="inlineStr">
        <is>
          <t>BELLTECH</t>
        </is>
      </c>
      <c r="E787" s="3" t="n">
        <v>46111</v>
      </c>
      <c r="F787" s="3" t="n">
        <v>46108</v>
      </c>
      <c r="G787" t="inlineStr">
        <is>
          <t>14:09:06</t>
        </is>
      </c>
      <c r="H787" t="n">
        <v>224818000</v>
      </c>
      <c r="I787" t="n">
        <v>216366500</v>
      </c>
      <c r="J787" t="n">
        <v>52200000</v>
      </c>
      <c r="K787" t="n">
        <v>650000</v>
      </c>
      <c r="L787">
        <f>0</f>
        <v/>
      </c>
      <c r="M787">
        <f>I787-(H787+J787-K787)- L787</f>
        <v/>
      </c>
      <c r="N787">
        <f>IF(M787=0,"Cuadrado",IF(M787&gt;0,"Faltante","Sobrante"))</f>
        <v/>
      </c>
      <c r="O787" t="inlineStr">
        <is>
          <t>La diferencia es contabilizada por la Gerencia De Autoservicios y Efectivo de manera centralizada a la cuenta de sobrantes 279510020 el 30/03/2026</t>
        </is>
      </c>
      <c r="P787" t="n">
        <v>1027887603</v>
      </c>
    </row>
    <row r="788">
      <c r="A788" t="n">
        <v>777</v>
      </c>
      <c r="B788" t="n">
        <v>5009</v>
      </c>
      <c r="C788" t="inlineStr">
        <is>
          <t>BELLTECH</t>
        </is>
      </c>
      <c r="D788" t="inlineStr">
        <is>
          <t>BELLTECH</t>
        </is>
      </c>
      <c r="E788" s="3" t="n">
        <v>46111</v>
      </c>
      <c r="F788" s="3" t="n">
        <v>46108</v>
      </c>
      <c r="G788" t="inlineStr">
        <is>
          <t>14:41:00</t>
        </is>
      </c>
      <c r="H788" t="n">
        <v>269593250</v>
      </c>
      <c r="I788" t="n">
        <v>193908300</v>
      </c>
      <c r="J788" t="n">
        <v>34650000</v>
      </c>
      <c r="K788" t="n">
        <v>104029950</v>
      </c>
      <c r="L788">
        <f>0</f>
        <v/>
      </c>
      <c r="M788">
        <f>I788-(H788+J788-K788)- L788</f>
        <v/>
      </c>
      <c r="N788">
        <f>IF(M788=0,"Cuadrado",IF(M788&gt;0,"Faltante","Sobrante"))</f>
        <v/>
      </c>
      <c r="O788" t="inlineStr">
        <is>
          <t>La diferencia es contabilizada por la Gerencia De Autoservicios y Efectivo de manera centralizada a la cuenta de sobrantes 279510020 el 30/03/2026</t>
        </is>
      </c>
      <c r="P788" t="n">
        <v>1192816639</v>
      </c>
    </row>
    <row r="789">
      <c r="A789" t="n">
        <v>167</v>
      </c>
      <c r="B789" t="n">
        <v>5030</v>
      </c>
      <c r="C789" t="inlineStr">
        <is>
          <t>BELLTECH</t>
        </is>
      </c>
      <c r="D789" t="inlineStr">
        <is>
          <t>BELLTECH</t>
        </is>
      </c>
      <c r="E789" s="3" t="n">
        <v>46111</v>
      </c>
      <c r="F789" s="3" t="n">
        <v>46108</v>
      </c>
      <c r="G789" t="inlineStr">
        <is>
          <t>11:06:00</t>
        </is>
      </c>
      <c r="H789" t="n">
        <v>377530400</v>
      </c>
      <c r="I789" t="n">
        <v>383750400</v>
      </c>
      <c r="J789" t="n">
        <v>6430000</v>
      </c>
      <c r="K789" t="n">
        <v>0</v>
      </c>
      <c r="L789">
        <f>0</f>
        <v/>
      </c>
      <c r="M789">
        <f>I789-(H789+J789-K789)- L789</f>
        <v/>
      </c>
      <c r="N789">
        <f>IF(M789=0,"Cuadrado",IF(M789&gt;0,"Faltante","Sobrante"))</f>
        <v/>
      </c>
      <c r="O789" t="inlineStr">
        <is>
          <t>La diferencia es contabilizada por la Gerencia De Autoservicios y Efectivo de manera centralizada a la cuenta de sobrantes 279510020 el 30/03/2026</t>
        </is>
      </c>
      <c r="P789" t="n">
        <v>1022373176</v>
      </c>
    </row>
    <row r="790">
      <c r="A790" t="n">
        <v>867</v>
      </c>
      <c r="B790" t="n">
        <v>5043</v>
      </c>
      <c r="C790" t="inlineStr">
        <is>
          <t>BELLTECH</t>
        </is>
      </c>
      <c r="D790" t="inlineStr">
        <is>
          <t>BELLTECH</t>
        </is>
      </c>
      <c r="E790" s="3" t="n">
        <v>46111</v>
      </c>
      <c r="F790" s="3" t="n">
        <v>46108</v>
      </c>
      <c r="G790" t="inlineStr">
        <is>
          <t>09:46:00</t>
        </is>
      </c>
      <c r="H790" t="n">
        <v>334544650</v>
      </c>
      <c r="I790" t="n">
        <v>332534650</v>
      </c>
      <c r="J790" t="n">
        <v>4990000</v>
      </c>
      <c r="K790" t="n">
        <v>8450000</v>
      </c>
      <c r="L790">
        <f>0</f>
        <v/>
      </c>
      <c r="M790">
        <f>I790-(H790+J790-K790)- L790</f>
        <v/>
      </c>
      <c r="N790">
        <f>IF(M790=0,"Cuadrado",IF(M790&gt;0,"Faltante","Sobrante"))</f>
        <v/>
      </c>
      <c r="O790" t="inlineStr">
        <is>
          <t>La diferencia es contabilizada por la Gerencia De Autoservicios y Efectivo de manera centralizada a la cuenta de faltantes 168710093 el 30/03/2026, esta diferencia ingresa a proceso de investigación en el área para identificar a que corresponde.</t>
        </is>
      </c>
      <c r="P790" t="n">
        <v>9726594</v>
      </c>
    </row>
    <row r="791">
      <c r="A791" t="n">
        <v>88</v>
      </c>
      <c r="B791" t="n">
        <v>5111</v>
      </c>
      <c r="C791" t="inlineStr">
        <is>
          <t>BELLTECH</t>
        </is>
      </c>
      <c r="D791" t="inlineStr">
        <is>
          <t>BELLTECH</t>
        </is>
      </c>
      <c r="E791" s="3" t="n">
        <v>46111</v>
      </c>
      <c r="F791" s="3" t="n">
        <v>46108</v>
      </c>
      <c r="G791" t="inlineStr">
        <is>
          <t>08:21:37</t>
        </is>
      </c>
      <c r="H791" t="n">
        <v>125000450</v>
      </c>
      <c r="I791" t="n">
        <v>124791450</v>
      </c>
      <c r="J791" t="n">
        <v>0</v>
      </c>
      <c r="K791" t="n">
        <v>0</v>
      </c>
      <c r="L791">
        <f>0</f>
        <v/>
      </c>
      <c r="M791">
        <f>I791-(H791+J791-K791)- L791</f>
        <v/>
      </c>
      <c r="N791">
        <f>IF(M791=0,"Cuadrado",IF(M791&gt;0,"Faltante","Sobrante"))</f>
        <v/>
      </c>
      <c r="O791" t="inlineStr">
        <is>
          <t>La diferencia es contabilizada por la Gerencia De Autoservicios y Efectivo de manera centralizada a la cuenta de sobrantes 279510020 el 30/03/2026</t>
        </is>
      </c>
      <c r="P791" t="n">
        <v>27697484</v>
      </c>
    </row>
    <row r="792">
      <c r="A792" t="n">
        <v>366</v>
      </c>
      <c r="B792" t="n">
        <v>5132</v>
      </c>
      <c r="C792" t="inlineStr">
        <is>
          <t>BELLTECH</t>
        </is>
      </c>
      <c r="D792" t="inlineStr">
        <is>
          <t>BELLTECH</t>
        </is>
      </c>
      <c r="E792" s="3" t="n">
        <v>46111</v>
      </c>
      <c r="F792" s="3" t="n">
        <v>46108</v>
      </c>
      <c r="G792" t="inlineStr">
        <is>
          <t>14:10:00</t>
        </is>
      </c>
      <c r="H792" t="n">
        <v>75845050</v>
      </c>
      <c r="I792" t="n">
        <v>141864100</v>
      </c>
      <c r="J792" t="n">
        <v>30850000</v>
      </c>
      <c r="K792" t="n">
        <v>43787000</v>
      </c>
      <c r="L792">
        <f>-20000000+99805000</f>
        <v/>
      </c>
      <c r="M792">
        <f>I792-(H792+J792-K792)- L792</f>
        <v/>
      </c>
      <c r="N792">
        <f>IF(M792=0,"Cuadrado",IF(M792&gt;0,"Faltante","Sobrante"))</f>
        <v/>
      </c>
      <c r="O792" t="inlineStr">
        <is>
          <t>La diferencia es contabilizada por la Gerencia De Autoservicios y Efectivo de manera centralizada a la cuenta de sobrantes 279510020 el 30/03/2026</t>
        </is>
      </c>
      <c r="P792" t="n">
        <v>1035426009</v>
      </c>
    </row>
    <row r="793">
      <c r="A793" t="n">
        <v>40</v>
      </c>
      <c r="B793" t="n">
        <v>5142</v>
      </c>
      <c r="C793" t="inlineStr">
        <is>
          <t>BELLTECH</t>
        </is>
      </c>
      <c r="D793" t="inlineStr">
        <is>
          <t>BELLTECH</t>
        </is>
      </c>
      <c r="E793" s="3" t="n">
        <v>46111</v>
      </c>
      <c r="F793" s="3" t="n">
        <v>46108</v>
      </c>
      <c r="G793" t="inlineStr">
        <is>
          <t>09:42:00</t>
        </is>
      </c>
      <c r="H793" t="n">
        <v>314241450</v>
      </c>
      <c r="I793" t="n">
        <v>285902450</v>
      </c>
      <c r="J793" t="n">
        <v>18850000</v>
      </c>
      <c r="K793" t="n">
        <v>4704000</v>
      </c>
      <c r="L793">
        <f>0</f>
        <v/>
      </c>
      <c r="M793">
        <f>I793-(H793+J793-K793)- L793</f>
        <v/>
      </c>
      <c r="N793">
        <f>IF(M793=0,"Cuadrado",IF(M793&gt;0,"Faltante","Sobrante"))</f>
        <v/>
      </c>
      <c r="O793" t="inlineStr">
        <is>
          <t>La diferencia es contabilizada por la Gerencia De Autoservicios y Efectivo de manera centralizada a la cuenta de sobrantes 279510020 el 30/03/2026</t>
        </is>
      </c>
      <c r="P793" t="n">
        <v>36312040</v>
      </c>
    </row>
    <row r="794">
      <c r="A794" t="n">
        <v>221</v>
      </c>
      <c r="B794" t="n">
        <v>5221</v>
      </c>
      <c r="C794" t="inlineStr">
        <is>
          <t>BELLTECH</t>
        </is>
      </c>
      <c r="D794" t="inlineStr">
        <is>
          <t>BELLTECH</t>
        </is>
      </c>
      <c r="E794" s="3" t="n">
        <v>46111</v>
      </c>
      <c r="F794" s="3" t="n">
        <v>46108</v>
      </c>
      <c r="G794" t="inlineStr">
        <is>
          <t>09:20:00</t>
        </is>
      </c>
      <c r="H794" t="n">
        <v>276044500</v>
      </c>
      <c r="I794" t="n">
        <v>287794500</v>
      </c>
      <c r="J794" t="n">
        <v>5550000</v>
      </c>
      <c r="K794" t="n">
        <v>0</v>
      </c>
      <c r="L794">
        <f>6200000</f>
        <v/>
      </c>
      <c r="M794">
        <f>I794-(H794+J794-K794)- L794</f>
        <v/>
      </c>
      <c r="N794">
        <f>IF(M794=0,"Cuadrado",IF(M794&gt;0,"Faltante","Sobrante"))</f>
        <v/>
      </c>
      <c r="O794" t="inlineStr">
        <is>
          <t>El faltante $6.200.000 es cruzado con sobrante contabilizado el día 19/03/2026 ($6.200.000) el cual es reversado por la seccion el día 30/03/2026</t>
        </is>
      </c>
      <c r="P794" t="n">
        <v>52833254</v>
      </c>
    </row>
    <row r="795">
      <c r="A795" t="n">
        <v>524</v>
      </c>
      <c r="B795" t="n">
        <v>6336</v>
      </c>
      <c r="C795" t="inlineStr">
        <is>
          <t>BELLTECH</t>
        </is>
      </c>
      <c r="D795" t="inlineStr">
        <is>
          <t>BELLTECH</t>
        </is>
      </c>
      <c r="E795" s="3" t="n">
        <v>46111</v>
      </c>
      <c r="F795" s="3" t="n">
        <v>46108</v>
      </c>
      <c r="G795" t="inlineStr">
        <is>
          <t>08:55:00</t>
        </is>
      </c>
      <c r="H795" t="n">
        <v>246345300</v>
      </c>
      <c r="I795" t="n">
        <v>243426600</v>
      </c>
      <c r="J795" t="n">
        <v>800000</v>
      </c>
      <c r="K795" t="n">
        <v>3685000</v>
      </c>
      <c r="L795">
        <f>0</f>
        <v/>
      </c>
      <c r="M795">
        <f>I795-(H795+J795-K795)- L795</f>
        <v/>
      </c>
      <c r="N795">
        <f>IF(M795=0,"Cuadrado",IF(M795&gt;0,"Faltante","Sobrante"))</f>
        <v/>
      </c>
      <c r="O795" t="inlineStr">
        <is>
          <t>La diferencia es contabilizada por la Gerencia De Autoservicios y Efectivo de manera centralizada a la cuenta de sobrantes 279510020 el 30/03/2026</t>
        </is>
      </c>
      <c r="P795" t="n">
        <v>1004211532</v>
      </c>
    </row>
    <row r="796">
      <c r="A796" t="n">
        <v>138</v>
      </c>
      <c r="B796" t="n">
        <v>6628</v>
      </c>
      <c r="C796" t="inlineStr">
        <is>
          <t>DIEBOLD</t>
        </is>
      </c>
      <c r="D796" t="inlineStr">
        <is>
          <t>BELLTECH</t>
        </is>
      </c>
      <c r="E796" s="3" t="n">
        <v>46111</v>
      </c>
      <c r="F796" s="3" t="n">
        <v>46108</v>
      </c>
      <c r="G796" t="inlineStr">
        <is>
          <t>09:23:53</t>
        </is>
      </c>
      <c r="H796" t="n">
        <v>211472300</v>
      </c>
      <c r="I796" t="n">
        <v>211421350</v>
      </c>
      <c r="J796" t="n">
        <v>0</v>
      </c>
      <c r="K796" t="n">
        <v>0</v>
      </c>
      <c r="L796">
        <f>0</f>
        <v/>
      </c>
      <c r="M796">
        <f>I796-(H796+J796-K796)- L796</f>
        <v/>
      </c>
      <c r="N796">
        <f>IF(M796=0,"Cuadrado",IF(M796&gt;0,"Faltante","Sobrante"))</f>
        <v/>
      </c>
      <c r="O796" t="inlineStr">
        <is>
          <t>La diferencia es contabilizada por la Gerencia De Autoservicios y Efectivo de manera centralizada a la cuenta de sobrantes 279510020 el 30/03/2026</t>
        </is>
      </c>
      <c r="P796" t="n">
        <v>53032947</v>
      </c>
    </row>
    <row r="797">
      <c r="A797" t="n">
        <v>96</v>
      </c>
      <c r="B797" t="n">
        <v>6735</v>
      </c>
      <c r="C797" t="inlineStr">
        <is>
          <t>BELLTECH</t>
        </is>
      </c>
      <c r="D797" t="inlineStr">
        <is>
          <t>BELLTECH</t>
        </is>
      </c>
      <c r="E797" s="3" t="n">
        <v>46111</v>
      </c>
      <c r="F797" s="3" t="n">
        <v>46108</v>
      </c>
      <c r="G797" t="inlineStr">
        <is>
          <t>17:30:00</t>
        </is>
      </c>
      <c r="H797" t="n">
        <v>176535400</v>
      </c>
      <c r="I797" t="n">
        <v>187520400</v>
      </c>
      <c r="J797" t="n">
        <v>59010000</v>
      </c>
      <c r="K797" t="n">
        <v>45111000</v>
      </c>
      <c r="L797">
        <f>0</f>
        <v/>
      </c>
      <c r="M797">
        <f>I797-(H797+J797-K797)- L797</f>
        <v/>
      </c>
      <c r="N797">
        <f>IF(M797=0,"Cuadrado",IF(M797&gt;0,"Faltante","Sobrante"))</f>
        <v/>
      </c>
      <c r="O797" t="inlineStr">
        <is>
          <t>La diferencia es contabilizada por la Gerencia De Autoservicios y Efectivo de manera centralizada a la cuenta de sobrantes 279510020 el 30/03/2026</t>
        </is>
      </c>
      <c r="P797" t="n">
        <v>39491642</v>
      </c>
    </row>
    <row r="798">
      <c r="A798" t="n">
        <v>385</v>
      </c>
      <c r="B798" t="n">
        <v>7139</v>
      </c>
      <c r="C798" t="inlineStr">
        <is>
          <t>BELLTECH</t>
        </is>
      </c>
      <c r="D798" t="inlineStr">
        <is>
          <t>BELLTECH</t>
        </is>
      </c>
      <c r="E798" s="3" t="n">
        <v>46111</v>
      </c>
      <c r="F798" s="3" t="n">
        <v>46108</v>
      </c>
      <c r="G798" t="inlineStr">
        <is>
          <t>15:20:00</t>
        </is>
      </c>
      <c r="H798" t="n">
        <v>222186950</v>
      </c>
      <c r="I798" t="n">
        <v>247135550</v>
      </c>
      <c r="J798" t="n">
        <v>56880000</v>
      </c>
      <c r="K798" t="n">
        <v>50511600</v>
      </c>
      <c r="L798">
        <f>5285200+9400000</f>
        <v/>
      </c>
      <c r="M798">
        <f>I798-(H798+J798-K798)- L798</f>
        <v/>
      </c>
      <c r="N798">
        <f>IF(M798=0,"Cuadrado",IF(M798&gt;0,"Faltante","Sobrante"))</f>
        <v/>
      </c>
      <c r="O798" t="inlineStr">
        <is>
          <t>ACLARAR DIFERENCIA Y REPETIR EL ARQUEO</t>
        </is>
      </c>
      <c r="P798" t="n">
        <v>1077970238</v>
      </c>
    </row>
    <row r="799">
      <c r="A799" t="n">
        <v>623</v>
      </c>
      <c r="B799" t="n">
        <v>7375</v>
      </c>
      <c r="C799" t="inlineStr">
        <is>
          <t>BELLTECH</t>
        </is>
      </c>
      <c r="D799" t="inlineStr">
        <is>
          <t>BELLTECH</t>
        </is>
      </c>
      <c r="E799" s="3" t="n">
        <v>46111</v>
      </c>
      <c r="F799" s="3" t="n">
        <v>46108</v>
      </c>
      <c r="G799" t="inlineStr">
        <is>
          <t>16:20:00</t>
        </is>
      </c>
      <c r="H799" t="n">
        <v>136280750</v>
      </c>
      <c r="I799" t="n">
        <v>196324600</v>
      </c>
      <c r="J799" t="n">
        <v>13710000</v>
      </c>
      <c r="K799" t="n">
        <v>24650200</v>
      </c>
      <c r="L799">
        <f>-50000000+130875000</f>
        <v/>
      </c>
      <c r="M799">
        <f>I799-(H799+J799-K799)- L799</f>
        <v/>
      </c>
      <c r="N799">
        <f>IF(M799=0,"Cuadrado",IF(M799&gt;0,"Faltante","Sobrante"))</f>
        <v/>
      </c>
      <c r="O799" t="inlineStr">
        <is>
          <t>La diferencia es contabilizada por la Gerencia De Autoservicios y Efectivo de manera centralizada a la cuenta de sobrantes 279510020 el 30/03/2026</t>
        </is>
      </c>
      <c r="P799" t="n">
        <v>1012348871</v>
      </c>
    </row>
    <row r="800">
      <c r="A800" t="n">
        <v>812</v>
      </c>
      <c r="B800" t="n">
        <v>7613</v>
      </c>
      <c r="C800" t="inlineStr">
        <is>
          <t>DIEBOLD</t>
        </is>
      </c>
      <c r="D800" t="inlineStr">
        <is>
          <t>DIEBOLD</t>
        </is>
      </c>
      <c r="E800" s="3" t="n">
        <v>46111</v>
      </c>
      <c r="F800" s="3" t="n">
        <v>46108</v>
      </c>
      <c r="G800" t="inlineStr">
        <is>
          <t>15:51:00</t>
        </is>
      </c>
      <c r="H800" t="n">
        <v>177757100</v>
      </c>
      <c r="I800" t="n">
        <v>114881200</v>
      </c>
      <c r="J800" t="n">
        <v>32870000</v>
      </c>
      <c r="K800" t="n">
        <v>190808900</v>
      </c>
      <c r="L800">
        <f>94978000+85000</f>
        <v/>
      </c>
      <c r="M800">
        <f>I800-(H800+J800-K800)- L800</f>
        <v/>
      </c>
      <c r="N800">
        <f>IF(M800=0,"Cuadrado",IF(M800&gt;0,"Faltante","Sobrante"))</f>
        <v/>
      </c>
      <c r="O800" t="inlineStr">
        <is>
          <t>El faltante $85.000 es cruzado con sobrante contabilizado el día 11/03/2026 ($85.000) el cual es reversado por la seccion el día 30/03/2026</t>
        </is>
      </c>
      <c r="P800" t="n">
        <v>31711383</v>
      </c>
    </row>
    <row r="801">
      <c r="A801" t="n">
        <v>609</v>
      </c>
      <c r="B801" t="n">
        <v>7875</v>
      </c>
      <c r="C801" t="inlineStr">
        <is>
          <t>BELLTECH</t>
        </is>
      </c>
      <c r="D801" t="inlineStr">
        <is>
          <t>BELLTECH</t>
        </is>
      </c>
      <c r="E801" s="3" t="n">
        <v>46111</v>
      </c>
      <c r="F801" s="3" t="n">
        <v>46108</v>
      </c>
      <c r="G801" t="inlineStr">
        <is>
          <t>09:34:00</t>
        </is>
      </c>
      <c r="H801" t="n">
        <v>158164950</v>
      </c>
      <c r="I801" t="n">
        <v>196125950</v>
      </c>
      <c r="J801" t="n">
        <v>40200000</v>
      </c>
      <c r="K801" t="n">
        <v>2439000</v>
      </c>
      <c r="L801">
        <f>0</f>
        <v/>
      </c>
      <c r="M801">
        <f>I801-(H801+J801-K801)- L801</f>
        <v/>
      </c>
      <c r="N801">
        <f>IF(M801=0,"Cuadrado",IF(M801&gt;0,"Faltante","Sobrante"))</f>
        <v/>
      </c>
      <c r="O801" t="inlineStr">
        <is>
          <t>ACLARAR DIFERENCIA Y REPETIR EL ARQUEO</t>
        </is>
      </c>
      <c r="P801" t="n">
        <v>98695047</v>
      </c>
    </row>
    <row r="802">
      <c r="A802" t="n">
        <v>728</v>
      </c>
      <c r="B802" t="n">
        <v>8587</v>
      </c>
      <c r="C802" t="inlineStr">
        <is>
          <t>BELLTECH</t>
        </is>
      </c>
      <c r="D802" t="inlineStr">
        <is>
          <t>BELLTECH</t>
        </is>
      </c>
      <c r="E802" s="3" t="n">
        <v>46111</v>
      </c>
      <c r="F802" s="3" t="n">
        <v>46108</v>
      </c>
      <c r="G802" t="inlineStr">
        <is>
          <t>14:07:00</t>
        </is>
      </c>
      <c r="H802" t="n">
        <v>75572600</v>
      </c>
      <c r="I802" t="n">
        <v>49603650</v>
      </c>
      <c r="J802" t="n">
        <v>16260000</v>
      </c>
      <c r="K802" t="n">
        <v>42229000</v>
      </c>
      <c r="L802">
        <f>50</f>
        <v/>
      </c>
      <c r="M802">
        <f>I802-(H802+J802-K802)- L802</f>
        <v/>
      </c>
      <c r="N802">
        <f>IF(M802=0,"Cuadrado",IF(M802&gt;0,"Faltante","Sobrante"))</f>
        <v/>
      </c>
      <c r="O802" t="inlineStr">
        <is>
          <t>Cajero cuadrado, sin observación por parte de la sucursal</t>
        </is>
      </c>
      <c r="P802" t="n">
        <v>1112783690</v>
      </c>
    </row>
    <row r="803">
      <c r="A803" t="n">
        <v>509</v>
      </c>
      <c r="B803" t="n">
        <v>8835</v>
      </c>
      <c r="C803" t="inlineStr">
        <is>
          <t>BELLTECH</t>
        </is>
      </c>
      <c r="D803" t="inlineStr">
        <is>
          <t>BELLTECH</t>
        </is>
      </c>
      <c r="E803" s="3" t="n">
        <v>46111</v>
      </c>
      <c r="F803" s="3" t="n">
        <v>46108</v>
      </c>
      <c r="G803" t="inlineStr">
        <is>
          <t>09:24:00</t>
        </is>
      </c>
      <c r="H803" t="n">
        <v>291667200</v>
      </c>
      <c r="I803" t="n">
        <v>293780550</v>
      </c>
      <c r="J803" t="n">
        <v>8740000</v>
      </c>
      <c r="K803" t="n">
        <v>13525600</v>
      </c>
      <c r="L803">
        <f>0</f>
        <v/>
      </c>
      <c r="M803">
        <f>I803-(H803+J803-K803)- L803</f>
        <v/>
      </c>
      <c r="N803">
        <f>IF(M803=0,"Cuadrado",IF(M803&gt;0,"Faltante","Sobrante"))</f>
        <v/>
      </c>
      <c r="O803" t="inlineStr">
        <is>
          <t>La diferencia es contabilizada por la Gerencia De Autoservicios y Efectivo de manera centralizada a la cuenta de faltantes 168710093 el 30/03/2026, esta diferencia ingresa a proceso de investigación en el área para identificar a que corresponde.</t>
        </is>
      </c>
      <c r="P803" t="n">
        <v>1143370364</v>
      </c>
    </row>
    <row r="804">
      <c r="A804" t="n">
        <v>33</v>
      </c>
      <c r="B804" t="n">
        <v>8861</v>
      </c>
      <c r="C804" t="inlineStr">
        <is>
          <t>BELLTECH</t>
        </is>
      </c>
      <c r="D804" t="inlineStr">
        <is>
          <t>BELLTECH</t>
        </is>
      </c>
      <c r="E804" s="3" t="n">
        <v>46111</v>
      </c>
      <c r="F804" s="3" t="n">
        <v>46108</v>
      </c>
      <c r="G804" t="inlineStr">
        <is>
          <t>08:38:24</t>
        </is>
      </c>
      <c r="H804" t="n">
        <v>241019750</v>
      </c>
      <c r="I804" t="n">
        <v>258244750</v>
      </c>
      <c r="J804" t="n">
        <v>4620000</v>
      </c>
      <c r="K804" t="n">
        <v>4600000</v>
      </c>
      <c r="L804">
        <f>0</f>
        <v/>
      </c>
      <c r="M804">
        <f>I804-(H804+J804-K804)- L804</f>
        <v/>
      </c>
      <c r="N804">
        <f>IF(M804=0,"Cuadrado",IF(M804&gt;0,"Faltante","Sobrante"))</f>
        <v/>
      </c>
      <c r="O804" t="inlineStr">
        <is>
          <t>ACLARAR DIFERENCIA Y REPETIR EL ARQUEO</t>
        </is>
      </c>
      <c r="P804" t="n">
        <v>79659379</v>
      </c>
    </row>
    <row r="805">
      <c r="A805" t="n">
        <v>957</v>
      </c>
      <c r="B805" t="n">
        <v>9512</v>
      </c>
      <c r="C805" t="inlineStr">
        <is>
          <t>BELLTECH</t>
        </is>
      </c>
      <c r="D805" t="inlineStr">
        <is>
          <t>BELLTECH</t>
        </is>
      </c>
      <c r="E805" s="3" t="n">
        <v>46111</v>
      </c>
      <c r="F805" s="3" t="n">
        <v>46108</v>
      </c>
      <c r="G805" t="inlineStr">
        <is>
          <t>09:52:00</t>
        </is>
      </c>
      <c r="H805" t="n">
        <v>259688450</v>
      </c>
      <c r="I805" t="n">
        <v>243158450</v>
      </c>
      <c r="J805" t="n">
        <v>18460000</v>
      </c>
      <c r="K805" t="n">
        <v>34960000</v>
      </c>
      <c r="L805">
        <f>0</f>
        <v/>
      </c>
      <c r="M805">
        <f>I805-(H805+J805-K805)- L805</f>
        <v/>
      </c>
      <c r="N805">
        <f>IF(M805=0,"Cuadrado",IF(M805&gt;0,"Faltante","Sobrante"))</f>
        <v/>
      </c>
      <c r="O805" t="inlineStr">
        <is>
          <t>La diferencia es contabilizada por la Gerencia De Autoservicios y Efectivo de manera centralizada a la cuenta de sobrantes 279510020 el 30/03/2026</t>
        </is>
      </c>
      <c r="P805" t="n">
        <v>72290314</v>
      </c>
    </row>
    <row r="806">
      <c r="A806" t="n">
        <v>876</v>
      </c>
      <c r="B806" t="n">
        <v>9682</v>
      </c>
      <c r="C806" t="inlineStr">
        <is>
          <t>BELLTECH</t>
        </is>
      </c>
      <c r="D806" t="inlineStr">
        <is>
          <t>BELLTECH</t>
        </is>
      </c>
      <c r="E806" s="3" t="n">
        <v>46111</v>
      </c>
      <c r="F806" s="3" t="n">
        <v>46108</v>
      </c>
      <c r="G806" t="inlineStr">
        <is>
          <t>15:29:00</t>
        </is>
      </c>
      <c r="H806" t="n">
        <v>501358450</v>
      </c>
      <c r="I806" t="n">
        <v>368848050</v>
      </c>
      <c r="J806" t="n">
        <v>13250000</v>
      </c>
      <c r="K806" t="n">
        <v>137830000</v>
      </c>
      <c r="L806">
        <f>0</f>
        <v/>
      </c>
      <c r="M806">
        <f>I806-(H806+J806-K806)- L806</f>
        <v/>
      </c>
      <c r="N806">
        <f>IF(M806=0,"Cuadrado",IF(M806&gt;0,"Faltante","Sobrante"))</f>
        <v/>
      </c>
      <c r="O806" t="inlineStr">
        <is>
          <t>La diferencia es contabilizada por la Gerencia De Autoservicios y Efectivo de manera centralizada a la cuenta de sobrantes 279510020 el 30/03/2026</t>
        </is>
      </c>
      <c r="P806" t="n">
        <v>1002032451</v>
      </c>
    </row>
    <row r="807">
      <c r="A807" t="n">
        <v>849</v>
      </c>
      <c r="B807" t="n">
        <v>9724</v>
      </c>
      <c r="C807" t="inlineStr">
        <is>
          <t>BELLTECH</t>
        </is>
      </c>
      <c r="D807" t="inlineStr">
        <is>
          <t>BELLTECH</t>
        </is>
      </c>
      <c r="E807" s="3" t="n">
        <v>46111</v>
      </c>
      <c r="F807" s="3" t="n">
        <v>46108</v>
      </c>
      <c r="G807" t="inlineStr">
        <is>
          <t>15:44:00</t>
        </is>
      </c>
      <c r="H807" t="n">
        <v>88589750</v>
      </c>
      <c r="I807" t="n">
        <v>131442300</v>
      </c>
      <c r="J807" t="n">
        <v>37740000</v>
      </c>
      <c r="K807" t="n">
        <v>94542650</v>
      </c>
      <c r="L807">
        <f>-9499800+129735000</f>
        <v/>
      </c>
      <c r="M807">
        <f>I807-(H807+J807-K807)- L807</f>
        <v/>
      </c>
      <c r="N807">
        <f>IF(M807=0,"Cuadrado",IF(M807&gt;0,"Faltante","Sobrante"))</f>
        <v/>
      </c>
      <c r="O807" t="inlineStr">
        <is>
          <t>La diferencia es contabilizada por la Gerencia De Autoservicios y Efectivo de manera centralizada a la cuenta de sobrantes 279510020 el 30/03/2026</t>
        </is>
      </c>
      <c r="P807" t="n">
        <v>86063461</v>
      </c>
    </row>
    <row r="808">
      <c r="A808" t="n">
        <v>287</v>
      </c>
      <c r="B808" t="n">
        <v>907</v>
      </c>
      <c r="C808" t="inlineStr">
        <is>
          <t>DIEBOLD</t>
        </is>
      </c>
      <c r="D808" t="inlineStr">
        <is>
          <t>DIEBOLD</t>
        </is>
      </c>
      <c r="E808" s="3" t="n">
        <v>46111</v>
      </c>
      <c r="F808" s="3" t="n">
        <v>46108</v>
      </c>
      <c r="G808" t="inlineStr">
        <is>
          <t>15:11:00</t>
        </is>
      </c>
      <c r="H808" t="n">
        <v>54362900</v>
      </c>
      <c r="I808" t="n">
        <v>101612900</v>
      </c>
      <c r="J808" t="n">
        <v>80880000</v>
      </c>
      <c r="K808" t="n">
        <v>33630000</v>
      </c>
      <c r="L808">
        <f>0</f>
        <v/>
      </c>
      <c r="M808">
        <f>I808-(H808+J808-K808)- L808</f>
        <v/>
      </c>
      <c r="N808">
        <f>IF(M808=0,"Cuadrado",IF(M808&gt;0,"Faltante","Sobrante"))</f>
        <v/>
      </c>
      <c r="O808" t="inlineStr">
        <is>
          <t>Cajero cuadrado, sin observación por parte de la sucursal</t>
        </is>
      </c>
      <c r="P808" t="n">
        <v>13566403</v>
      </c>
    </row>
    <row r="809">
      <c r="A809" t="n">
        <v>777</v>
      </c>
      <c r="B809" t="n">
        <v>4868</v>
      </c>
      <c r="C809" t="inlineStr">
        <is>
          <t>DIEBOLD</t>
        </is>
      </c>
      <c r="D809" t="inlineStr">
        <is>
          <t>DIEBOLD</t>
        </is>
      </c>
      <c r="E809" s="3" t="n">
        <v>46111</v>
      </c>
      <c r="F809" s="3" t="n">
        <v>46108</v>
      </c>
      <c r="G809" t="inlineStr">
        <is>
          <t>15:15:00</t>
        </is>
      </c>
      <c r="H809" t="n">
        <v>86265500</v>
      </c>
      <c r="I809" t="n">
        <v>46562500</v>
      </c>
      <c r="J809" t="n">
        <v>14100000</v>
      </c>
      <c r="K809" t="n">
        <v>53803000</v>
      </c>
      <c r="L809">
        <f>0</f>
        <v/>
      </c>
      <c r="M809">
        <f>I809-(H809+J809-K809)- L809</f>
        <v/>
      </c>
      <c r="N809">
        <f>IF(M809=0,"Cuadrado",IF(M809&gt;0,"Faltante","Sobrante"))</f>
        <v/>
      </c>
      <c r="O809" t="inlineStr">
        <is>
          <t>Cajero cuadrado, sin observación por parte de la sucursal</t>
        </is>
      </c>
      <c r="P809" t="n">
        <v>1192816639</v>
      </c>
    </row>
    <row r="810">
      <c r="A810" t="n">
        <v>659</v>
      </c>
      <c r="B810" t="n">
        <v>5102</v>
      </c>
      <c r="C810" t="inlineStr">
        <is>
          <t>BELLTECH</t>
        </is>
      </c>
      <c r="D810" t="inlineStr">
        <is>
          <t>BELLTECH</t>
        </is>
      </c>
      <c r="E810" s="3" t="n">
        <v>46111</v>
      </c>
      <c r="F810" s="3" t="n">
        <v>46108</v>
      </c>
      <c r="G810" t="inlineStr">
        <is>
          <t>10:39:00</t>
        </is>
      </c>
      <c r="H810" t="n">
        <v>358620300</v>
      </c>
      <c r="I810" t="n">
        <v>357225300</v>
      </c>
      <c r="J810" t="n">
        <v>16080000</v>
      </c>
      <c r="K810" t="n">
        <v>17475000</v>
      </c>
      <c r="L810">
        <f>0</f>
        <v/>
      </c>
      <c r="M810">
        <f>I810-(H810+J810-K810)- L810</f>
        <v/>
      </c>
      <c r="N810">
        <f>IF(M810=0,"Cuadrado",IF(M810&gt;0,"Faltante","Sobrante"))</f>
        <v/>
      </c>
      <c r="O810" t="inlineStr">
        <is>
          <t>Cajero cuadrado, sin observación por parte de la sucursal</t>
        </is>
      </c>
      <c r="P810" t="n">
        <v>39575034</v>
      </c>
    </row>
    <row r="811">
      <c r="A811" t="n">
        <v>300</v>
      </c>
      <c r="B811" t="n">
        <v>5139</v>
      </c>
      <c r="C811" t="inlineStr">
        <is>
          <t>BELLTECH</t>
        </is>
      </c>
      <c r="D811" t="inlineStr">
        <is>
          <t>BELLTECH</t>
        </is>
      </c>
      <c r="E811" s="3" t="n">
        <v>46111</v>
      </c>
      <c r="F811" s="3" t="n">
        <v>46108</v>
      </c>
      <c r="G811" t="inlineStr">
        <is>
          <t>10:01:00</t>
        </is>
      </c>
      <c r="H811" t="n">
        <v>242834500</v>
      </c>
      <c r="I811" t="n">
        <v>237099500</v>
      </c>
      <c r="J811" t="n">
        <v>7160000</v>
      </c>
      <c r="K811" t="n">
        <v>12895000</v>
      </c>
      <c r="L811">
        <f>0</f>
        <v/>
      </c>
      <c r="M811">
        <f>I811-(H811+J811-K811)- L811</f>
        <v/>
      </c>
      <c r="N811">
        <f>IF(M811=0,"Cuadrado",IF(M811&gt;0,"Faltante","Sobrante"))</f>
        <v/>
      </c>
      <c r="O811" t="inlineStr">
        <is>
          <t>Cajero cuadrado, sin observación por parte de la sucursal</t>
        </is>
      </c>
      <c r="P811" t="n">
        <v>53097567</v>
      </c>
    </row>
    <row r="812">
      <c r="A812" t="n">
        <v>674</v>
      </c>
      <c r="B812" t="n">
        <v>5200</v>
      </c>
      <c r="C812" t="inlineStr">
        <is>
          <t>BELLTECH</t>
        </is>
      </c>
      <c r="D812" t="inlineStr">
        <is>
          <t>BELLTECH</t>
        </is>
      </c>
      <c r="E812" s="3" t="n">
        <v>46111</v>
      </c>
      <c r="F812" s="3" t="n">
        <v>46108</v>
      </c>
      <c r="G812" t="inlineStr">
        <is>
          <t>15:37:00</t>
        </is>
      </c>
      <c r="H812" t="n">
        <v>151936250</v>
      </c>
      <c r="I812" t="n">
        <v>107386250</v>
      </c>
      <c r="J812" t="n">
        <v>18600000</v>
      </c>
      <c r="K812" t="n">
        <v>63150000</v>
      </c>
      <c r="L812">
        <f>-880000+880000</f>
        <v/>
      </c>
      <c r="M812">
        <f>I812-(H812+J812-K812)- L812</f>
        <v/>
      </c>
      <c r="N812">
        <f>IF(M812=0,"Cuadrado",IF(M812&gt;0,"Faltante","Sobrante"))</f>
        <v/>
      </c>
      <c r="O812" t="inlineStr">
        <is>
          <t>El faltante $880.000 es cruzado con sobrante contabilizado el día 27/03/2026 ($880.000) el cual es reversado por la seccion el día 30/03/2026</t>
        </is>
      </c>
      <c r="P812" t="n">
        <v>79813088</v>
      </c>
    </row>
    <row r="813">
      <c r="A813" t="n">
        <v>285</v>
      </c>
      <c r="B813" t="n">
        <v>5228</v>
      </c>
      <c r="C813" t="inlineStr">
        <is>
          <t>BELLTECH</t>
        </is>
      </c>
      <c r="D813" t="inlineStr">
        <is>
          <t>BELLTECH</t>
        </is>
      </c>
      <c r="E813" s="3" t="n">
        <v>46111</v>
      </c>
      <c r="F813" s="3" t="n">
        <v>46108</v>
      </c>
      <c r="G813" t="inlineStr">
        <is>
          <t>10:43:00</t>
        </is>
      </c>
      <c r="H813" t="n">
        <v>302184850</v>
      </c>
      <c r="I813" t="n">
        <v>302894850</v>
      </c>
      <c r="J813" t="n">
        <v>710000</v>
      </c>
      <c r="K813" t="n">
        <v>0</v>
      </c>
      <c r="L813">
        <f>0</f>
        <v/>
      </c>
      <c r="M813">
        <f>I813-(H813+J813-K813)- L813</f>
        <v/>
      </c>
      <c r="N813">
        <f>IF(M813=0,"Cuadrado",IF(M813&gt;0,"Faltante","Sobrante"))</f>
        <v/>
      </c>
      <c r="O813" t="inlineStr">
        <is>
          <t>Cajero cuadrado, sin observación por parte de la sucursal</t>
        </is>
      </c>
      <c r="P813" t="n">
        <v>12197216</v>
      </c>
    </row>
    <row r="814">
      <c r="A814" t="n">
        <v>609</v>
      </c>
      <c r="B814" t="n">
        <v>7888</v>
      </c>
      <c r="C814" t="inlineStr">
        <is>
          <t>BELLTECH</t>
        </is>
      </c>
      <c r="D814" t="inlineStr">
        <is>
          <t>BELLTECH</t>
        </is>
      </c>
      <c r="E814" s="3" t="n">
        <v>46111</v>
      </c>
      <c r="F814" s="3" t="n">
        <v>46108</v>
      </c>
      <c r="G814" t="inlineStr">
        <is>
          <t>10:19:00</t>
        </is>
      </c>
      <c r="H814" t="n">
        <v>232012750</v>
      </c>
      <c r="I814" t="n">
        <v>238695750</v>
      </c>
      <c r="J814" t="n">
        <v>34420000</v>
      </c>
      <c r="K814" t="n">
        <v>27737000</v>
      </c>
      <c r="L814">
        <f>0</f>
        <v/>
      </c>
      <c r="M814">
        <f>I814-(H814+J814-K814)- L814</f>
        <v/>
      </c>
      <c r="N814">
        <f>IF(M814=0,"Cuadrado",IF(M814&gt;0,"Faltante","Sobrante"))</f>
        <v/>
      </c>
      <c r="O814" t="inlineStr">
        <is>
          <t>Cajero cuadrado, sin observación por parte de la sucursal</t>
        </is>
      </c>
      <c r="P814" t="n">
        <v>98695047</v>
      </c>
    </row>
    <row r="815">
      <c r="A815" t="n">
        <v>728</v>
      </c>
      <c r="B815" t="n">
        <v>8586</v>
      </c>
      <c r="C815" t="inlineStr">
        <is>
          <t>BELLTECH</t>
        </is>
      </c>
      <c r="D815" t="inlineStr">
        <is>
          <t>BELLTECH</t>
        </is>
      </c>
      <c r="E815" s="3" t="n">
        <v>46111</v>
      </c>
      <c r="F815" s="3" t="n">
        <v>46108</v>
      </c>
      <c r="G815" t="inlineStr">
        <is>
          <t>14:32:00</t>
        </is>
      </c>
      <c r="H815" t="n">
        <v>180621350</v>
      </c>
      <c r="I815" t="n">
        <v>155221350</v>
      </c>
      <c r="J815" t="n">
        <v>55610000</v>
      </c>
      <c r="K815" t="n">
        <v>81010000</v>
      </c>
      <c r="L815">
        <f>0</f>
        <v/>
      </c>
      <c r="M815">
        <f>I815-(H815+J815-K815)- L815</f>
        <v/>
      </c>
      <c r="N815">
        <f>IF(M815=0,"Cuadrado",IF(M815&gt;0,"Faltante","Sobrante"))</f>
        <v/>
      </c>
      <c r="O815" t="inlineStr">
        <is>
          <t>Cajero cuadrado, sin observación por parte de la sucursal</t>
        </is>
      </c>
      <c r="P815" t="n">
        <v>1112783690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Suc</t>
        </is>
      </c>
      <c r="B1" s="1" t="inlineStr">
        <is>
          <t>Cajero</t>
        </is>
      </c>
      <c r="C1" s="1" t="inlineStr">
        <is>
          <t>Marca</t>
        </is>
      </c>
      <c r="D1" s="1" t="inlineStr">
        <is>
          <t>Cajero.1</t>
        </is>
      </c>
      <c r="E1" s="1" t="inlineStr">
        <is>
          <t xml:space="preserve">Sucursal </t>
        </is>
      </c>
      <c r="F1" s="1" t="inlineStr">
        <is>
          <t>Lider de servicio</t>
        </is>
      </c>
      <c r="G1" s="1" t="inlineStr">
        <is>
          <t>SUBGERENTE</t>
        </is>
      </c>
      <c r="H1" s="1" t="inlineStr">
        <is>
          <t>FECHA ARQUEO</t>
        </is>
      </c>
      <c r="I1" s="1" t="inlineStr">
        <is>
          <t>FECHA REPROGRAMACION</t>
        </is>
      </c>
      <c r="J1" s="1" t="inlineStr">
        <is>
          <t>FECHA PROGRAMADA</t>
        </is>
      </c>
      <c r="K1" s="1" t="inlineStr">
        <is>
          <t>OBSERVACIÓN</t>
        </is>
      </c>
    </row>
    <row r="2">
      <c r="A2" t="n">
        <v>348</v>
      </c>
      <c r="B2" t="n">
        <v>192</v>
      </c>
      <c r="C2" t="inlineStr">
        <is>
          <t>BELLTECH</t>
        </is>
      </c>
      <c r="D2" t="inlineStr">
        <is>
          <t>Multifuncional</t>
        </is>
      </c>
      <c r="E2" t="inlineStr">
        <is>
          <t>SAN ANDRES</t>
        </is>
      </c>
      <c r="F2" t="inlineStr">
        <is>
          <t>Didi Alejandra Pareja Medina</t>
        </is>
      </c>
      <c r="G2" t="inlineStr">
        <is>
          <t>PPOLO</t>
        </is>
      </c>
      <c r="H2" s="3" t="n">
        <v>46093</v>
      </c>
      <c r="K2" t="inlineStr">
        <is>
          <t>Nuevo 31 Julio, Sin servicio</t>
        </is>
      </c>
    </row>
    <row r="3">
      <c r="A3" t="n">
        <v>333</v>
      </c>
      <c r="B3" t="n">
        <v>442</v>
      </c>
      <c r="C3" t="inlineStr">
        <is>
          <t>DIEBOLD</t>
        </is>
      </c>
      <c r="D3" t="inlineStr">
        <is>
          <t>Multifuncional</t>
        </is>
      </c>
      <c r="E3" t="inlineStr">
        <is>
          <t>SABANETA AVES MARIA</t>
        </is>
      </c>
      <c r="F3" t="inlineStr">
        <is>
          <t>Sandra Milena Cardona Franco</t>
        </is>
      </c>
      <c r="G3" t="inlineStr">
        <is>
          <t>LUCRAMIR</t>
        </is>
      </c>
      <c r="H3" s="3" t="n">
        <v>46086</v>
      </c>
      <c r="K3" t="inlineStr">
        <is>
          <t>Nuevo 31 Julio, Sin servicio</t>
        </is>
      </c>
    </row>
    <row r="4">
      <c r="A4" t="n">
        <v>331</v>
      </c>
      <c r="B4" t="n">
        <v>574</v>
      </c>
      <c r="C4" t="inlineStr">
        <is>
          <t>BELLTECH</t>
        </is>
      </c>
      <c r="D4" t="inlineStr">
        <is>
          <t>Multifuncional</t>
        </is>
      </c>
      <c r="E4" t="inlineStr">
        <is>
          <t>ARKADIA</t>
        </is>
      </c>
      <c r="F4" t="inlineStr">
        <is>
          <t>Ana Maria Echavarria Gonzalez</t>
        </is>
      </c>
      <c r="G4" t="inlineStr">
        <is>
          <t>NDUQUE</t>
        </is>
      </c>
      <c r="H4" s="3" t="n">
        <v>46086</v>
      </c>
    </row>
    <row r="5">
      <c r="A5" t="n">
        <v>331</v>
      </c>
      <c r="B5" t="n">
        <v>575</v>
      </c>
      <c r="C5" t="inlineStr">
        <is>
          <t>BELLTECH</t>
        </is>
      </c>
      <c r="D5" t="inlineStr">
        <is>
          <t>Multifuncional</t>
        </is>
      </c>
      <c r="E5" t="inlineStr">
        <is>
          <t>ARKADIA</t>
        </is>
      </c>
      <c r="F5" t="inlineStr">
        <is>
          <t>Ana Maria Echavarria Gonzalez</t>
        </is>
      </c>
      <c r="G5" t="inlineStr">
        <is>
          <t>NDUQUE</t>
        </is>
      </c>
      <c r="H5" s="3" t="n">
        <v>46086</v>
      </c>
    </row>
    <row r="6">
      <c r="A6" t="n">
        <v>61</v>
      </c>
      <c r="B6" t="n">
        <v>788</v>
      </c>
      <c r="C6" t="inlineStr">
        <is>
          <t>BELLTECH</t>
        </is>
      </c>
      <c r="D6" t="inlineStr">
        <is>
          <t>Multifuncional</t>
        </is>
      </c>
      <c r="E6" t="inlineStr">
        <is>
          <t>CENTRO COMERCIAL LA ESTACIÓN CALI</t>
        </is>
      </c>
      <c r="F6" t="inlineStr">
        <is>
          <t>Hector Mario Rendon Ocampo</t>
        </is>
      </c>
      <c r="G6" t="inlineStr">
        <is>
          <t>MOCANO</t>
        </is>
      </c>
      <c r="H6" s="3" t="n">
        <v>46091</v>
      </c>
      <c r="K6" t="inlineStr">
        <is>
          <t>09 de Sep inicia a ser de suc</t>
        </is>
      </c>
    </row>
    <row r="7">
      <c r="A7" t="n">
        <v>287</v>
      </c>
      <c r="B7" t="n">
        <v>907</v>
      </c>
      <c r="C7" t="inlineStr">
        <is>
          <t>DIEBOLD</t>
        </is>
      </c>
      <c r="D7" t="inlineStr">
        <is>
          <t>Multifuncional</t>
        </is>
      </c>
      <c r="E7" t="inlineStr">
        <is>
          <t>CENTRAL DE ABASTOS B/MANGA</t>
        </is>
      </c>
      <c r="F7" t="inlineStr">
        <is>
          <t>Yenis Meybi Fernandez Marin</t>
        </is>
      </c>
      <c r="G7" t="inlineStr">
        <is>
          <t>LMPINILL</t>
        </is>
      </c>
      <c r="H7" s="3" t="n">
        <v>46100</v>
      </c>
      <c r="K7" t="inlineStr">
        <is>
          <t>instalan cajero 20 de enero</t>
        </is>
      </c>
    </row>
    <row r="8">
      <c r="A8" t="n">
        <v>481</v>
      </c>
      <c r="B8" t="n">
        <v>1010</v>
      </c>
      <c r="C8" t="inlineStr">
        <is>
          <t>BELLTECH</t>
        </is>
      </c>
      <c r="D8" t="inlineStr">
        <is>
          <t>Multifuncional</t>
        </is>
      </c>
      <c r="E8" t="inlineStr">
        <is>
          <t>SOLEDAD</t>
        </is>
      </c>
      <c r="F8" t="inlineStr">
        <is>
          <t>German Alcides Hernandez Vivero</t>
        </is>
      </c>
      <c r="G8" t="inlineStr">
        <is>
          <t>VAESTRAD</t>
        </is>
      </c>
      <c r="H8" s="3" t="n">
        <v>46091</v>
      </c>
    </row>
    <row r="9">
      <c r="A9" t="n">
        <v>481</v>
      </c>
      <c r="B9" t="n">
        <v>1011</v>
      </c>
      <c r="C9" t="inlineStr">
        <is>
          <t>BELLTECH</t>
        </is>
      </c>
      <c r="D9" t="inlineStr">
        <is>
          <t>Multifuncional</t>
        </is>
      </c>
      <c r="E9" t="inlineStr">
        <is>
          <t>SOLEDAD</t>
        </is>
      </c>
      <c r="F9" t="inlineStr">
        <is>
          <t>German Alcides Hernandez Vivero</t>
        </is>
      </c>
      <c r="G9" t="inlineStr">
        <is>
          <t>VAESTRAD</t>
        </is>
      </c>
      <c r="H9" s="3" t="n">
        <v>46091</v>
      </c>
    </row>
    <row r="10">
      <c r="A10" t="n">
        <v>795</v>
      </c>
      <c r="B10" t="n">
        <v>1027</v>
      </c>
      <c r="C10" t="inlineStr">
        <is>
          <t>BELLTECH</t>
        </is>
      </c>
      <c r="D10" t="inlineStr">
        <is>
          <t>Multifuncional</t>
        </is>
      </c>
      <c r="E10" t="inlineStr">
        <is>
          <t>CAÑAVERAL</t>
        </is>
      </c>
      <c r="F10" t="inlineStr">
        <is>
          <t>Yenis Meybi Fernandez Marin</t>
        </is>
      </c>
      <c r="G10" t="inlineStr">
        <is>
          <t>CEAUARIA</t>
        </is>
      </c>
      <c r="H10" s="3" t="n">
        <v>46091</v>
      </c>
      <c r="I10" t="inlineStr">
        <is>
          <t>2 Días</t>
        </is>
      </c>
    </row>
    <row r="11">
      <c r="A11" t="n">
        <v>795</v>
      </c>
      <c r="B11" t="n">
        <v>1028</v>
      </c>
      <c r="C11" t="inlineStr">
        <is>
          <t>BELLTECH</t>
        </is>
      </c>
      <c r="D11" t="inlineStr">
        <is>
          <t>Multifuncional</t>
        </is>
      </c>
      <c r="E11" t="inlineStr">
        <is>
          <t>CAÑAVERAL</t>
        </is>
      </c>
      <c r="F11" t="inlineStr">
        <is>
          <t>Yenis Meybi Fernandez Marin</t>
        </is>
      </c>
      <c r="G11" t="inlineStr">
        <is>
          <t>CEAUARIA</t>
        </is>
      </c>
      <c r="H11" s="3" t="n">
        <v>46091</v>
      </c>
      <c r="I11" t="inlineStr">
        <is>
          <t>2 Días</t>
        </is>
      </c>
    </row>
    <row r="12">
      <c r="A12" t="n">
        <v>795</v>
      </c>
      <c r="B12" t="n">
        <v>1029</v>
      </c>
      <c r="C12" t="inlineStr">
        <is>
          <t>BELLTECH</t>
        </is>
      </c>
      <c r="D12" t="inlineStr">
        <is>
          <t>Multifuncional</t>
        </is>
      </c>
      <c r="E12" t="inlineStr">
        <is>
          <t>CAÑAVERAL</t>
        </is>
      </c>
      <c r="F12" t="inlineStr">
        <is>
          <t>Yenis Meybi Fernandez Marin</t>
        </is>
      </c>
      <c r="G12" t="inlineStr">
        <is>
          <t>CEAUARIA</t>
        </is>
      </c>
      <c r="H12" s="3" t="n">
        <v>46091</v>
      </c>
      <c r="I12" t="inlineStr">
        <is>
          <t>2 Días</t>
        </is>
      </c>
    </row>
    <row r="13">
      <c r="A13" t="n">
        <v>745</v>
      </c>
      <c r="B13" t="n">
        <v>1477</v>
      </c>
      <c r="C13" t="inlineStr">
        <is>
          <t>BELLTECH</t>
        </is>
      </c>
      <c r="D13" t="inlineStr">
        <is>
          <t>Multifuncional</t>
        </is>
      </c>
      <c r="E13" t="inlineStr">
        <is>
          <t>MALLPLAZA CALI</t>
        </is>
      </c>
      <c r="F13" t="inlineStr">
        <is>
          <t>Hector Mario Rendon Ocampo</t>
        </is>
      </c>
      <c r="G13" t="inlineStr">
        <is>
          <t>MCORRALE</t>
        </is>
      </c>
      <c r="H13" s="3" t="n">
        <v>46091</v>
      </c>
    </row>
    <row r="14">
      <c r="A14" t="n">
        <v>377</v>
      </c>
      <c r="B14" t="n">
        <v>1508</v>
      </c>
      <c r="C14" t="inlineStr">
        <is>
          <t>DIEBOLD</t>
        </is>
      </c>
      <c r="D14" t="inlineStr">
        <is>
          <t>Multifuncional</t>
        </is>
      </c>
      <c r="E14" t="inlineStr">
        <is>
          <t>AVENTURA CENTRO COMERCIAL</t>
        </is>
      </c>
      <c r="F14" t="inlineStr">
        <is>
          <t>Katherine Zapata Cano</t>
        </is>
      </c>
      <c r="G14" t="inlineStr">
        <is>
          <t>CAALJARA</t>
        </is>
      </c>
      <c r="H14" s="3" t="n">
        <v>46086</v>
      </c>
    </row>
    <row r="15">
      <c r="A15" t="n">
        <v>692</v>
      </c>
      <c r="B15" t="n">
        <v>1515</v>
      </c>
      <c r="C15" t="inlineStr">
        <is>
          <t>BELLTECH</t>
        </is>
      </c>
      <c r="D15" t="inlineStr">
        <is>
          <t>Multifuncional</t>
        </is>
      </c>
      <c r="E15" t="inlineStr">
        <is>
          <t>ALTO PRADO</t>
        </is>
      </c>
      <c r="F15" t="inlineStr">
        <is>
          <t>Maria Teresa Chaves Ahumada</t>
        </is>
      </c>
      <c r="G15" t="inlineStr">
        <is>
          <t>FLOZANO</t>
        </is>
      </c>
      <c r="H15" s="3" t="n">
        <v>46091</v>
      </c>
      <c r="K15" t="inlineStr">
        <is>
          <t>NUEVO, DESDE EL 7 DE ENERO</t>
        </is>
      </c>
    </row>
    <row r="16">
      <c r="A16" t="n">
        <v>692</v>
      </c>
      <c r="B16" t="n">
        <v>1516</v>
      </c>
      <c r="C16" t="inlineStr">
        <is>
          <t>BELLTECH</t>
        </is>
      </c>
      <c r="D16" t="inlineStr">
        <is>
          <t>Multifuncional</t>
        </is>
      </c>
      <c r="E16" t="inlineStr">
        <is>
          <t>ALTO PRADO</t>
        </is>
      </c>
      <c r="F16" t="inlineStr">
        <is>
          <t>Maria Teresa Chaves Ahumada</t>
        </is>
      </c>
      <c r="G16" t="inlineStr">
        <is>
          <t>FLOZANO</t>
        </is>
      </c>
      <c r="H16" s="3" t="n">
        <v>46091</v>
      </c>
      <c r="K16" t="inlineStr">
        <is>
          <t>NUEVO, DESDE EL 7 DE ENERO</t>
        </is>
      </c>
    </row>
    <row r="17">
      <c r="A17" t="n">
        <v>395</v>
      </c>
      <c r="B17" t="n">
        <v>1528</v>
      </c>
      <c r="C17" t="inlineStr">
        <is>
          <t>BELLTECH</t>
        </is>
      </c>
      <c r="D17" t="inlineStr">
        <is>
          <t>Multifuncional</t>
        </is>
      </c>
      <c r="E17" t="inlineStr">
        <is>
          <t>VIVA VILLAVICENCIO</t>
        </is>
      </c>
      <c r="F17" t="inlineStr">
        <is>
          <t>Juan Felipe Russi Gamboa</t>
        </is>
      </c>
      <c r="G17" t="inlineStr">
        <is>
          <t>LJROMERO</t>
        </is>
      </c>
      <c r="H17" s="3" t="n">
        <v>46091</v>
      </c>
      <c r="I17" t="inlineStr">
        <is>
          <t>2 Días</t>
        </is>
      </c>
    </row>
    <row r="18">
      <c r="A18" t="n">
        <v>395</v>
      </c>
      <c r="B18" t="n">
        <v>1529</v>
      </c>
      <c r="C18" t="inlineStr">
        <is>
          <t>BELLTECH</t>
        </is>
      </c>
      <c r="D18" t="inlineStr">
        <is>
          <t>Multifuncional</t>
        </is>
      </c>
      <c r="E18" t="inlineStr">
        <is>
          <t>VIVA VILLAVICENCIO</t>
        </is>
      </c>
      <c r="F18" t="inlineStr">
        <is>
          <t>Juan Felipe Russi Gamboa</t>
        </is>
      </c>
      <c r="G18" t="inlineStr">
        <is>
          <t>LJROMERO</t>
        </is>
      </c>
      <c r="H18" s="3" t="n">
        <v>46091</v>
      </c>
      <c r="I18" t="inlineStr">
        <is>
          <t>2 Días</t>
        </is>
      </c>
    </row>
    <row r="19">
      <c r="A19" t="n">
        <v>141</v>
      </c>
      <c r="B19" t="n">
        <v>1541</v>
      </c>
      <c r="C19" t="inlineStr">
        <is>
          <t>BELLTECH</t>
        </is>
      </c>
      <c r="D19" t="inlineStr">
        <is>
          <t>Multifuncional</t>
        </is>
      </c>
      <c r="E19" t="inlineStr">
        <is>
          <t>MERCANTIL</t>
        </is>
      </c>
      <c r="F19" t="inlineStr">
        <is>
          <t>Victoria Eugenia Guaqueta Murcia</t>
        </is>
      </c>
      <c r="G19" t="inlineStr">
        <is>
          <t>DICARDEN</t>
        </is>
      </c>
      <c r="H19" s="3" t="n">
        <v>46099</v>
      </c>
    </row>
    <row r="20">
      <c r="A20" t="n">
        <v>438</v>
      </c>
      <c r="B20" t="n">
        <v>1565</v>
      </c>
      <c r="C20" t="inlineStr">
        <is>
          <t>BELLTECH</t>
        </is>
      </c>
      <c r="D20" t="inlineStr">
        <is>
          <t>Multifuncional</t>
        </is>
      </c>
      <c r="E20" t="inlineStr">
        <is>
          <t>ANDES</t>
        </is>
      </c>
      <c r="F20" t="inlineStr">
        <is>
          <t>Sandra Milena Cardona Franco</t>
        </is>
      </c>
      <c r="G20" t="inlineStr">
        <is>
          <t>JOGRESTR</t>
        </is>
      </c>
      <c r="H20" s="3" t="n">
        <v>46100</v>
      </c>
    </row>
    <row r="21">
      <c r="A21" t="n">
        <v>944</v>
      </c>
      <c r="B21" t="n">
        <v>2228</v>
      </c>
      <c r="C21" t="inlineStr">
        <is>
          <t>BELLTECH</t>
        </is>
      </c>
      <c r="D21" t="inlineStr">
        <is>
          <t>Multifuncional</t>
        </is>
      </c>
      <c r="E21" t="inlineStr">
        <is>
          <t>CENTRO COMERCIAL SANTAFE</t>
        </is>
      </c>
      <c r="F21" t="inlineStr">
        <is>
          <t>Nidya Marcela Poveda Sanchez</t>
        </is>
      </c>
      <c r="G21" t="inlineStr">
        <is>
          <t>SBOHORQU</t>
        </is>
      </c>
      <c r="H21" s="3" t="n">
        <v>46098</v>
      </c>
      <c r="K21" t="inlineStr">
        <is>
          <t>9 Julio consola</t>
        </is>
      </c>
    </row>
    <row r="22">
      <c r="A22" t="n">
        <v>108</v>
      </c>
      <c r="B22" t="n">
        <v>2254</v>
      </c>
      <c r="C22" t="inlineStr">
        <is>
          <t>DIEBOLD</t>
        </is>
      </c>
      <c r="D22" t="inlineStr">
        <is>
          <t>Multifuncional</t>
        </is>
      </c>
      <c r="E22" t="inlineStr">
        <is>
          <t>PLAZA DE LAS AMERICAS</t>
        </is>
      </c>
      <c r="F22" t="inlineStr">
        <is>
          <t>Samuel Alexander Mendez Suarez</t>
        </is>
      </c>
      <c r="G22" t="inlineStr">
        <is>
          <t>SMALVARA</t>
        </is>
      </c>
      <c r="H22" s="3" t="n">
        <v>46099</v>
      </c>
    </row>
    <row r="23">
      <c r="A23" t="n">
        <v>322</v>
      </c>
      <c r="B23" t="n">
        <v>2444</v>
      </c>
      <c r="C23" t="inlineStr">
        <is>
          <t>BELLTECH</t>
        </is>
      </c>
      <c r="D23" t="inlineStr">
        <is>
          <t>Multifuncional</t>
        </is>
      </c>
      <c r="E23" t="inlineStr">
        <is>
          <t>SAN GIL</t>
        </is>
      </c>
      <c r="F23" t="inlineStr">
        <is>
          <t>Frank William Castillo Leal</t>
        </is>
      </c>
      <c r="G23" t="inlineStr">
        <is>
          <t>CARLBALL</t>
        </is>
      </c>
      <c r="H23" s="3" t="n">
        <v>46093</v>
      </c>
    </row>
    <row r="24">
      <c r="A24" t="n">
        <v>907</v>
      </c>
      <c r="B24" t="n">
        <v>4830</v>
      </c>
      <c r="C24" t="inlineStr">
        <is>
          <t>BELLTECH</t>
        </is>
      </c>
      <c r="D24" t="inlineStr">
        <is>
          <t>Multifuncional</t>
        </is>
      </c>
      <c r="E24" t="inlineStr">
        <is>
          <t>LA FRONTERA</t>
        </is>
      </c>
      <c r="F24" t="inlineStr">
        <is>
          <t>Natalia Zuluaga Rodriguez</t>
        </is>
      </c>
      <c r="G24" t="inlineStr">
        <is>
          <t>MARIADAG</t>
        </is>
      </c>
      <c r="H24" s="3" t="n">
        <v>46093</v>
      </c>
      <c r="K24" t="inlineStr">
        <is>
          <t>Nuevo 24 Junio</t>
        </is>
      </c>
    </row>
    <row r="25">
      <c r="A25" t="n">
        <v>5</v>
      </c>
      <c r="B25" t="n">
        <v>4866</v>
      </c>
      <c r="C25" t="inlineStr">
        <is>
          <t>DIEBOLD</t>
        </is>
      </c>
      <c r="D25" t="inlineStr">
        <is>
          <t>Multifuncional</t>
        </is>
      </c>
      <c r="E25" t="inlineStr">
        <is>
          <t>ATM MF SUCAVENIDA EL POBLADO 1</t>
        </is>
      </c>
      <c r="F25" t="inlineStr">
        <is>
          <t>Natalia Zuluaga Rodriguez</t>
        </is>
      </c>
      <c r="G25" t="inlineStr">
        <is>
          <t>PCVARGAS</t>
        </is>
      </c>
      <c r="H25" s="3" t="n">
        <v>46099</v>
      </c>
      <c r="K25" t="inlineStr">
        <is>
          <t>Nuevo 26 de agosto, Sin servicio</t>
        </is>
      </c>
    </row>
    <row r="26">
      <c r="A26" t="n">
        <v>777</v>
      </c>
      <c r="B26" t="n">
        <v>4868</v>
      </c>
      <c r="C26" t="inlineStr">
        <is>
          <t>DIEBOLD</t>
        </is>
      </c>
      <c r="D26" t="inlineStr">
        <is>
          <t>Multifuncional</t>
        </is>
      </c>
      <c r="E26" t="inlineStr">
        <is>
          <t>PARQUE WASHINGTON</t>
        </is>
      </c>
      <c r="F26" t="inlineStr">
        <is>
          <t>Maria Teresa Chaves Ahumada</t>
        </is>
      </c>
      <c r="G26" t="inlineStr">
        <is>
          <t>FRICAURT</t>
        </is>
      </c>
      <c r="H26" s="3" t="n">
        <v>46092</v>
      </c>
      <c r="K26" t="inlineStr">
        <is>
          <t>Provisionar con 9 millones y el cajero no funcionó</t>
        </is>
      </c>
    </row>
    <row r="27">
      <c r="A27" t="n">
        <v>1</v>
      </c>
      <c r="B27" t="n">
        <v>5000</v>
      </c>
      <c r="C27" t="inlineStr">
        <is>
          <t>BELLTECH</t>
        </is>
      </c>
      <c r="D27" t="inlineStr">
        <is>
          <t>Multifuncional</t>
        </is>
      </c>
      <c r="E27" t="inlineStr">
        <is>
          <t>CARABOBO</t>
        </is>
      </c>
      <c r="F27" t="inlineStr">
        <is>
          <t>Katherine Zapata Cano</t>
        </is>
      </c>
      <c r="G27" t="inlineStr">
        <is>
          <t>FLLOPEZ</t>
        </is>
      </c>
      <c r="H27" s="3" t="n">
        <v>46086</v>
      </c>
    </row>
    <row r="28">
      <c r="A28" t="n">
        <v>6</v>
      </c>
      <c r="B28" t="n">
        <v>5001</v>
      </c>
      <c r="C28" t="inlineStr">
        <is>
          <t>BELLTECH</t>
        </is>
      </c>
      <c r="D28" t="inlineStr">
        <is>
          <t>Multifuncional</t>
        </is>
      </c>
      <c r="E28" t="inlineStr">
        <is>
          <t>AVENIDA JUNIN</t>
        </is>
      </c>
      <c r="F28" t="inlineStr">
        <is>
          <t>Katherine Zapata Cano</t>
        </is>
      </c>
      <c r="G28" t="inlineStr">
        <is>
          <t>DJMONTOY</t>
        </is>
      </c>
      <c r="H28" s="3" t="n">
        <v>46086</v>
      </c>
      <c r="I28" t="inlineStr">
        <is>
          <t>2 Días</t>
        </is>
      </c>
    </row>
    <row r="29">
      <c r="A29" t="n">
        <v>59</v>
      </c>
      <c r="B29" t="n">
        <v>5002</v>
      </c>
      <c r="C29" t="inlineStr">
        <is>
          <t>BELLTECH</t>
        </is>
      </c>
      <c r="D29" t="inlineStr">
        <is>
          <t>Multifuncional</t>
        </is>
      </c>
      <c r="E29" t="inlineStr">
        <is>
          <t>AVENIDA SANTANDER</t>
        </is>
      </c>
      <c r="F29" t="inlineStr">
        <is>
          <t>Sergio Arias Pelaez</t>
        </is>
      </c>
      <c r="G29" t="inlineStr">
        <is>
          <t>CVALASQU</t>
        </is>
      </c>
      <c r="H29" s="3" t="n">
        <v>46100</v>
      </c>
    </row>
    <row r="30">
      <c r="A30" t="n">
        <v>361</v>
      </c>
      <c r="B30" t="n">
        <v>5005</v>
      </c>
      <c r="C30" t="inlineStr">
        <is>
          <t>BELLTECH</t>
        </is>
      </c>
      <c r="D30" t="inlineStr">
        <is>
          <t>Multifuncional</t>
        </is>
      </c>
      <c r="E30" t="inlineStr">
        <is>
          <t>CENTRO DE PAGOS FONTIBON</t>
        </is>
      </c>
      <c r="F30" t="inlineStr">
        <is>
          <t>Fabio Orlando Bosa Poveda</t>
        </is>
      </c>
      <c r="G30" t="inlineStr">
        <is>
          <t>jaolarte</t>
        </is>
      </c>
      <c r="H30" s="3" t="n">
        <v>46092</v>
      </c>
    </row>
    <row r="31">
      <c r="A31" t="n">
        <v>777</v>
      </c>
      <c r="B31" t="n">
        <v>5009</v>
      </c>
      <c r="C31" t="inlineStr">
        <is>
          <t>BELLTECH</t>
        </is>
      </c>
      <c r="D31" t="inlineStr">
        <is>
          <t>Multifuncional</t>
        </is>
      </c>
      <c r="E31" t="inlineStr">
        <is>
          <t>PARQUE WASHINGTON</t>
        </is>
      </c>
      <c r="F31" t="inlineStr">
        <is>
          <t>Maria Teresa Chaves Ahumada</t>
        </is>
      </c>
      <c r="G31" t="inlineStr">
        <is>
          <t>FRICAURT</t>
        </is>
      </c>
      <c r="H31" s="3" t="n">
        <v>46092</v>
      </c>
    </row>
    <row r="32">
      <c r="A32" t="n">
        <v>779</v>
      </c>
      <c r="B32" t="n">
        <v>5013</v>
      </c>
      <c r="C32" t="inlineStr">
        <is>
          <t>BELLTECH</t>
        </is>
      </c>
      <c r="D32" t="inlineStr">
        <is>
          <t>Multifuncional</t>
        </is>
      </c>
      <c r="E32" t="inlineStr">
        <is>
          <t>BUENAVISTA SANTA MARTA</t>
        </is>
      </c>
      <c r="F32" t="inlineStr">
        <is>
          <t>Alicia Minerva Fontalvo Reales</t>
        </is>
      </c>
      <c r="G32" t="inlineStr">
        <is>
          <t>MAVERGAR</t>
        </is>
      </c>
      <c r="H32" s="3" t="n">
        <v>46100</v>
      </c>
    </row>
    <row r="33">
      <c r="A33" t="n">
        <v>907</v>
      </c>
      <c r="B33" t="n">
        <v>5019</v>
      </c>
      <c r="C33" t="inlineStr">
        <is>
          <t>BELLTECH</t>
        </is>
      </c>
      <c r="D33" t="inlineStr">
        <is>
          <t>Multifuncional</t>
        </is>
      </c>
      <c r="E33" t="inlineStr">
        <is>
          <t>LA FRONTERA</t>
        </is>
      </c>
      <c r="F33" t="inlineStr">
        <is>
          <t>Natalia Zuluaga Rodriguez</t>
        </is>
      </c>
      <c r="G33" t="inlineStr">
        <is>
          <t>MARIADAG</t>
        </is>
      </c>
      <c r="H33" s="3" t="n">
        <v>46093</v>
      </c>
    </row>
    <row r="34">
      <c r="A34" t="n">
        <v>882</v>
      </c>
      <c r="B34" t="n">
        <v>5020</v>
      </c>
      <c r="C34" t="inlineStr">
        <is>
          <t>BELLTECH</t>
        </is>
      </c>
      <c r="D34" t="inlineStr">
        <is>
          <t>Multifuncional</t>
        </is>
      </c>
      <c r="E34" t="inlineStr">
        <is>
          <t>LIBERTADORES</t>
        </is>
      </c>
      <c r="F34" t="inlineStr">
        <is>
          <t>Yury Yaquelin Daza Congo</t>
        </is>
      </c>
      <c r="G34" t="inlineStr">
        <is>
          <t>YPARRA</t>
        </is>
      </c>
      <c r="H34" s="3" t="n">
        <v>46093</v>
      </c>
      <c r="I34" t="inlineStr">
        <is>
          <t>2 Días</t>
        </is>
      </c>
    </row>
    <row r="35">
      <c r="A35" t="n">
        <v>277</v>
      </c>
      <c r="B35" t="n">
        <v>5021</v>
      </c>
      <c r="C35" t="inlineStr">
        <is>
          <t>BELLTECH</t>
        </is>
      </c>
      <c r="D35" t="inlineStr">
        <is>
          <t>Multifuncional</t>
        </is>
      </c>
      <c r="E35" t="inlineStr">
        <is>
          <t>CENTRO COMERCIAL MAYORCA</t>
        </is>
      </c>
      <c r="F35" t="inlineStr">
        <is>
          <t>Sandra Milena Cardona Franco</t>
        </is>
      </c>
      <c r="G35" t="inlineStr">
        <is>
          <t>LMCALZAT</t>
        </is>
      </c>
      <c r="H35" s="3" t="n">
        <v>46092</v>
      </c>
    </row>
    <row r="36">
      <c r="A36" t="n">
        <v>825</v>
      </c>
      <c r="B36" t="n">
        <v>5023</v>
      </c>
      <c r="C36" t="inlineStr">
        <is>
          <t>BELLTECH</t>
        </is>
      </c>
      <c r="D36" t="inlineStr">
        <is>
          <t>Multifuncional</t>
        </is>
      </c>
      <c r="E36" t="inlineStr">
        <is>
          <t>ASTROCENTRO</t>
        </is>
      </c>
      <c r="F36" t="inlineStr">
        <is>
          <t>Hector Mario Rendon Ocampo</t>
        </is>
      </c>
      <c r="G36" t="inlineStr">
        <is>
          <t>JHAMAYA</t>
        </is>
      </c>
      <c r="H36" s="3" t="n">
        <v>46086</v>
      </c>
      <c r="I36" t="inlineStr">
        <is>
          <t>2 Días</t>
        </is>
      </c>
    </row>
    <row r="37">
      <c r="A37" t="n">
        <v>32</v>
      </c>
      <c r="B37" t="n">
        <v>5027</v>
      </c>
      <c r="C37" t="inlineStr">
        <is>
          <t>BELLTECH</t>
        </is>
      </c>
      <c r="D37" t="inlineStr">
        <is>
          <t>Multifuncional</t>
        </is>
      </c>
      <c r="E37" t="inlineStr">
        <is>
          <t>ANTIGUO COUNTRY</t>
        </is>
      </c>
      <c r="F37" t="inlineStr">
        <is>
          <t>Kirsys Nadyra Robelto Sanchez</t>
        </is>
      </c>
      <c r="G37" t="inlineStr">
        <is>
          <t>SANDGARC</t>
        </is>
      </c>
      <c r="H37" s="3" t="n">
        <v>46093</v>
      </c>
    </row>
    <row r="38">
      <c r="A38" t="n">
        <v>167</v>
      </c>
      <c r="B38" t="n">
        <v>5030</v>
      </c>
      <c r="C38" t="inlineStr">
        <is>
          <t>BELLTECH</t>
        </is>
      </c>
      <c r="D38" t="inlineStr">
        <is>
          <t>Multifuncional</t>
        </is>
      </c>
      <c r="E38" t="inlineStr">
        <is>
          <t>AVENIDA 82</t>
        </is>
      </c>
      <c r="F38" t="inlineStr">
        <is>
          <t>Kirsys Nadyra Robelto Sanchez</t>
        </is>
      </c>
      <c r="G38" t="inlineStr">
        <is>
          <t>MARIMOSQ</t>
        </is>
      </c>
      <c r="H38" s="3" t="n">
        <v>46092</v>
      </c>
    </row>
    <row r="39">
      <c r="A39" t="n">
        <v>275</v>
      </c>
      <c r="B39" t="n">
        <v>5034</v>
      </c>
      <c r="C39" t="inlineStr">
        <is>
          <t>BELLTECH</t>
        </is>
      </c>
      <c r="D39" t="inlineStr">
        <is>
          <t>Multifuncional</t>
        </is>
      </c>
      <c r="E39" t="inlineStr">
        <is>
          <t>BOULEVAR ENVIGADO</t>
        </is>
      </c>
      <c r="F39" t="inlineStr">
        <is>
          <t>Sandra Milena Cardona Franco</t>
        </is>
      </c>
      <c r="G39" t="inlineStr">
        <is>
          <t>DIBLANDO</t>
        </is>
      </c>
      <c r="H39" s="3" t="n">
        <v>46086</v>
      </c>
    </row>
    <row r="40">
      <c r="A40" t="n">
        <v>81</v>
      </c>
      <c r="B40" t="n">
        <v>5036</v>
      </c>
      <c r="C40" t="inlineStr">
        <is>
          <t>BELLTECH</t>
        </is>
      </c>
      <c r="D40" t="inlineStr">
        <is>
          <t>Multifuncional</t>
        </is>
      </c>
      <c r="E40" t="inlineStr">
        <is>
          <t>AVENIDA KENNEDY</t>
        </is>
      </c>
      <c r="F40" t="inlineStr">
        <is>
          <t>German Alcides Hernandez Vivero</t>
        </is>
      </c>
      <c r="G40" t="inlineStr">
        <is>
          <t>JAMESA</t>
        </is>
      </c>
      <c r="H40" s="3" t="n">
        <v>46091</v>
      </c>
    </row>
    <row r="41">
      <c r="A41" t="n">
        <v>824</v>
      </c>
      <c r="B41" t="n">
        <v>5040</v>
      </c>
      <c r="C41" t="inlineStr">
        <is>
          <t>BELLTECH</t>
        </is>
      </c>
      <c r="D41" t="inlineStr">
        <is>
          <t>Multifuncional</t>
        </is>
      </c>
      <c r="E41" t="inlineStr">
        <is>
          <t>VENTURA PLAZA</t>
        </is>
      </c>
      <c r="F41" t="inlineStr">
        <is>
          <t>Adriana Maritza Angulo Mora</t>
        </is>
      </c>
      <c r="G41" t="inlineStr">
        <is>
          <t>MABAEZ</t>
        </is>
      </c>
      <c r="H41" s="3" t="n">
        <v>46093</v>
      </c>
      <c r="I41" t="inlineStr">
        <is>
          <t>2 Días</t>
        </is>
      </c>
    </row>
    <row r="42">
      <c r="A42" t="n">
        <v>154</v>
      </c>
      <c r="B42" t="n">
        <v>5041</v>
      </c>
      <c r="C42" t="inlineStr">
        <is>
          <t>BELLTECH</t>
        </is>
      </c>
      <c r="D42" t="inlineStr">
        <is>
          <t>Multifuncional</t>
        </is>
      </c>
      <c r="E42" t="inlineStr">
        <is>
          <t>CENTRO MAYOR</t>
        </is>
      </c>
      <c r="F42" t="inlineStr">
        <is>
          <t>Samuel Alexander Mendez Suarez</t>
        </is>
      </c>
      <c r="G42" t="inlineStr">
        <is>
          <t>JBOGOTA</t>
        </is>
      </c>
      <c r="H42" s="3" t="n">
        <v>46091</v>
      </c>
    </row>
    <row r="43">
      <c r="A43" t="n">
        <v>867</v>
      </c>
      <c r="B43" t="n">
        <v>5043</v>
      </c>
      <c r="C43" t="inlineStr">
        <is>
          <t>BELLTECH</t>
        </is>
      </c>
      <c r="D43" t="inlineStr">
        <is>
          <t>Multifuncional</t>
        </is>
      </c>
      <c r="E43" t="inlineStr">
        <is>
          <t>UNICENTRO ARMENIA</t>
        </is>
      </c>
      <c r="F43" t="inlineStr">
        <is>
          <t>John Didier Villegas Martinez</t>
        </is>
      </c>
      <c r="G43" t="inlineStr">
        <is>
          <t>DIOSPINA</t>
        </is>
      </c>
      <c r="H43" s="3" t="n">
        <v>46099</v>
      </c>
      <c r="I43" t="inlineStr">
        <is>
          <t>2 Días</t>
        </is>
      </c>
    </row>
    <row r="44">
      <c r="A44" t="n">
        <v>879</v>
      </c>
      <c r="B44" t="n">
        <v>5045</v>
      </c>
      <c r="C44" t="inlineStr">
        <is>
          <t>BELLTECH</t>
        </is>
      </c>
      <c r="D44" t="inlineStr">
        <is>
          <t>Multifuncional</t>
        </is>
      </c>
      <c r="E44" t="inlineStr">
        <is>
          <t>UNICENTRO PASTO</t>
        </is>
      </c>
      <c r="F44" t="inlineStr">
        <is>
          <t>Norma Constanza Barrera Pabon</t>
        </is>
      </c>
      <c r="G44" t="inlineStr">
        <is>
          <t>AGUEVARA</t>
        </is>
      </c>
      <c r="H44" s="3" t="n">
        <v>46093</v>
      </c>
    </row>
    <row r="45">
      <c r="A45" t="n">
        <v>723</v>
      </c>
      <c r="B45" t="n">
        <v>5046</v>
      </c>
      <c r="C45" t="inlineStr">
        <is>
          <t>BELLTECH</t>
        </is>
      </c>
      <c r="D45" t="inlineStr">
        <is>
          <t>Multifuncional</t>
        </is>
      </c>
      <c r="E45" t="inlineStr">
        <is>
          <t>PARQUE ARBOLEDA</t>
        </is>
      </c>
      <c r="F45" t="inlineStr">
        <is>
          <t>Sergio Arias Pelaez</t>
        </is>
      </c>
      <c r="G45" t="inlineStr">
        <is>
          <t>LECADAVI</t>
        </is>
      </c>
      <c r="H45" s="3" t="n">
        <v>46098</v>
      </c>
    </row>
    <row r="46">
      <c r="A46" t="n">
        <v>623</v>
      </c>
      <c r="B46" t="n">
        <v>5047</v>
      </c>
      <c r="C46" t="inlineStr">
        <is>
          <t>BELLTECH</t>
        </is>
      </c>
      <c r="D46" t="inlineStr">
        <is>
          <t>Multifuncional</t>
        </is>
      </c>
      <c r="E46" t="inlineStr">
        <is>
          <t>FUNDADORES MANIZALES</t>
        </is>
      </c>
      <c r="F46" t="inlineStr">
        <is>
          <t>Sergio Arias Pelaez</t>
        </is>
      </c>
      <c r="G46" t="inlineStr">
        <is>
          <t>ELIZLOND</t>
        </is>
      </c>
      <c r="H46" s="3" t="n">
        <v>46086</v>
      </c>
    </row>
    <row r="47">
      <c r="A47" t="n">
        <v>261</v>
      </c>
      <c r="B47" t="n">
        <v>5048</v>
      </c>
      <c r="C47" t="inlineStr">
        <is>
          <t>BELLTECH</t>
        </is>
      </c>
      <c r="D47" t="inlineStr">
        <is>
          <t>Multifuncional</t>
        </is>
      </c>
      <c r="E47" t="inlineStr">
        <is>
          <t>CAMPANARIO POPAYAN</t>
        </is>
      </c>
      <c r="F47" t="inlineStr">
        <is>
          <t>Norma Constanza Barrera Pabon</t>
        </is>
      </c>
      <c r="G47" t="inlineStr">
        <is>
          <t>DLASSO</t>
        </is>
      </c>
      <c r="H47" s="3" t="n">
        <v>46093</v>
      </c>
    </row>
    <row r="48">
      <c r="A48" t="n">
        <v>682</v>
      </c>
      <c r="B48" t="n">
        <v>5049</v>
      </c>
      <c r="C48" t="inlineStr">
        <is>
          <t>BELLTECH</t>
        </is>
      </c>
      <c r="D48" t="inlineStr">
        <is>
          <t>Multifuncional</t>
        </is>
      </c>
      <c r="E48" t="inlineStr">
        <is>
          <t>CENTRO COMERCIAL FONTANAR</t>
        </is>
      </c>
      <c r="F48" t="inlineStr">
        <is>
          <t>Nidya Marcela Poveda Sanchez</t>
        </is>
      </c>
      <c r="G48" t="inlineStr">
        <is>
          <t>ANMARODR</t>
        </is>
      </c>
      <c r="H48" s="3" t="n">
        <v>46099</v>
      </c>
    </row>
    <row r="49">
      <c r="A49" t="n">
        <v>852</v>
      </c>
      <c r="B49" t="n">
        <v>5050</v>
      </c>
      <c r="C49" t="inlineStr">
        <is>
          <t>BELLTECH</t>
        </is>
      </c>
      <c r="D49" t="inlineStr">
        <is>
          <t>Multifuncional</t>
        </is>
      </c>
      <c r="E49" t="inlineStr">
        <is>
          <t>VICTORIA PLAZA</t>
        </is>
      </c>
      <c r="F49" t="inlineStr">
        <is>
          <t>Sergio Arias Pelaez</t>
        </is>
      </c>
      <c r="G49" t="inlineStr">
        <is>
          <t>FJESPINO</t>
        </is>
      </c>
      <c r="H49" s="3" t="n">
        <v>46091</v>
      </c>
    </row>
    <row r="50">
      <c r="A50" t="n">
        <v>769</v>
      </c>
      <c r="B50" t="n">
        <v>5051</v>
      </c>
      <c r="C50" t="inlineStr">
        <is>
          <t>BELLTECH</t>
        </is>
      </c>
      <c r="D50" t="inlineStr">
        <is>
          <t>Multifuncional</t>
        </is>
      </c>
      <c r="E50" t="inlineStr">
        <is>
          <t>PORTAL DEL PRADO</t>
        </is>
      </c>
      <c r="F50" t="inlineStr">
        <is>
          <t>German Alcides Hernandez Vivero</t>
        </is>
      </c>
      <c r="G50" t="inlineStr">
        <is>
          <t>CAGUAS</t>
        </is>
      </c>
      <c r="H50" s="3" t="n">
        <v>46086</v>
      </c>
    </row>
    <row r="51">
      <c r="A51" t="n">
        <v>916</v>
      </c>
      <c r="B51" t="n">
        <v>5052</v>
      </c>
      <c r="C51" t="inlineStr">
        <is>
          <t>BELLTECH</t>
        </is>
      </c>
      <c r="D51" t="inlineStr">
        <is>
          <t>Multifuncional</t>
        </is>
      </c>
      <c r="E51" t="inlineStr">
        <is>
          <t>OCEAN MALL</t>
        </is>
      </c>
      <c r="F51" t="inlineStr">
        <is>
          <t>Alicia Minerva Fontalvo Reales</t>
        </is>
      </c>
      <c r="G51" t="inlineStr">
        <is>
          <t>SDELOS</t>
        </is>
      </c>
      <c r="H51" s="3" t="n">
        <v>46093</v>
      </c>
    </row>
    <row r="52">
      <c r="A52" t="n">
        <v>517</v>
      </c>
      <c r="B52" t="n">
        <v>5053</v>
      </c>
      <c r="C52" t="inlineStr">
        <is>
          <t>BELLTECH</t>
        </is>
      </c>
      <c r="D52" t="inlineStr">
        <is>
          <t>Multifuncional</t>
        </is>
      </c>
      <c r="E52" t="inlineStr">
        <is>
          <t>EL RODADERO</t>
        </is>
      </c>
      <c r="F52" t="inlineStr">
        <is>
          <t>Alicia Minerva Fontalvo Reales</t>
        </is>
      </c>
      <c r="G52" t="inlineStr">
        <is>
          <t>JFONTALV</t>
        </is>
      </c>
      <c r="H52" s="3" t="n">
        <v>46092</v>
      </c>
    </row>
    <row r="53">
      <c r="A53" t="n">
        <v>781</v>
      </c>
      <c r="B53" t="n">
        <v>5057</v>
      </c>
      <c r="C53" t="inlineStr">
        <is>
          <t>BELLTECH</t>
        </is>
      </c>
      <c r="D53" t="inlineStr">
        <is>
          <t>Multifuncional</t>
        </is>
      </c>
      <c r="E53" t="inlineStr">
        <is>
          <t>PRADO PLAZA</t>
        </is>
      </c>
      <c r="F53" t="inlineStr">
        <is>
          <t>Alicia Minerva Fontalvo Reales</t>
        </is>
      </c>
      <c r="G53" t="inlineStr">
        <is>
          <t>ANACAMAC</t>
        </is>
      </c>
      <c r="H53" s="3" t="n">
        <v>46100</v>
      </c>
    </row>
    <row r="54">
      <c r="A54" t="n">
        <v>7</v>
      </c>
      <c r="B54" t="n">
        <v>5059</v>
      </c>
      <c r="C54" t="inlineStr">
        <is>
          <t>BELLTECH</t>
        </is>
      </c>
      <c r="D54" t="inlineStr">
        <is>
          <t>Multifuncional</t>
        </is>
      </c>
      <c r="E54" t="inlineStr">
        <is>
          <t>LOS MOLINOS</t>
        </is>
      </c>
      <c r="F54" t="inlineStr">
        <is>
          <t>Ana Maria Echavarria Gonzalez</t>
        </is>
      </c>
      <c r="G54" t="inlineStr">
        <is>
          <t>PATOBONO</t>
        </is>
      </c>
      <c r="H54" s="3" t="n">
        <v>46091</v>
      </c>
    </row>
    <row r="55">
      <c r="A55" t="n">
        <v>392</v>
      </c>
      <c r="B55" t="n">
        <v>5064</v>
      </c>
      <c r="C55" t="inlineStr">
        <is>
          <t>BELLTECH</t>
        </is>
      </c>
      <c r="D55" t="inlineStr">
        <is>
          <t>Multifuncional</t>
        </is>
      </c>
      <c r="E55" t="inlineStr">
        <is>
          <t>LA DORADA</t>
        </is>
      </c>
      <c r="F55" t="inlineStr">
        <is>
          <t>Juan Fernando Alzate Valencia</t>
        </is>
      </c>
      <c r="G55" t="inlineStr">
        <is>
          <t>ADMMARRO</t>
        </is>
      </c>
      <c r="H55" s="3" t="n">
        <v>46100</v>
      </c>
    </row>
    <row r="56">
      <c r="A56" t="n">
        <v>24</v>
      </c>
      <c r="B56" t="n">
        <v>5066</v>
      </c>
      <c r="C56" t="inlineStr">
        <is>
          <t>BELLTECH</t>
        </is>
      </c>
      <c r="D56" t="inlineStr">
        <is>
          <t>Multifuncional</t>
        </is>
      </c>
      <c r="E56" t="inlineStr">
        <is>
          <t>RIONEGRO</t>
        </is>
      </c>
      <c r="F56" t="inlineStr">
        <is>
          <t>Juan Fernando Alzate Valencia</t>
        </is>
      </c>
      <c r="G56" t="inlineStr">
        <is>
          <t>GCARMONA</t>
        </is>
      </c>
      <c r="H56" s="3" t="n">
        <v>46093</v>
      </c>
    </row>
    <row r="57">
      <c r="A57" t="n">
        <v>211</v>
      </c>
      <c r="B57" t="n">
        <v>5067</v>
      </c>
      <c r="C57" t="inlineStr">
        <is>
          <t>BELLTECH</t>
        </is>
      </c>
      <c r="D57" t="inlineStr">
        <is>
          <t>Multifuncional</t>
        </is>
      </c>
      <c r="E57" t="inlineStr">
        <is>
          <t>CENTRO INDUSTRIAL</t>
        </is>
      </c>
      <c r="F57" t="inlineStr">
        <is>
          <t>Samuel Alexander Mendez Suarez</t>
        </is>
      </c>
      <c r="G57" t="inlineStr">
        <is>
          <t>XNORTIZ</t>
        </is>
      </c>
      <c r="H57" s="3" t="n">
        <v>46099</v>
      </c>
    </row>
    <row r="58">
      <c r="A58" t="n">
        <v>652</v>
      </c>
      <c r="B58" t="n">
        <v>5070</v>
      </c>
      <c r="C58" t="inlineStr">
        <is>
          <t>BELLTECH</t>
        </is>
      </c>
      <c r="D58" t="inlineStr">
        <is>
          <t>Multifuncional</t>
        </is>
      </c>
      <c r="E58" t="inlineStr">
        <is>
          <t>CHICO 94</t>
        </is>
      </c>
      <c r="F58" t="inlineStr">
        <is>
          <t>Kirsys Nadyra Robelto Sanchez</t>
        </is>
      </c>
      <c r="G58" t="inlineStr">
        <is>
          <t>OBARRERO</t>
        </is>
      </c>
      <c r="H58" s="3" t="n">
        <v>46093</v>
      </c>
    </row>
    <row r="59">
      <c r="A59" t="n">
        <v>333</v>
      </c>
      <c r="B59" t="n">
        <v>5076</v>
      </c>
      <c r="C59" t="inlineStr">
        <is>
          <t>BELLTECH</t>
        </is>
      </c>
      <c r="D59" t="inlineStr">
        <is>
          <t>Multifuncional</t>
        </is>
      </c>
      <c r="E59" t="inlineStr">
        <is>
          <t>SABANETA AVES MARIA</t>
        </is>
      </c>
      <c r="F59" t="inlineStr">
        <is>
          <t>Sandra Milena Cardona Franco</t>
        </is>
      </c>
      <c r="G59" t="inlineStr">
        <is>
          <t>LUCRAMIR</t>
        </is>
      </c>
      <c r="H59" s="3" t="n">
        <v>46086</v>
      </c>
    </row>
    <row r="60">
      <c r="A60" t="n">
        <v>419</v>
      </c>
      <c r="B60" t="n">
        <v>5077</v>
      </c>
      <c r="C60" t="inlineStr">
        <is>
          <t>BELLTECH</t>
        </is>
      </c>
      <c r="D60" t="inlineStr">
        <is>
          <t>Multifuncional</t>
        </is>
      </c>
      <c r="E60" t="inlineStr">
        <is>
          <t>CENTRO DE PAGOS UNICENTRO BOGOTA</t>
        </is>
      </c>
      <c r="F60" t="inlineStr">
        <is>
          <t>Camilo Andres Mila Jimenez</t>
        </is>
      </c>
      <c r="G60" t="inlineStr">
        <is>
          <t>MAMPENA</t>
        </is>
      </c>
      <c r="H60" s="3" t="n">
        <v>46091</v>
      </c>
    </row>
    <row r="61">
      <c r="A61" t="n">
        <v>19</v>
      </c>
      <c r="B61" t="n">
        <v>5078</v>
      </c>
      <c r="C61" t="inlineStr">
        <is>
          <t>BELLTECH</t>
        </is>
      </c>
      <c r="D61" t="inlineStr">
        <is>
          <t>Multifuncional</t>
        </is>
      </c>
      <c r="E61" t="inlineStr">
        <is>
          <t>ENVIGADO</t>
        </is>
      </c>
      <c r="F61" t="inlineStr">
        <is>
          <t>Sandra Milena Cardona Franco</t>
        </is>
      </c>
      <c r="G61" t="inlineStr">
        <is>
          <t>NILSIERR</t>
        </is>
      </c>
      <c r="H61" s="3" t="n">
        <v>46092</v>
      </c>
    </row>
    <row r="62">
      <c r="A62" t="n">
        <v>8</v>
      </c>
      <c r="B62" t="n">
        <v>5079</v>
      </c>
      <c r="C62" t="inlineStr">
        <is>
          <t>BELLTECH</t>
        </is>
      </c>
      <c r="D62" t="inlineStr">
        <is>
          <t>Multifuncional</t>
        </is>
      </c>
      <c r="E62" t="inlineStr">
        <is>
          <t>LA PLAYA</t>
        </is>
      </c>
      <c r="F62" t="inlineStr">
        <is>
          <t>Katherine Zapata Cano</t>
        </is>
      </c>
      <c r="G62" t="inlineStr">
        <is>
          <t>OGUARDO</t>
        </is>
      </c>
      <c r="H62" s="3" t="n">
        <v>46099</v>
      </c>
    </row>
    <row r="63">
      <c r="A63" t="n">
        <v>115</v>
      </c>
      <c r="B63" t="n">
        <v>5080</v>
      </c>
      <c r="C63" t="inlineStr">
        <is>
          <t>BELLTECH</t>
        </is>
      </c>
      <c r="D63" t="inlineStr">
        <is>
          <t>Multifuncional</t>
        </is>
      </c>
      <c r="E63" t="inlineStr">
        <is>
          <t>CIRCUNVALAR PEREIRA</t>
        </is>
      </c>
      <c r="F63" t="inlineStr">
        <is>
          <t>Sergio Arias Pelaez</t>
        </is>
      </c>
      <c r="G63" t="inlineStr">
        <is>
          <t>LUAGIRAL</t>
        </is>
      </c>
      <c r="H63" s="3" t="n">
        <v>46092</v>
      </c>
    </row>
    <row r="64">
      <c r="A64" t="n">
        <v>486</v>
      </c>
      <c r="B64" t="n">
        <v>5081</v>
      </c>
      <c r="C64" t="inlineStr">
        <is>
          <t>BELLTECH</t>
        </is>
      </c>
      <c r="D64" t="inlineStr">
        <is>
          <t>Multifuncional</t>
        </is>
      </c>
      <c r="E64" t="inlineStr">
        <is>
          <t>SAN NICOLAS BARRANQUILLA</t>
        </is>
      </c>
      <c r="F64" t="inlineStr">
        <is>
          <t>German Alcides Hernandez Vivero</t>
        </is>
      </c>
      <c r="G64" t="inlineStr">
        <is>
          <t>JULOROZC</t>
        </is>
      </c>
      <c r="H64" s="3" t="n">
        <v>46099</v>
      </c>
      <c r="K64" t="inlineStr">
        <is>
          <t>El cajero esta fuera de servicio, la oficina estuvo siendo remodelada SIN SERVICIO FEB</t>
        </is>
      </c>
    </row>
    <row r="65">
      <c r="A65" t="n">
        <v>523</v>
      </c>
      <c r="B65" t="n">
        <v>5082</v>
      </c>
      <c r="C65" t="inlineStr">
        <is>
          <t>BELLTECH</t>
        </is>
      </c>
      <c r="D65" t="inlineStr">
        <is>
          <t>Multifuncional</t>
        </is>
      </c>
      <c r="E65" t="inlineStr">
        <is>
          <t>OLIMPICA</t>
        </is>
      </c>
      <c r="F65" t="inlineStr">
        <is>
          <t>Alicia Minerva Fontalvo Reales</t>
        </is>
      </c>
      <c r="G65" t="inlineStr">
        <is>
          <t>ACUJIA</t>
        </is>
      </c>
      <c r="H65" s="3" t="n">
        <v>46091</v>
      </c>
    </row>
    <row r="66">
      <c r="A66" t="n">
        <v>265</v>
      </c>
      <c r="B66" t="n">
        <v>5083</v>
      </c>
      <c r="C66" t="inlineStr">
        <is>
          <t>BELLTECH</t>
        </is>
      </c>
      <c r="D66" t="inlineStr">
        <is>
          <t>Multifuncional</t>
        </is>
      </c>
      <c r="E66" t="inlineStr">
        <is>
          <t>VALLE DEL LILI</t>
        </is>
      </c>
      <c r="F66" t="inlineStr">
        <is>
          <t>Hector Mario Rendon Ocampo</t>
        </is>
      </c>
      <c r="G66" t="inlineStr">
        <is>
          <t>MADHERNA</t>
        </is>
      </c>
      <c r="H66" s="3" t="n">
        <v>46093</v>
      </c>
    </row>
    <row r="67">
      <c r="A67" t="n">
        <v>197</v>
      </c>
      <c r="B67" t="n">
        <v>5084</v>
      </c>
      <c r="C67" t="inlineStr">
        <is>
          <t>BELLTECH</t>
        </is>
      </c>
      <c r="D67" t="inlineStr">
        <is>
          <t>Multifuncional</t>
        </is>
      </c>
      <c r="E67" t="inlineStr">
        <is>
          <t>GUATAPURI</t>
        </is>
      </c>
      <c r="F67" t="inlineStr">
        <is>
          <t>Alicia Minerva Fontalvo Reales</t>
        </is>
      </c>
      <c r="G67" t="inlineStr">
        <is>
          <t>MCAMACHO</t>
        </is>
      </c>
      <c r="H67" s="3" t="n">
        <v>46093</v>
      </c>
    </row>
    <row r="68">
      <c r="A68" t="n">
        <v>634</v>
      </c>
      <c r="B68" t="n">
        <v>5087</v>
      </c>
      <c r="C68" t="inlineStr">
        <is>
          <t>BELLTECH</t>
        </is>
      </c>
      <c r="D68" t="inlineStr">
        <is>
          <t>Multifuncional</t>
        </is>
      </c>
      <c r="E68" t="inlineStr">
        <is>
          <t>AVENIDA 127</t>
        </is>
      </c>
      <c r="F68" t="inlineStr">
        <is>
          <t>Camilo Andres Mila Jimenez</t>
        </is>
      </c>
      <c r="G68" t="inlineStr">
        <is>
          <t>AMSCABEZ</t>
        </is>
      </c>
      <c r="H68" s="3" t="n">
        <v>46086</v>
      </c>
    </row>
    <row r="69">
      <c r="A69" t="n">
        <v>659</v>
      </c>
      <c r="B69" t="n">
        <v>5102</v>
      </c>
      <c r="C69" t="inlineStr">
        <is>
          <t>BELLTECH</t>
        </is>
      </c>
      <c r="D69" t="inlineStr">
        <is>
          <t>Multifuncional</t>
        </is>
      </c>
      <c r="E69" t="inlineStr">
        <is>
          <t>GIRARDOT</t>
        </is>
      </c>
      <c r="F69" t="inlineStr">
        <is>
          <t>Edwin Andres Lievano Orjuela</t>
        </is>
      </c>
      <c r="G69" t="inlineStr">
        <is>
          <t>JCANTOR</t>
        </is>
      </c>
      <c r="H69" s="3" t="n">
        <v>46100</v>
      </c>
    </row>
    <row r="70">
      <c r="A70" t="n">
        <v>656</v>
      </c>
      <c r="B70" t="n">
        <v>5103</v>
      </c>
      <c r="C70" t="inlineStr">
        <is>
          <t>BELLTECH</t>
        </is>
      </c>
      <c r="D70" t="inlineStr">
        <is>
          <t>Multifuncional</t>
        </is>
      </c>
      <c r="E70" t="inlineStr">
        <is>
          <t>MAYALES PLAZA</t>
        </is>
      </c>
      <c r="F70" t="inlineStr">
        <is>
          <t>Alicia Minerva Fontalvo Reales</t>
        </is>
      </c>
      <c r="G70" t="inlineStr">
        <is>
          <t>DVILLARR</t>
        </is>
      </c>
      <c r="H70" s="3" t="n">
        <v>46099</v>
      </c>
    </row>
    <row r="71">
      <c r="A71" t="n">
        <v>430</v>
      </c>
      <c r="B71" t="n">
        <v>5104</v>
      </c>
      <c r="C71" t="inlineStr">
        <is>
          <t>BELLTECH</t>
        </is>
      </c>
      <c r="D71" t="inlineStr">
        <is>
          <t>Multifuncional</t>
        </is>
      </c>
      <c r="E71" t="inlineStr">
        <is>
          <t>ZONA ROSA</t>
        </is>
      </c>
      <c r="F71" t="inlineStr">
        <is>
          <t>Natalia Zuluaga Rodriguez</t>
        </is>
      </c>
      <c r="G71" t="inlineStr">
        <is>
          <t>MARIROME</t>
        </is>
      </c>
      <c r="H71" s="3" t="n">
        <v>46100</v>
      </c>
      <c r="I71" t="inlineStr">
        <is>
          <t>2 Días</t>
        </is>
      </c>
    </row>
    <row r="72">
      <c r="A72" t="n">
        <v>743</v>
      </c>
      <c r="B72" t="n">
        <v>5106</v>
      </c>
      <c r="C72" t="inlineStr">
        <is>
          <t>BELLTECH</t>
        </is>
      </c>
      <c r="D72" t="inlineStr">
        <is>
          <t>Multifuncional</t>
        </is>
      </c>
      <c r="E72" t="inlineStr">
        <is>
          <t>NORTH POINT</t>
        </is>
      </c>
      <c r="F72" t="inlineStr">
        <is>
          <t>Camilo Andres Mila Jimenez</t>
        </is>
      </c>
      <c r="G72" t="inlineStr">
        <is>
          <t>EMMARINO</t>
        </is>
      </c>
      <c r="H72" s="3" t="n">
        <v>46093</v>
      </c>
    </row>
    <row r="73">
      <c r="A73" t="n">
        <v>73</v>
      </c>
      <c r="B73" t="n">
        <v>5108</v>
      </c>
      <c r="C73" t="inlineStr">
        <is>
          <t>BELLTECH</t>
        </is>
      </c>
      <c r="D73" t="inlineStr">
        <is>
          <t>Multifuncional</t>
        </is>
      </c>
      <c r="E73" t="inlineStr">
        <is>
          <t>PEREIRA</t>
        </is>
      </c>
      <c r="F73" t="inlineStr">
        <is>
          <t>Sergio Arias Pelaez</t>
        </is>
      </c>
      <c r="G73" t="inlineStr">
        <is>
          <t>LUFSANCH</t>
        </is>
      </c>
      <c r="H73" s="3" t="n">
        <v>46100</v>
      </c>
    </row>
    <row r="74">
      <c r="A74" t="n">
        <v>88</v>
      </c>
      <c r="B74" t="n">
        <v>5111</v>
      </c>
      <c r="C74" t="inlineStr">
        <is>
          <t>BELLTECH</t>
        </is>
      </c>
      <c r="D74" t="inlineStr">
        <is>
          <t>Multifuncional</t>
        </is>
      </c>
      <c r="E74" t="inlineStr">
        <is>
          <t>CUCUTA</t>
        </is>
      </c>
      <c r="F74" t="inlineStr">
        <is>
          <t>Adriana Maritza Angulo Mora</t>
        </is>
      </c>
      <c r="G74" t="inlineStr">
        <is>
          <t>DRAREVAL</t>
        </is>
      </c>
      <c r="H74" s="3" t="n">
        <v>46093</v>
      </c>
    </row>
    <row r="75">
      <c r="A75" t="n">
        <v>191</v>
      </c>
      <c r="B75" t="n">
        <v>5112</v>
      </c>
      <c r="C75" t="inlineStr">
        <is>
          <t>BELLTECH</t>
        </is>
      </c>
      <c r="D75" t="inlineStr">
        <is>
          <t>Multifuncional</t>
        </is>
      </c>
      <c r="E75" t="inlineStr">
        <is>
          <t>AVENIDA 19</t>
        </is>
      </c>
      <c r="F75" t="inlineStr">
        <is>
          <t>Kirsys Nadyra Robelto Sanchez</t>
        </is>
      </c>
      <c r="G75" t="inlineStr">
        <is>
          <t>LFRAMIRE</t>
        </is>
      </c>
      <c r="H75" s="3" t="n">
        <v>46086</v>
      </c>
    </row>
    <row r="76">
      <c r="A76" t="n">
        <v>291</v>
      </c>
      <c r="B76" t="n">
        <v>5114</v>
      </c>
      <c r="C76" t="inlineStr">
        <is>
          <t>BELLTECH</t>
        </is>
      </c>
      <c r="D76" t="inlineStr">
        <is>
          <t>Multifuncional</t>
        </is>
      </c>
      <c r="E76" t="inlineStr">
        <is>
          <t>LAS PALMAS</t>
        </is>
      </c>
      <c r="F76" t="inlineStr">
        <is>
          <t>Yenis Meybi Fernandez Marin</t>
        </is>
      </c>
      <c r="G76" t="inlineStr">
        <is>
          <t>FVASQUEZ</t>
        </is>
      </c>
      <c r="H76" s="3" t="n">
        <v>46091</v>
      </c>
    </row>
    <row r="77">
      <c r="A77" t="n">
        <v>937</v>
      </c>
      <c r="B77" t="n">
        <v>5115</v>
      </c>
      <c r="C77" t="inlineStr">
        <is>
          <t>BELLTECH</t>
        </is>
      </c>
      <c r="D77" t="inlineStr">
        <is>
          <t>Multifuncional</t>
        </is>
      </c>
      <c r="E77" t="inlineStr">
        <is>
          <t>MODELO POPAYAN</t>
        </is>
      </c>
      <c r="F77" t="inlineStr">
        <is>
          <t>Norma Constanza Barrera Pabon</t>
        </is>
      </c>
      <c r="G77" t="inlineStr">
        <is>
          <t>CAEDMART</t>
        </is>
      </c>
      <c r="H77" s="3" t="n">
        <v>46086</v>
      </c>
    </row>
    <row r="78">
      <c r="A78" t="n">
        <v>292</v>
      </c>
      <c r="B78" t="n">
        <v>5116</v>
      </c>
      <c r="C78" t="inlineStr">
        <is>
          <t>BELLTECH</t>
        </is>
      </c>
      <c r="D78" t="inlineStr">
        <is>
          <t>Multifuncional</t>
        </is>
      </c>
      <c r="E78" t="inlineStr">
        <is>
          <t>CENTRO DE LA CONFECCION</t>
        </is>
      </c>
      <c r="F78" t="inlineStr">
        <is>
          <t>Sandra Milena Cardona Franco</t>
        </is>
      </c>
      <c r="G78" t="inlineStr">
        <is>
          <t>CLFERNAN</t>
        </is>
      </c>
      <c r="H78" s="3" t="n">
        <v>46098</v>
      </c>
    </row>
    <row r="79">
      <c r="A79" t="n">
        <v>789</v>
      </c>
      <c r="B79" t="n">
        <v>5118</v>
      </c>
      <c r="C79" t="inlineStr">
        <is>
          <t>BELLTECH</t>
        </is>
      </c>
      <c r="D79" t="inlineStr">
        <is>
          <t>Multifuncional</t>
        </is>
      </c>
      <c r="E79" t="inlineStr">
        <is>
          <t>MANGA</t>
        </is>
      </c>
      <c r="F79" t="inlineStr">
        <is>
          <t>Didi Alejandra Pareja Medina</t>
        </is>
      </c>
      <c r="G79" t="inlineStr">
        <is>
          <t>RVARELA</t>
        </is>
      </c>
      <c r="H79" s="3" t="n">
        <v>46091</v>
      </c>
    </row>
    <row r="80">
      <c r="A80" t="n">
        <v>511</v>
      </c>
      <c r="B80" t="n">
        <v>5122</v>
      </c>
      <c r="C80" t="inlineStr">
        <is>
          <t>BELLTECH</t>
        </is>
      </c>
      <c r="D80" t="inlineStr">
        <is>
          <t>Multifuncional</t>
        </is>
      </c>
      <c r="E80" t="inlineStr">
        <is>
          <t>PUNTO CLAVE</t>
        </is>
      </c>
      <c r="F80" t="inlineStr">
        <is>
          <t>Juan Fernando Alzate Valencia</t>
        </is>
      </c>
      <c r="G80" t="inlineStr">
        <is>
          <t>MAAREIZA</t>
        </is>
      </c>
      <c r="H80" s="3" t="n">
        <v>46086</v>
      </c>
    </row>
    <row r="81">
      <c r="A81" t="n">
        <v>76</v>
      </c>
      <c r="B81" t="n">
        <v>5126</v>
      </c>
      <c r="C81" t="inlineStr">
        <is>
          <t>BELLTECH</t>
        </is>
      </c>
      <c r="D81" t="inlineStr">
        <is>
          <t>Multifuncional</t>
        </is>
      </c>
      <c r="E81" t="inlineStr">
        <is>
          <t>NEIVA</t>
        </is>
      </c>
      <c r="F81" t="inlineStr">
        <is>
          <t>Astrid Alexandra Quintero Arciniegas</t>
        </is>
      </c>
      <c r="G81" t="inlineStr">
        <is>
          <t>YENGONZA</t>
        </is>
      </c>
      <c r="H81" s="3" t="n">
        <v>46093</v>
      </c>
    </row>
    <row r="82">
      <c r="A82" t="n">
        <v>101</v>
      </c>
      <c r="B82" t="n">
        <v>5128</v>
      </c>
      <c r="C82" t="inlineStr">
        <is>
          <t>BELLTECH</t>
        </is>
      </c>
      <c r="D82" t="inlineStr">
        <is>
          <t>Multifuncional</t>
        </is>
      </c>
      <c r="E82" t="inlineStr">
        <is>
          <t>MULTIPLAZA DRIVE</t>
        </is>
      </c>
      <c r="F82" t="inlineStr">
        <is>
          <t>Camilo Andres Mila Jimenez</t>
        </is>
      </c>
      <c r="G82" t="inlineStr">
        <is>
          <t>AGUTIERR</t>
        </is>
      </c>
      <c r="H82" s="3" t="n">
        <v>46086</v>
      </c>
    </row>
    <row r="83">
      <c r="A83" t="n">
        <v>244</v>
      </c>
      <c r="B83" t="n">
        <v>5129</v>
      </c>
      <c r="C83" t="inlineStr">
        <is>
          <t>BELLTECH</t>
        </is>
      </c>
      <c r="D83" t="inlineStr">
        <is>
          <t>Multifuncional</t>
        </is>
      </c>
      <c r="E83" t="inlineStr">
        <is>
          <t>TRINIDAD GALAN</t>
        </is>
      </c>
      <c r="F83" t="inlineStr">
        <is>
          <t>Samuel Alexander Mendez Suarez</t>
        </is>
      </c>
      <c r="G83" t="inlineStr">
        <is>
          <t>JBALLEN</t>
        </is>
      </c>
      <c r="H83" s="3" t="n">
        <v>46099</v>
      </c>
    </row>
    <row r="84">
      <c r="A84" t="n">
        <v>366</v>
      </c>
      <c r="B84" t="n">
        <v>5132</v>
      </c>
      <c r="C84" t="inlineStr">
        <is>
          <t>BELLTECH</t>
        </is>
      </c>
      <c r="D84" t="inlineStr">
        <is>
          <t>Multifuncional</t>
        </is>
      </c>
      <c r="E84" t="inlineStr">
        <is>
          <t>TERMINAL DE TRANSPORTE NORTE</t>
        </is>
      </c>
      <c r="F84" t="inlineStr">
        <is>
          <t>Julian Alejandro Rodriguez Escobar</t>
        </is>
      </c>
      <c r="G84" t="inlineStr">
        <is>
          <t>DCCARTAG</t>
        </is>
      </c>
      <c r="H84" s="3" t="n">
        <v>46100</v>
      </c>
    </row>
    <row r="85">
      <c r="A85" t="n">
        <v>68</v>
      </c>
      <c r="B85" t="n">
        <v>5135</v>
      </c>
      <c r="C85" t="inlineStr">
        <is>
          <t>BELLTECH</t>
        </is>
      </c>
      <c r="D85" t="inlineStr">
        <is>
          <t>Multifuncional</t>
        </is>
      </c>
      <c r="E85" t="inlineStr">
        <is>
          <t>IBAGUE</t>
        </is>
      </c>
      <c r="F85" t="inlineStr">
        <is>
          <t>Edwin Andres Lievano Orjuela</t>
        </is>
      </c>
      <c r="G85" t="inlineStr">
        <is>
          <t>REGUZMAN</t>
        </is>
      </c>
      <c r="H85" s="3" t="n">
        <v>46100</v>
      </c>
    </row>
    <row r="86">
      <c r="A86" t="n">
        <v>318</v>
      </c>
      <c r="B86" t="n">
        <v>5136</v>
      </c>
      <c r="C86" t="inlineStr">
        <is>
          <t>BELLTECH</t>
        </is>
      </c>
      <c r="D86" t="inlineStr">
        <is>
          <t>Multifuncional</t>
        </is>
      </c>
      <c r="E86" t="inlineStr">
        <is>
          <t>OCAÑA</t>
        </is>
      </c>
      <c r="F86" t="inlineStr">
        <is>
          <t>Adriana Maritza Angulo Mora</t>
        </is>
      </c>
      <c r="G86" t="inlineStr">
        <is>
          <t>CYALVARE</t>
        </is>
      </c>
      <c r="H86" s="3" t="n">
        <v>46091</v>
      </c>
      <c r="I86" t="inlineStr">
        <is>
          <t>2 Días</t>
        </is>
      </c>
    </row>
    <row r="87">
      <c r="A87" t="n">
        <v>829</v>
      </c>
      <c r="B87" t="n">
        <v>5137</v>
      </c>
      <c r="C87" t="inlineStr">
        <is>
          <t>BELLTECH</t>
        </is>
      </c>
      <c r="D87" t="inlineStr">
        <is>
          <t>Multifuncional</t>
        </is>
      </c>
      <c r="E87" t="inlineStr">
        <is>
          <t>UNICENTRO CALI</t>
        </is>
      </c>
      <c r="F87" t="inlineStr">
        <is>
          <t>Hector Mario Rendon Ocampo</t>
        </is>
      </c>
      <c r="G87" t="inlineStr">
        <is>
          <t>SMBEDOYA</t>
        </is>
      </c>
      <c r="H87" s="3" t="n">
        <v>46098</v>
      </c>
    </row>
    <row r="88">
      <c r="A88" t="n">
        <v>300</v>
      </c>
      <c r="B88" t="n">
        <v>5139</v>
      </c>
      <c r="C88" t="inlineStr">
        <is>
          <t>BELLTECH</t>
        </is>
      </c>
      <c r="D88" t="inlineStr">
        <is>
          <t>Multifuncional</t>
        </is>
      </c>
      <c r="E88" t="inlineStr">
        <is>
          <t>AUTOPISTA 98</t>
        </is>
      </c>
      <c r="F88" t="inlineStr">
        <is>
          <t>Kirsys Nadyra Robelto Sanchez</t>
        </is>
      </c>
      <c r="G88" t="inlineStr">
        <is>
          <t>HDSANCHE</t>
        </is>
      </c>
      <c r="H88" s="3" t="n">
        <v>46091</v>
      </c>
    </row>
    <row r="89">
      <c r="A89" t="n">
        <v>53</v>
      </c>
      <c r="B89" t="n">
        <v>5141</v>
      </c>
      <c r="C89" t="inlineStr">
        <is>
          <t>BELLTECH</t>
        </is>
      </c>
      <c r="D89" t="inlineStr">
        <is>
          <t>Multifuncional</t>
        </is>
      </c>
      <c r="E89" t="inlineStr">
        <is>
          <t>CARRERA DECIMA</t>
        </is>
      </c>
      <c r="F89" t="inlineStr">
        <is>
          <t>Victoria Eugenia Guaqueta Murcia</t>
        </is>
      </c>
      <c r="G89" t="inlineStr">
        <is>
          <t>IMARTINE</t>
        </is>
      </c>
      <c r="H89" s="3" t="n">
        <v>46099</v>
      </c>
      <c r="I89" t="inlineStr">
        <is>
          <t>2 Días</t>
        </is>
      </c>
    </row>
    <row r="90">
      <c r="A90" t="n">
        <v>40</v>
      </c>
      <c r="B90" t="n">
        <v>5142</v>
      </c>
      <c r="C90" t="inlineStr">
        <is>
          <t>BELLTECH</t>
        </is>
      </c>
      <c r="D90" t="inlineStr">
        <is>
          <t>Multifuncional</t>
        </is>
      </c>
      <c r="E90" t="inlineStr">
        <is>
          <t>CENTRO 93</t>
        </is>
      </c>
      <c r="F90" t="inlineStr">
        <is>
          <t>Kirsys Nadyra Robelto Sanchez</t>
        </is>
      </c>
      <c r="G90" t="inlineStr">
        <is>
          <t>EPIRAGAU</t>
        </is>
      </c>
      <c r="H90" s="3" t="n">
        <v>46091</v>
      </c>
    </row>
    <row r="91">
      <c r="A91" t="n">
        <v>927</v>
      </c>
      <c r="B91" t="n">
        <v>5143</v>
      </c>
      <c r="C91" t="inlineStr">
        <is>
          <t>BELLTECH</t>
        </is>
      </c>
      <c r="D91" t="inlineStr">
        <is>
          <t>Multifuncional</t>
        </is>
      </c>
      <c r="E91" t="inlineStr">
        <is>
          <t>MOCOA</t>
        </is>
      </c>
      <c r="F91" t="inlineStr">
        <is>
          <t>Astrid Alexandra Quintero Arciniegas</t>
        </is>
      </c>
      <c r="G91" t="inlineStr">
        <is>
          <t>DMOTTA</t>
        </is>
      </c>
      <c r="H91" s="3" t="n">
        <v>46099</v>
      </c>
    </row>
    <row r="92">
      <c r="A92" t="n">
        <v>812</v>
      </c>
      <c r="B92" t="n">
        <v>5144</v>
      </c>
      <c r="C92" t="inlineStr">
        <is>
          <t>BELLTECH</t>
        </is>
      </c>
      <c r="D92" t="inlineStr">
        <is>
          <t>Multifuncional</t>
        </is>
      </c>
      <c r="E92" t="inlineStr">
        <is>
          <t>CHIPICHAPE</t>
        </is>
      </c>
      <c r="F92" t="inlineStr">
        <is>
          <t>Hector Mario Rendon Ocampo</t>
        </is>
      </c>
      <c r="G92" t="inlineStr">
        <is>
          <t>DRRAMIRE</t>
        </is>
      </c>
      <c r="H92" s="3" t="n">
        <v>46091</v>
      </c>
    </row>
    <row r="93">
      <c r="A93" t="n">
        <v>279</v>
      </c>
      <c r="B93" t="n">
        <v>5147</v>
      </c>
      <c r="C93" t="inlineStr">
        <is>
          <t>BELLTECH</t>
        </is>
      </c>
      <c r="D93" t="inlineStr">
        <is>
          <t>Multifuncional</t>
        </is>
      </c>
      <c r="E93" t="inlineStr">
        <is>
          <t>ITAGUI PARQUE</t>
        </is>
      </c>
      <c r="F93" t="inlineStr">
        <is>
          <t>Sandra Milena Cardona Franco</t>
        </is>
      </c>
      <c r="G93" t="inlineStr">
        <is>
          <t>LUDLOPEZ</t>
        </is>
      </c>
      <c r="H93" s="3" t="n">
        <v>46098</v>
      </c>
    </row>
    <row r="94">
      <c r="A94" t="n">
        <v>91</v>
      </c>
      <c r="B94" t="n">
        <v>5148</v>
      </c>
      <c r="C94" t="inlineStr">
        <is>
          <t>BELLTECH</t>
        </is>
      </c>
      <c r="D94" t="inlineStr">
        <is>
          <t>Multifuncional</t>
        </is>
      </c>
      <c r="E94" t="inlineStr">
        <is>
          <t>MONTERIA</t>
        </is>
      </c>
      <c r="F94" t="inlineStr">
        <is>
          <t>Magaly Del Socorro Cabrales Isaac</t>
        </is>
      </c>
      <c r="G94" t="inlineStr">
        <is>
          <t>DRDIAZ</t>
        </is>
      </c>
      <c r="H94" s="3" t="n">
        <v>46092</v>
      </c>
      <c r="I94" t="inlineStr">
        <is>
          <t>2 Días</t>
        </is>
      </c>
    </row>
    <row r="95">
      <c r="A95" t="n">
        <v>358</v>
      </c>
      <c r="B95" t="n">
        <v>5149</v>
      </c>
      <c r="C95" t="inlineStr">
        <is>
          <t>BELLTECH</t>
        </is>
      </c>
      <c r="D95" t="inlineStr">
        <is>
          <t>Multifuncional</t>
        </is>
      </c>
      <c r="E95" t="inlineStr">
        <is>
          <t>SOGAMOSO</t>
        </is>
      </c>
      <c r="F95" t="inlineStr">
        <is>
          <t>Yury Yaquelin Daza Congo</t>
        </is>
      </c>
      <c r="G95" t="inlineStr">
        <is>
          <t>LILMARTI</t>
        </is>
      </c>
      <c r="H95" s="3" t="n">
        <v>46092</v>
      </c>
    </row>
    <row r="96">
      <c r="A96" t="n">
        <v>262</v>
      </c>
      <c r="B96" t="n">
        <v>5153</v>
      </c>
      <c r="C96" t="inlineStr">
        <is>
          <t>BELLTECH</t>
        </is>
      </c>
      <c r="D96" t="inlineStr">
        <is>
          <t>Multifuncional</t>
        </is>
      </c>
      <c r="E96" t="inlineStr">
        <is>
          <t>DUITAMA</t>
        </is>
      </c>
      <c r="F96" t="inlineStr">
        <is>
          <t>Yury Yaquelin Daza Congo</t>
        </is>
      </c>
      <c r="G96" t="inlineStr">
        <is>
          <t>LMCASTAN</t>
        </is>
      </c>
      <c r="H96" s="3" t="n">
        <v>46100</v>
      </c>
    </row>
    <row r="97">
      <c r="A97" t="n">
        <v>258</v>
      </c>
      <c r="B97" t="n">
        <v>5155</v>
      </c>
      <c r="C97" t="inlineStr">
        <is>
          <t>BELLTECH</t>
        </is>
      </c>
      <c r="D97" t="inlineStr">
        <is>
          <t>Multifuncional</t>
        </is>
      </c>
      <c r="E97" t="inlineStr">
        <is>
          <t>TUNJA</t>
        </is>
      </c>
      <c r="F97" t="inlineStr">
        <is>
          <t>Yury Yaquelin Daza Congo</t>
        </is>
      </c>
      <c r="G97" t="inlineStr">
        <is>
          <t>MIROMERO</t>
        </is>
      </c>
      <c r="H97" s="3" t="n">
        <v>46093</v>
      </c>
    </row>
    <row r="98">
      <c r="A98" t="n">
        <v>806</v>
      </c>
      <c r="B98" t="n">
        <v>5156</v>
      </c>
      <c r="C98" t="inlineStr">
        <is>
          <t>BELLTECH</t>
        </is>
      </c>
      <c r="D98" t="inlineStr">
        <is>
          <t>Multifuncional</t>
        </is>
      </c>
      <c r="E98" t="inlineStr">
        <is>
          <t>BAZAR ALSACIA</t>
        </is>
      </c>
      <c r="F98" t="inlineStr">
        <is>
          <t>Samuel Alexander Mendez Suarez</t>
        </is>
      </c>
      <c r="G98" t="inlineStr">
        <is>
          <t>JTRIANA</t>
        </is>
      </c>
      <c r="H98" s="3" t="n">
        <v>46092</v>
      </c>
    </row>
    <row r="99">
      <c r="A99" t="n">
        <v>750</v>
      </c>
      <c r="B99" t="n">
        <v>5157</v>
      </c>
      <c r="C99" t="inlineStr">
        <is>
          <t>BELLTECH</t>
        </is>
      </c>
      <c r="D99" t="inlineStr">
        <is>
          <t>Multifuncional</t>
        </is>
      </c>
      <c r="E99" t="inlineStr">
        <is>
          <t>AVENIDA ROOSEVELT</t>
        </is>
      </c>
      <c r="F99" t="inlineStr">
        <is>
          <t>Hector Mario Rendon Ocampo</t>
        </is>
      </c>
      <c r="G99" t="inlineStr">
        <is>
          <t>EBUENO</t>
        </is>
      </c>
      <c r="H99" s="3" t="n">
        <v>46099</v>
      </c>
    </row>
    <row r="100">
      <c r="A100" t="n">
        <v>70</v>
      </c>
      <c r="B100" t="n">
        <v>5164</v>
      </c>
      <c r="C100" t="inlineStr">
        <is>
          <t>BELLTECH</t>
        </is>
      </c>
      <c r="D100" t="inlineStr">
        <is>
          <t>Multifuncional</t>
        </is>
      </c>
      <c r="E100" t="inlineStr">
        <is>
          <t>MANIZALES</t>
        </is>
      </c>
      <c r="F100" t="inlineStr">
        <is>
          <t>Sergio Arias Pelaez</t>
        </is>
      </c>
      <c r="G100" t="inlineStr">
        <is>
          <t>CARLGOME</t>
        </is>
      </c>
      <c r="H100" s="3" t="n">
        <v>46091</v>
      </c>
    </row>
    <row r="101">
      <c r="A101" t="n">
        <v>725</v>
      </c>
      <c r="B101" t="n">
        <v>5166</v>
      </c>
      <c r="C101" t="inlineStr">
        <is>
          <t>BELLTECH</t>
        </is>
      </c>
      <c r="D101" t="inlineStr">
        <is>
          <t>Multifuncional</t>
        </is>
      </c>
      <c r="E101" t="inlineStr">
        <is>
          <t>DOSQUEBRADAS</t>
        </is>
      </c>
      <c r="F101" t="inlineStr">
        <is>
          <t>Sergio Arias Pelaez</t>
        </is>
      </c>
      <c r="G101" t="inlineStr">
        <is>
          <t>JOLOAIZA</t>
        </is>
      </c>
      <c r="H101" s="3" t="n">
        <v>46092</v>
      </c>
    </row>
    <row r="102">
      <c r="A102" t="n">
        <v>667</v>
      </c>
      <c r="B102" t="n">
        <v>5167</v>
      </c>
      <c r="C102" t="inlineStr">
        <is>
          <t>BELLTECH</t>
        </is>
      </c>
      <c r="D102" t="inlineStr">
        <is>
          <t>Multifuncional</t>
        </is>
      </c>
      <c r="E102" t="inlineStr">
        <is>
          <t>VALVANERA</t>
        </is>
      </c>
      <c r="F102" t="inlineStr">
        <is>
          <t>Samuel Alexander Mendez Suarez</t>
        </is>
      </c>
      <c r="G102" t="inlineStr">
        <is>
          <t>ADIAZ</t>
        </is>
      </c>
      <c r="H102" s="3" t="n">
        <v>46100</v>
      </c>
    </row>
    <row r="103">
      <c r="A103" t="n">
        <v>363</v>
      </c>
      <c r="B103" t="n">
        <v>5168</v>
      </c>
      <c r="C103" t="inlineStr">
        <is>
          <t>BELLTECH</t>
        </is>
      </c>
      <c r="D103" t="inlineStr">
        <is>
          <t>Multifuncional</t>
        </is>
      </c>
      <c r="E103" t="inlineStr">
        <is>
          <t>YOPAL</t>
        </is>
      </c>
      <c r="F103" t="inlineStr">
        <is>
          <t>Yury Yaquelin Daza Congo</t>
        </is>
      </c>
      <c r="G103" t="inlineStr">
        <is>
          <t>CAMARTIN</t>
        </is>
      </c>
      <c r="H103" s="3" t="n">
        <v>46098</v>
      </c>
    </row>
    <row r="104">
      <c r="A104" t="n">
        <v>388</v>
      </c>
      <c r="B104" t="n">
        <v>5169</v>
      </c>
      <c r="C104" t="inlineStr">
        <is>
          <t>BELLTECH</t>
        </is>
      </c>
      <c r="D104" t="inlineStr">
        <is>
          <t>Multifuncional</t>
        </is>
      </c>
      <c r="E104" t="inlineStr">
        <is>
          <t>CENTRO COMERCIAL HAYUELOS</t>
        </is>
      </c>
      <c r="F104" t="inlineStr">
        <is>
          <t>Samuel Alexander Mendez Suarez</t>
        </is>
      </c>
      <c r="G104" t="inlineStr">
        <is>
          <t>KRODRIGU</t>
        </is>
      </c>
      <c r="H104" s="3" t="n">
        <v>46086</v>
      </c>
    </row>
    <row r="105">
      <c r="A105" t="n">
        <v>302</v>
      </c>
      <c r="B105" t="n">
        <v>5170</v>
      </c>
      <c r="C105" t="inlineStr">
        <is>
          <t>BELLTECH</t>
        </is>
      </c>
      <c r="D105" t="inlineStr">
        <is>
          <t>Multifuncional</t>
        </is>
      </c>
      <c r="E105" t="inlineStr">
        <is>
          <t>QUEBRADA SECA</t>
        </is>
      </c>
      <c r="F105" t="inlineStr">
        <is>
          <t>Yenis Meybi Fernandez Marin</t>
        </is>
      </c>
      <c r="G105" t="inlineStr">
        <is>
          <t>LUDACEVE</t>
        </is>
      </c>
      <c r="H105" s="3" t="n">
        <v>46091</v>
      </c>
    </row>
    <row r="106">
      <c r="A106" t="n">
        <v>420</v>
      </c>
      <c r="B106" t="n">
        <v>5173</v>
      </c>
      <c r="C106" t="inlineStr">
        <is>
          <t>BELLTECH</t>
        </is>
      </c>
      <c r="D106" t="inlineStr">
        <is>
          <t>Multifuncional</t>
        </is>
      </c>
      <c r="E106" t="inlineStr">
        <is>
          <t>TEATRO AVENIDA</t>
        </is>
      </c>
      <c r="F106" t="inlineStr">
        <is>
          <t>Katherine Zapata Cano</t>
        </is>
      </c>
      <c r="G106" t="inlineStr">
        <is>
          <t>DEBEDOYA</t>
        </is>
      </c>
      <c r="H106" s="3" t="n">
        <v>46093</v>
      </c>
      <c r="I106" t="inlineStr">
        <is>
          <t>2 Días</t>
        </is>
      </c>
    </row>
    <row r="107">
      <c r="A107" t="n">
        <v>253</v>
      </c>
      <c r="B107" t="n">
        <v>5176</v>
      </c>
      <c r="C107" t="inlineStr">
        <is>
          <t>BELLTECH</t>
        </is>
      </c>
      <c r="D107" t="inlineStr">
        <is>
          <t>Multifuncional</t>
        </is>
      </c>
      <c r="E107" t="inlineStr">
        <is>
          <t>PUERTA DEL NORTE</t>
        </is>
      </c>
      <c r="F107" t="inlineStr">
        <is>
          <t>Julian Alejandro Rodriguez Escobar</t>
        </is>
      </c>
      <c r="G107" t="inlineStr">
        <is>
          <t>ISALOPEZ</t>
        </is>
      </c>
      <c r="H107" s="3" t="n">
        <v>46092</v>
      </c>
    </row>
    <row r="108">
      <c r="A108" t="n">
        <v>198</v>
      </c>
      <c r="B108" t="n">
        <v>5179</v>
      </c>
      <c r="C108" t="inlineStr">
        <is>
          <t>BELLTECH</t>
        </is>
      </c>
      <c r="D108" t="inlineStr">
        <is>
          <t>Multifuncional</t>
        </is>
      </c>
      <c r="E108" t="inlineStr">
        <is>
          <t>CENTRO SUBA</t>
        </is>
      </c>
      <c r="F108" t="inlineStr">
        <is>
          <t>Camilo Andres Mila Jimenez</t>
        </is>
      </c>
      <c r="G108" t="inlineStr">
        <is>
          <t>ECROJAS</t>
        </is>
      </c>
      <c r="H108" s="3" t="n">
        <v>46093</v>
      </c>
    </row>
    <row r="109">
      <c r="A109" t="n">
        <v>762</v>
      </c>
      <c r="B109" t="n">
        <v>5181</v>
      </c>
      <c r="C109" t="inlineStr">
        <is>
          <t>BELLTECH</t>
        </is>
      </c>
      <c r="D109" t="inlineStr">
        <is>
          <t>Multifuncional</t>
        </is>
      </c>
      <c r="E109" t="inlineStr">
        <is>
          <t>LA HERRADURA</t>
        </is>
      </c>
      <c r="F109" t="inlineStr">
        <is>
          <t>John Didier Villegas Martinez</t>
        </is>
      </c>
      <c r="G109" t="inlineStr">
        <is>
          <t>FGUEVARA</t>
        </is>
      </c>
      <c r="H109" s="3" t="n">
        <v>46099</v>
      </c>
    </row>
    <row r="110">
      <c r="A110" t="n">
        <v>756</v>
      </c>
      <c r="B110" t="n">
        <v>5183</v>
      </c>
      <c r="C110" t="inlineStr">
        <is>
          <t>DIEBOLD</t>
        </is>
      </c>
      <c r="D110" t="inlineStr">
        <is>
          <t>Multifuncional</t>
        </is>
      </c>
      <c r="E110" t="inlineStr">
        <is>
          <t>ARMENIA NORTE</t>
        </is>
      </c>
      <c r="F110" t="inlineStr">
        <is>
          <t>John Didier Villegas Martinez</t>
        </is>
      </c>
      <c r="G110" t="inlineStr">
        <is>
          <t>MARMAGON</t>
        </is>
      </c>
      <c r="H110" s="3" t="n">
        <v>46098</v>
      </c>
    </row>
    <row r="111">
      <c r="A111" t="n">
        <v>541</v>
      </c>
      <c r="B111" t="n">
        <v>5185</v>
      </c>
      <c r="C111" t="inlineStr">
        <is>
          <t>BELLTECH</t>
        </is>
      </c>
      <c r="D111" t="inlineStr">
        <is>
          <t>Multifuncional</t>
        </is>
      </c>
      <c r="E111" t="inlineStr">
        <is>
          <t>CALDAS PARQUE</t>
        </is>
      </c>
      <c r="F111" t="inlineStr">
        <is>
          <t>Sandra Milena Cardona Franco</t>
        </is>
      </c>
      <c r="G111" t="inlineStr">
        <is>
          <t>NEGARCIC</t>
        </is>
      </c>
      <c r="H111" s="3" t="n">
        <v>46086</v>
      </c>
    </row>
    <row r="112">
      <c r="A112" t="n">
        <v>698</v>
      </c>
      <c r="B112" t="n">
        <v>5187</v>
      </c>
      <c r="C112" t="inlineStr">
        <is>
          <t>BELLTECH</t>
        </is>
      </c>
      <c r="D112" t="inlineStr">
        <is>
          <t>Multifuncional</t>
        </is>
      </c>
      <c r="E112" t="inlineStr">
        <is>
          <t>CALLE 79</t>
        </is>
      </c>
      <c r="F112" t="inlineStr">
        <is>
          <t>Kirsys Nadyra Robelto Sanchez</t>
        </is>
      </c>
      <c r="G112" t="inlineStr">
        <is>
          <t>ADRIGARC</t>
        </is>
      </c>
      <c r="H112" s="3" t="n">
        <v>46092</v>
      </c>
    </row>
    <row r="113">
      <c r="A113" t="n">
        <v>664</v>
      </c>
      <c r="B113" t="n">
        <v>5191</v>
      </c>
      <c r="C113" t="inlineStr">
        <is>
          <t>BELLTECH</t>
        </is>
      </c>
      <c r="D113" t="inlineStr">
        <is>
          <t>Multifuncional</t>
        </is>
      </c>
      <c r="E113" t="inlineStr">
        <is>
          <t>CENTRO DE PAGOS CORABASTOS</t>
        </is>
      </c>
      <c r="F113" t="inlineStr">
        <is>
          <t>Samuel Alexander Mendez Suarez</t>
        </is>
      </c>
      <c r="G113" t="inlineStr">
        <is>
          <t>EESERRAT</t>
        </is>
      </c>
      <c r="H113" s="3" t="n">
        <v>46092</v>
      </c>
    </row>
    <row r="114">
      <c r="A114" t="n">
        <v>716</v>
      </c>
      <c r="B114" t="n">
        <v>5192</v>
      </c>
      <c r="C114" t="inlineStr">
        <is>
          <t>BELLTECH</t>
        </is>
      </c>
      <c r="D114" t="inlineStr">
        <is>
          <t>Multifuncional</t>
        </is>
      </c>
      <c r="E114" t="inlineStr">
        <is>
          <t>AVENIDA CAÑAS GORDAS</t>
        </is>
      </c>
      <c r="F114" t="inlineStr">
        <is>
          <t>Hector Mario Rendon Ocampo</t>
        </is>
      </c>
      <c r="G114" t="inlineStr">
        <is>
          <t>NAMAFLA</t>
        </is>
      </c>
      <c r="H114" s="3" t="n">
        <v>46091</v>
      </c>
    </row>
    <row r="115">
      <c r="A115" t="n">
        <v>383</v>
      </c>
      <c r="B115" t="n">
        <v>5194</v>
      </c>
      <c r="C115" t="inlineStr">
        <is>
          <t>BELLTECH</t>
        </is>
      </c>
      <c r="D115" t="inlineStr">
        <is>
          <t>Multifuncional</t>
        </is>
      </c>
      <c r="E115" t="inlineStr">
        <is>
          <t>MADRID</t>
        </is>
      </c>
      <c r="F115" t="inlineStr">
        <is>
          <t>Pedro Javier Yazzo Moreno</t>
        </is>
      </c>
      <c r="G115" t="inlineStr">
        <is>
          <t>PBAUTIST</t>
        </is>
      </c>
      <c r="H115" s="3" t="n">
        <v>46098</v>
      </c>
    </row>
    <row r="116">
      <c r="A116" t="n">
        <v>432</v>
      </c>
      <c r="B116" t="n">
        <v>5195</v>
      </c>
      <c r="C116" t="inlineStr">
        <is>
          <t>BELLTECH</t>
        </is>
      </c>
      <c r="D116" t="inlineStr">
        <is>
          <t>Multifuncional</t>
        </is>
      </c>
      <c r="E116" t="inlineStr">
        <is>
          <t>TERMINAL DEL SUR</t>
        </is>
      </c>
      <c r="F116" t="inlineStr">
        <is>
          <t>Ana Maria Echavarria Gonzalez</t>
        </is>
      </c>
      <c r="G116" t="inlineStr">
        <is>
          <t>CJQUINTE</t>
        </is>
      </c>
      <c r="H116" s="3" t="n">
        <v>46098</v>
      </c>
      <c r="I116" t="inlineStr">
        <is>
          <t>2 Días</t>
        </is>
      </c>
    </row>
    <row r="117">
      <c r="A117" t="n">
        <v>250</v>
      </c>
      <c r="B117" t="n">
        <v>5197</v>
      </c>
      <c r="C117" t="inlineStr">
        <is>
          <t>BELLTECH</t>
        </is>
      </c>
      <c r="D117" t="inlineStr">
        <is>
          <t>Multifuncional</t>
        </is>
      </c>
      <c r="E117" t="inlineStr">
        <is>
          <t>MODELIA</t>
        </is>
      </c>
      <c r="F117" t="inlineStr">
        <is>
          <t>Fabio Orlando Bosa Poveda</t>
        </is>
      </c>
      <c r="G117" t="inlineStr">
        <is>
          <t>MCJARAMI</t>
        </is>
      </c>
      <c r="H117" s="3" t="n">
        <v>46099</v>
      </c>
    </row>
    <row r="118">
      <c r="A118" t="n">
        <v>674</v>
      </c>
      <c r="B118" t="n">
        <v>5200</v>
      </c>
      <c r="C118" t="inlineStr">
        <is>
          <t>BELLTECH</t>
        </is>
      </c>
      <c r="D118" t="inlineStr">
        <is>
          <t>Multifuncional</t>
        </is>
      </c>
      <c r="E118" t="inlineStr">
        <is>
          <t>FLORESTA</t>
        </is>
      </c>
      <c r="F118" t="inlineStr">
        <is>
          <t>Fabio Orlando Bosa Poveda</t>
        </is>
      </c>
      <c r="G118" t="inlineStr">
        <is>
          <t>LJGOMEZ</t>
        </is>
      </c>
      <c r="H118" s="3" t="n">
        <v>46093</v>
      </c>
    </row>
    <row r="119">
      <c r="A119" t="n">
        <v>606</v>
      </c>
      <c r="B119" t="n">
        <v>5201</v>
      </c>
      <c r="C119" t="inlineStr">
        <is>
          <t>BELLTECH</t>
        </is>
      </c>
      <c r="D119" t="inlineStr">
        <is>
          <t>Multifuncional</t>
        </is>
      </c>
      <c r="E119" t="inlineStr">
        <is>
          <t>UNICENTRO TUNJA</t>
        </is>
      </c>
      <c r="F119" t="inlineStr">
        <is>
          <t>Yury Yaquelin Daza Congo</t>
        </is>
      </c>
      <c r="G119" t="inlineStr">
        <is>
          <t>PAAMOREN</t>
        </is>
      </c>
      <c r="H119" s="3" t="n">
        <v>46091</v>
      </c>
    </row>
    <row r="120">
      <c r="A120" t="n">
        <v>77</v>
      </c>
      <c r="B120" t="n">
        <v>5204</v>
      </c>
      <c r="C120" t="inlineStr">
        <is>
          <t>BELLTECH</t>
        </is>
      </c>
      <c r="D120" t="inlineStr">
        <is>
          <t>Multifuncional</t>
        </is>
      </c>
      <c r="E120" t="inlineStr">
        <is>
          <t>TEQUENDAMA</t>
        </is>
      </c>
      <c r="F120" t="inlineStr">
        <is>
          <t>Hector Mario Rendon Ocampo</t>
        </is>
      </c>
      <c r="G120" t="inlineStr">
        <is>
          <t>LIPATINO</t>
        </is>
      </c>
      <c r="H120" s="3" t="n">
        <v>46092</v>
      </c>
      <c r="I120" t="inlineStr">
        <is>
          <t>2 Días</t>
        </is>
      </c>
    </row>
    <row r="121">
      <c r="A121" t="n">
        <v>816</v>
      </c>
      <c r="B121" t="n">
        <v>5205</v>
      </c>
      <c r="C121" t="inlineStr">
        <is>
          <t>BELLTECH</t>
        </is>
      </c>
      <c r="D121" t="inlineStr">
        <is>
          <t>Multifuncional</t>
        </is>
      </c>
      <c r="E121" t="inlineStr">
        <is>
          <t>CALLE 10</t>
        </is>
      </c>
      <c r="F121" t="inlineStr">
        <is>
          <t>Adriana Maritza Angulo Mora</t>
        </is>
      </c>
      <c r="G121" t="inlineStr">
        <is>
          <t>LRCACERE</t>
        </is>
      </c>
      <c r="H121" s="3" t="n">
        <v>46093</v>
      </c>
    </row>
    <row r="122">
      <c r="A122" t="n">
        <v>455</v>
      </c>
      <c r="B122" t="n">
        <v>5206</v>
      </c>
      <c r="C122" t="inlineStr">
        <is>
          <t>BELLTECH</t>
        </is>
      </c>
      <c r="D122" t="inlineStr">
        <is>
          <t>Multifuncional</t>
        </is>
      </c>
      <c r="E122" t="inlineStr">
        <is>
          <t>LAS CEIBAS</t>
        </is>
      </c>
      <c r="F122" t="inlineStr">
        <is>
          <t>Astrid Alexandra Quintero Arciniegas</t>
        </is>
      </c>
      <c r="G122" t="inlineStr">
        <is>
          <t>AMMORA</t>
        </is>
      </c>
      <c r="H122" s="3" t="n">
        <v>46093</v>
      </c>
      <c r="I122" t="inlineStr">
        <is>
          <t>2 Días</t>
        </is>
      </c>
    </row>
    <row r="123">
      <c r="A123" t="n">
        <v>217</v>
      </c>
      <c r="B123" t="n">
        <v>5208</v>
      </c>
      <c r="C123" t="inlineStr">
        <is>
          <t>BELLTECH</t>
        </is>
      </c>
      <c r="D123" t="inlineStr">
        <is>
          <t>Multifuncional</t>
        </is>
      </c>
      <c r="E123" t="inlineStr">
        <is>
          <t>MONTEVIDEO</t>
        </is>
      </c>
      <c r="F123" t="inlineStr">
        <is>
          <t>Samuel Alexander Mendez Suarez</t>
        </is>
      </c>
      <c r="G123" t="inlineStr">
        <is>
          <t>EDWGONZA</t>
        </is>
      </c>
      <c r="H123" s="3" t="n">
        <v>46100</v>
      </c>
    </row>
    <row r="124">
      <c r="A124" t="n">
        <v>793</v>
      </c>
      <c r="B124" t="n">
        <v>5216</v>
      </c>
      <c r="C124" t="inlineStr">
        <is>
          <t>BELLTECH</t>
        </is>
      </c>
      <c r="D124" t="inlineStr">
        <is>
          <t>Multifuncional</t>
        </is>
      </c>
      <c r="E124" t="inlineStr">
        <is>
          <t>PROFESIONALES</t>
        </is>
      </c>
      <c r="F124" t="inlineStr">
        <is>
          <t>Yenis Meybi Fernandez Marin</t>
        </is>
      </c>
      <c r="G124" t="inlineStr">
        <is>
          <t>JNMANCER</t>
        </is>
      </c>
      <c r="H124" s="3" t="n">
        <v>46092</v>
      </c>
    </row>
    <row r="125">
      <c r="A125" t="n">
        <v>16</v>
      </c>
      <c r="B125" t="n">
        <v>5219</v>
      </c>
      <c r="C125" t="inlineStr">
        <is>
          <t>BELLTECH</t>
        </is>
      </c>
      <c r="D125" t="inlineStr">
        <is>
          <t>Multifuncional</t>
        </is>
      </c>
      <c r="E125" t="inlineStr">
        <is>
          <t>AEROPUERTO OLAYA</t>
        </is>
      </c>
      <c r="F125" t="inlineStr">
        <is>
          <t>Natalia Zuluaga Rodriguez</t>
        </is>
      </c>
      <c r="G125" t="inlineStr">
        <is>
          <t>DIFGARCI</t>
        </is>
      </c>
      <c r="H125" s="3" t="n">
        <v>46093</v>
      </c>
    </row>
    <row r="126">
      <c r="A126" t="n">
        <v>941</v>
      </c>
      <c r="B126" t="n">
        <v>5220</v>
      </c>
      <c r="C126" t="inlineStr">
        <is>
          <t>BELLTECH</t>
        </is>
      </c>
      <c r="D126" t="inlineStr">
        <is>
          <t>Multifuncional</t>
        </is>
      </c>
      <c r="E126" t="inlineStr">
        <is>
          <t>NEIVA LA NUEVA</t>
        </is>
      </c>
      <c r="F126" t="inlineStr">
        <is>
          <t>Astrid Alexandra Quintero Arciniegas</t>
        </is>
      </c>
      <c r="G126" t="inlineStr">
        <is>
          <t>GINGARZO</t>
        </is>
      </c>
      <c r="H126" s="3" t="n">
        <v>46099</v>
      </c>
    </row>
    <row r="127">
      <c r="A127" t="n">
        <v>221</v>
      </c>
      <c r="B127" t="n">
        <v>5221</v>
      </c>
      <c r="C127" t="inlineStr">
        <is>
          <t>BELLTECH</t>
        </is>
      </c>
      <c r="D127" t="inlineStr">
        <is>
          <t>Multifuncional</t>
        </is>
      </c>
      <c r="E127" t="inlineStr">
        <is>
          <t>SOACHA</t>
        </is>
      </c>
      <c r="F127" t="inlineStr">
        <is>
          <t>Pedro Javier Yazzo Moreno</t>
        </is>
      </c>
      <c r="G127" t="inlineStr">
        <is>
          <t>JUAROJAS</t>
        </is>
      </c>
      <c r="H127" s="3" t="n">
        <v>46099</v>
      </c>
    </row>
    <row r="128">
      <c r="A128" t="n">
        <v>168</v>
      </c>
      <c r="B128" t="n">
        <v>5224</v>
      </c>
      <c r="C128" t="inlineStr">
        <is>
          <t>BELLTECH</t>
        </is>
      </c>
      <c r="D128" t="inlineStr">
        <is>
          <t>Multifuncional</t>
        </is>
      </c>
      <c r="E128" t="inlineStr">
        <is>
          <t>TOBERIN</t>
        </is>
      </c>
      <c r="F128" t="inlineStr">
        <is>
          <t>Nidya Marcela Poveda Sanchez</t>
        </is>
      </c>
      <c r="G128" t="inlineStr">
        <is>
          <t>JABUSTOS</t>
        </is>
      </c>
      <c r="H128" s="3" t="n">
        <v>46099</v>
      </c>
    </row>
    <row r="129">
      <c r="A129" t="n">
        <v>946</v>
      </c>
      <c r="B129" t="n">
        <v>5225</v>
      </c>
      <c r="C129" t="inlineStr">
        <is>
          <t>BELLTECH</t>
        </is>
      </c>
      <c r="D129" t="inlineStr">
        <is>
          <t>Multifuncional</t>
        </is>
      </c>
      <c r="E129" t="inlineStr">
        <is>
          <t>SABANA NORTE CHIA</t>
        </is>
      </c>
      <c r="F129" t="inlineStr">
        <is>
          <t>Nidya Marcela Poveda Sanchez</t>
        </is>
      </c>
      <c r="G129" t="inlineStr">
        <is>
          <t>OACHURY</t>
        </is>
      </c>
      <c r="H129" s="3" t="n">
        <v>46098</v>
      </c>
    </row>
    <row r="130">
      <c r="A130" t="n">
        <v>678</v>
      </c>
      <c r="B130" t="n">
        <v>5227</v>
      </c>
      <c r="C130" t="inlineStr">
        <is>
          <t>BELLTECH</t>
        </is>
      </c>
      <c r="D130" t="inlineStr">
        <is>
          <t>Multifuncional</t>
        </is>
      </c>
      <c r="E130" t="inlineStr">
        <is>
          <t>PASEO LA CASTELLANA</t>
        </is>
      </c>
      <c r="F130" t="inlineStr">
        <is>
          <t>Didi Alejandra Pareja Medina</t>
        </is>
      </c>
      <c r="G130" t="inlineStr">
        <is>
          <t>DPUELLO</t>
        </is>
      </c>
      <c r="H130" s="3" t="n">
        <v>46092</v>
      </c>
    </row>
    <row r="131">
      <c r="A131" t="n">
        <v>285</v>
      </c>
      <c r="B131" t="n">
        <v>5228</v>
      </c>
      <c r="C131" t="inlineStr">
        <is>
          <t>BELLTECH</t>
        </is>
      </c>
      <c r="D131" t="inlineStr">
        <is>
          <t>Multifuncional</t>
        </is>
      </c>
      <c r="E131" t="inlineStr">
        <is>
          <t>GARZON</t>
        </is>
      </c>
      <c r="F131" t="inlineStr">
        <is>
          <t>Astrid Alexandra Quintero Arciniegas</t>
        </is>
      </c>
      <c r="G131" t="inlineStr">
        <is>
          <t>DLROJAS</t>
        </is>
      </c>
      <c r="H131" s="3" t="n">
        <v>46099</v>
      </c>
    </row>
    <row r="132">
      <c r="A132" t="n">
        <v>454</v>
      </c>
      <c r="B132" t="n">
        <v>5231</v>
      </c>
      <c r="C132" t="inlineStr">
        <is>
          <t>BELLTECH</t>
        </is>
      </c>
      <c r="D132" t="inlineStr">
        <is>
          <t>Multifuncional</t>
        </is>
      </c>
      <c r="E132" t="inlineStr">
        <is>
          <t>QUINTA AVENIDA</t>
        </is>
      </c>
      <c r="F132" t="inlineStr">
        <is>
          <t>Astrid Alexandra Quintero Arciniegas</t>
        </is>
      </c>
      <c r="G132" t="inlineStr">
        <is>
          <t>YCAVIEDE</t>
        </is>
      </c>
      <c r="H132" s="3" t="n">
        <v>46100</v>
      </c>
    </row>
    <row r="133">
      <c r="A133" t="n">
        <v>760</v>
      </c>
      <c r="B133" t="n">
        <v>6092</v>
      </c>
      <c r="C133" t="inlineStr">
        <is>
          <t>BELLTECH</t>
        </is>
      </c>
      <c r="D133" t="inlineStr">
        <is>
          <t>Multifuncional</t>
        </is>
      </c>
      <c r="E133" t="inlineStr">
        <is>
          <t>CARRERA 26</t>
        </is>
      </c>
      <c r="K133" t="inlineStr">
        <is>
          <t>Sin servicio durante el mes de diciembre</t>
        </is>
      </c>
    </row>
    <row r="134">
      <c r="A134" t="n">
        <v>625</v>
      </c>
      <c r="B134" t="n">
        <v>6096</v>
      </c>
      <c r="C134" t="inlineStr">
        <is>
          <t>BELLTECH</t>
        </is>
      </c>
      <c r="D134" t="inlineStr">
        <is>
          <t>Multifuncional</t>
        </is>
      </c>
      <c r="E134" t="inlineStr">
        <is>
          <t>BARRIO TRISTE</t>
        </is>
      </c>
      <c r="F134" t="inlineStr">
        <is>
          <t>Katherine Zapata Cano</t>
        </is>
      </c>
      <c r="G134" t="inlineStr">
        <is>
          <t>CAMAVARG</t>
        </is>
      </c>
      <c r="H134" s="3" t="n">
        <v>46086</v>
      </c>
      <c r="I134" t="inlineStr">
        <is>
          <t>2 Días</t>
        </is>
      </c>
    </row>
    <row r="135">
      <c r="A135" t="n">
        <v>868</v>
      </c>
      <c r="B135" t="n">
        <v>6149</v>
      </c>
      <c r="C135" t="inlineStr">
        <is>
          <t>DIEBOLD</t>
        </is>
      </c>
      <c r="D135" t="inlineStr">
        <is>
          <t>Multifuncional</t>
        </is>
      </c>
      <c r="E135" t="inlineStr">
        <is>
          <t>POPAYAN</t>
        </is>
      </c>
      <c r="F135" t="inlineStr">
        <is>
          <t>Norma Constanza Barrera Pabon</t>
        </is>
      </c>
      <c r="G135" t="inlineStr">
        <is>
          <t>SVIDAL</t>
        </is>
      </c>
      <c r="H135" s="3" t="n">
        <v>46099</v>
      </c>
    </row>
    <row r="136">
      <c r="A136" t="n">
        <v>571</v>
      </c>
      <c r="B136" t="n">
        <v>6150</v>
      </c>
      <c r="C136" t="inlineStr">
        <is>
          <t>BELLTECH</t>
        </is>
      </c>
      <c r="D136" t="inlineStr">
        <is>
          <t>Multifuncional</t>
        </is>
      </c>
      <c r="E136" t="inlineStr">
        <is>
          <t>CENTRO COMERCIAL PALATINO</t>
        </is>
      </c>
      <c r="F136" t="inlineStr">
        <is>
          <t>Camilo Andres Mila Jimenez</t>
        </is>
      </c>
      <c r="G136" t="inlineStr">
        <is>
          <t>GLORGIRA</t>
        </is>
      </c>
      <c r="H136" s="3" t="n">
        <v>46086</v>
      </c>
    </row>
    <row r="137">
      <c r="A137" t="n">
        <v>844</v>
      </c>
      <c r="B137" t="n">
        <v>6169</v>
      </c>
      <c r="C137" t="inlineStr">
        <is>
          <t>BELLTECH</t>
        </is>
      </c>
      <c r="D137" t="inlineStr">
        <is>
          <t>Multifuncional</t>
        </is>
      </c>
      <c r="E137" t="inlineStr">
        <is>
          <t>PRIMAVERA</t>
        </is>
      </c>
      <c r="F137" t="inlineStr">
        <is>
          <t>Juan Felipe Russi Gamboa</t>
        </is>
      </c>
      <c r="G137" t="inlineStr">
        <is>
          <t>SPVARGAS</t>
        </is>
      </c>
      <c r="H137" s="3" t="n">
        <v>46093</v>
      </c>
    </row>
    <row r="138">
      <c r="A138" t="n">
        <v>30</v>
      </c>
      <c r="B138" t="n">
        <v>6172</v>
      </c>
      <c r="C138" t="inlineStr">
        <is>
          <t>BELLTECH</t>
        </is>
      </c>
      <c r="D138" t="inlineStr">
        <is>
          <t>Multifuncional</t>
        </is>
      </c>
      <c r="E138" t="inlineStr">
        <is>
          <t>CARRERA OCTAVA</t>
        </is>
      </c>
      <c r="F138" t="inlineStr">
        <is>
          <t>Victoria Eugenia Guaqueta Murcia</t>
        </is>
      </c>
      <c r="G138" t="inlineStr">
        <is>
          <t>SHOYOS</t>
        </is>
      </c>
      <c r="H138" s="3" t="n">
        <v>46099</v>
      </c>
    </row>
    <row r="139">
      <c r="A139" t="n">
        <v>820</v>
      </c>
      <c r="B139" t="n">
        <v>6174</v>
      </c>
      <c r="C139" t="inlineStr">
        <is>
          <t>BELLTECH</t>
        </is>
      </c>
      <c r="D139" t="inlineStr">
        <is>
          <t>Multifuncional</t>
        </is>
      </c>
      <c r="E139" t="inlineStr">
        <is>
          <t>AVENIDA CERO</t>
        </is>
      </c>
      <c r="F139" t="inlineStr">
        <is>
          <t>Adriana Maritza Angulo Mora</t>
        </is>
      </c>
      <c r="G139" t="inlineStr">
        <is>
          <t>RDMENDOZ</t>
        </is>
      </c>
      <c r="H139" s="3" t="n">
        <v>46093</v>
      </c>
      <c r="I139" t="inlineStr">
        <is>
          <t>2 Días</t>
        </is>
      </c>
    </row>
    <row r="140">
      <c r="A140" t="n">
        <v>690</v>
      </c>
      <c r="B140" t="n">
        <v>6180</v>
      </c>
      <c r="C140" t="inlineStr">
        <is>
          <t>BELLTECH</t>
        </is>
      </c>
      <c r="D140" t="inlineStr">
        <is>
          <t>Multifuncional</t>
        </is>
      </c>
      <c r="E140" t="inlineStr">
        <is>
          <t>HOTEL TEQUENDAMA</t>
        </is>
      </c>
      <c r="F140" t="inlineStr">
        <is>
          <t>Victoria Eugenia Guaqueta Murcia</t>
        </is>
      </c>
      <c r="G140" t="inlineStr">
        <is>
          <t>AMRINCON</t>
        </is>
      </c>
      <c r="H140" s="3" t="n">
        <v>46093</v>
      </c>
    </row>
    <row r="141">
      <c r="A141" t="n">
        <v>351</v>
      </c>
      <c r="B141" t="n">
        <v>6182</v>
      </c>
      <c r="C141" t="inlineStr">
        <is>
          <t>BELLTECH</t>
        </is>
      </c>
      <c r="D141" t="inlineStr">
        <is>
          <t>Multifuncional</t>
        </is>
      </c>
      <c r="E141" t="inlineStr">
        <is>
          <t>CENTRO COMERCIAL PUNTO DE LA ORIENTAL</t>
        </is>
      </c>
      <c r="F141" t="inlineStr">
        <is>
          <t>Katherine Zapata Cano</t>
        </is>
      </c>
      <c r="G141" t="inlineStr">
        <is>
          <t>VSANDOVA</t>
        </is>
      </c>
      <c r="H141" s="3" t="n">
        <v>46099</v>
      </c>
    </row>
    <row r="142">
      <c r="A142" t="n">
        <v>267</v>
      </c>
      <c r="B142" t="n">
        <v>6186</v>
      </c>
      <c r="C142" t="inlineStr">
        <is>
          <t>BELLTECH</t>
        </is>
      </c>
      <c r="D142" t="inlineStr">
        <is>
          <t>Multifuncional</t>
        </is>
      </c>
      <c r="E142" t="inlineStr">
        <is>
          <t>VISITACION</t>
        </is>
      </c>
      <c r="F142" t="inlineStr">
        <is>
          <t>Natalia Zuluaga Rodriguez</t>
        </is>
      </c>
      <c r="G142" t="inlineStr">
        <is>
          <t>EIJARAMI</t>
        </is>
      </c>
      <c r="H142" s="3" t="n">
        <v>46100</v>
      </c>
    </row>
    <row r="143">
      <c r="A143" t="n">
        <v>54</v>
      </c>
      <c r="B143" t="n">
        <v>6204</v>
      </c>
      <c r="C143" t="inlineStr">
        <is>
          <t>BELLTECH</t>
        </is>
      </c>
      <c r="D143" t="inlineStr">
        <is>
          <t>Multifuncional</t>
        </is>
      </c>
      <c r="E143" t="inlineStr">
        <is>
          <t>CALLE 122</t>
        </is>
      </c>
      <c r="F143" t="inlineStr">
        <is>
          <t>Camilo Andres Mila Jimenez</t>
        </is>
      </c>
      <c r="G143" t="inlineStr">
        <is>
          <t>LMRAYRAN</t>
        </is>
      </c>
      <c r="H143" s="3" t="n">
        <v>46086</v>
      </c>
    </row>
    <row r="144">
      <c r="A144" t="n">
        <v>688</v>
      </c>
      <c r="B144" t="n">
        <v>6209</v>
      </c>
      <c r="C144" t="inlineStr">
        <is>
          <t>DIEBOLD</t>
        </is>
      </c>
      <c r="D144" t="inlineStr">
        <is>
          <t>Multifuncional</t>
        </is>
      </c>
      <c r="E144" t="inlineStr">
        <is>
          <t>CONTADOR</t>
        </is>
      </c>
      <c r="F144" t="inlineStr">
        <is>
          <t>Camilo Andres Mila Jimenez</t>
        </is>
      </c>
      <c r="G144" t="inlineStr">
        <is>
          <t>ALEXHERN</t>
        </is>
      </c>
      <c r="H144" s="3" t="n">
        <v>46093</v>
      </c>
    </row>
    <row r="145">
      <c r="A145" t="n">
        <v>74</v>
      </c>
      <c r="B145" t="n">
        <v>6215</v>
      </c>
      <c r="C145" t="inlineStr">
        <is>
          <t>DIEBOLD</t>
        </is>
      </c>
      <c r="D145" t="inlineStr">
        <is>
          <t>Multifuncional</t>
        </is>
      </c>
      <c r="E145" t="inlineStr">
        <is>
          <t>PASTO</t>
        </is>
      </c>
      <c r="F145" t="inlineStr">
        <is>
          <t>Norma Constanza Barrera Pabon</t>
        </is>
      </c>
      <c r="G145" t="inlineStr">
        <is>
          <t>JHCISNE</t>
        </is>
      </c>
      <c r="H145" s="3" t="n">
        <v>46093</v>
      </c>
    </row>
    <row r="146">
      <c r="A146" t="n">
        <v>178</v>
      </c>
      <c r="B146" t="n">
        <v>6218</v>
      </c>
      <c r="C146" t="inlineStr">
        <is>
          <t>BELLTECH</t>
        </is>
      </c>
      <c r="D146" t="inlineStr">
        <is>
          <t>Multifuncional</t>
        </is>
      </c>
      <c r="E146" t="inlineStr">
        <is>
          <t>CENTRO FINANCIERO</t>
        </is>
      </c>
      <c r="F146" t="inlineStr">
        <is>
          <t>Kirsys Nadyra Robelto Sanchez</t>
        </is>
      </c>
      <c r="G146" t="inlineStr">
        <is>
          <t>CLLAZARO</t>
        </is>
      </c>
      <c r="H146" s="3" t="n">
        <v>46099</v>
      </c>
    </row>
    <row r="147">
      <c r="A147" t="n">
        <v>236</v>
      </c>
      <c r="B147" t="n">
        <v>6242</v>
      </c>
      <c r="C147" t="inlineStr">
        <is>
          <t>BELLTECH</t>
        </is>
      </c>
      <c r="D147" t="inlineStr">
        <is>
          <t>Multifuncional</t>
        </is>
      </c>
      <c r="E147" t="inlineStr">
        <is>
          <t>ÉXITO COLOMBIA</t>
        </is>
      </c>
      <c r="F147" t="inlineStr">
        <is>
          <t>Ana Maria Echavarria Gonzalez</t>
        </is>
      </c>
      <c r="G147" t="inlineStr">
        <is>
          <t>YLLOZANO</t>
        </is>
      </c>
      <c r="H147" s="3" t="n">
        <v>46093</v>
      </c>
    </row>
    <row r="148">
      <c r="A148" t="n">
        <v>231</v>
      </c>
      <c r="B148" t="n">
        <v>6243</v>
      </c>
      <c r="C148" t="inlineStr">
        <is>
          <t>BELLTECH</t>
        </is>
      </c>
      <c r="D148" t="inlineStr">
        <is>
          <t>Multifuncional</t>
        </is>
      </c>
      <c r="E148" t="inlineStr">
        <is>
          <t>BARRIO RICAURTE</t>
        </is>
      </c>
      <c r="F148" t="inlineStr">
        <is>
          <t>Victoria Eugenia Guaqueta Murcia</t>
        </is>
      </c>
      <c r="G148" t="inlineStr">
        <is>
          <t>DPRODRIG</t>
        </is>
      </c>
      <c r="H148" s="3" t="n">
        <v>46086</v>
      </c>
    </row>
    <row r="149">
      <c r="A149" t="n">
        <v>79</v>
      </c>
      <c r="B149" t="n">
        <v>6245</v>
      </c>
      <c r="C149" t="inlineStr">
        <is>
          <t>BELLTECH</t>
        </is>
      </c>
      <c r="D149" t="inlineStr">
        <is>
          <t>Multifuncional</t>
        </is>
      </c>
      <c r="E149" t="inlineStr">
        <is>
          <t>LA QUINTA</t>
        </is>
      </c>
      <c r="F149" t="inlineStr">
        <is>
          <t>Edwin Andres Lievano Orjuela</t>
        </is>
      </c>
      <c r="G149" t="inlineStr">
        <is>
          <t>CDOMINGU</t>
        </is>
      </c>
      <c r="H149" s="3" t="n">
        <v>46086</v>
      </c>
    </row>
    <row r="150">
      <c r="A150" t="n">
        <v>78</v>
      </c>
      <c r="B150" t="n">
        <v>6246</v>
      </c>
      <c r="C150" t="inlineStr">
        <is>
          <t>BELLTECH</t>
        </is>
      </c>
      <c r="D150" t="inlineStr">
        <is>
          <t>Multifuncional</t>
        </is>
      </c>
      <c r="E150" t="inlineStr">
        <is>
          <t>EL CACIQUE</t>
        </is>
      </c>
      <c r="F150" t="inlineStr">
        <is>
          <t>Yenis Meybi Fernandez Marin</t>
        </is>
      </c>
      <c r="G150" t="inlineStr">
        <is>
          <t>PCALDERO</t>
        </is>
      </c>
      <c r="H150" s="3" t="n">
        <v>46099</v>
      </c>
    </row>
    <row r="151">
      <c r="A151" t="n">
        <v>718</v>
      </c>
      <c r="B151" t="n">
        <v>6248</v>
      </c>
      <c r="C151" t="inlineStr">
        <is>
          <t>BELLTECH</t>
        </is>
      </c>
      <c r="D151" t="inlineStr">
        <is>
          <t>Multifuncional</t>
        </is>
      </c>
      <c r="E151" t="inlineStr">
        <is>
          <t>LA ESTACION IBAGUE</t>
        </is>
      </c>
      <c r="F151" t="inlineStr">
        <is>
          <t>Edwin Andres Lievano Orjuela</t>
        </is>
      </c>
      <c r="G151" t="inlineStr">
        <is>
          <t>GEBARRER</t>
        </is>
      </c>
      <c r="H151" s="3" t="n">
        <v>46093</v>
      </c>
    </row>
    <row r="152">
      <c r="A152" t="n">
        <v>477</v>
      </c>
      <c r="B152" t="n">
        <v>6251</v>
      </c>
      <c r="C152" t="inlineStr">
        <is>
          <t>BELLTECH</t>
        </is>
      </c>
      <c r="D152" t="inlineStr">
        <is>
          <t>Multifuncional</t>
        </is>
      </c>
      <c r="E152" t="inlineStr">
        <is>
          <t>GRANCENTRO</t>
        </is>
      </c>
      <c r="F152" t="inlineStr">
        <is>
          <t>Maria Teresa Chaves Ahumada</t>
        </is>
      </c>
      <c r="G152" t="inlineStr">
        <is>
          <t>GINSALAS</t>
        </is>
      </c>
      <c r="H152" s="3" t="n">
        <v>46092</v>
      </c>
      <c r="I152" t="inlineStr">
        <is>
          <t>2 Días</t>
        </is>
      </c>
    </row>
    <row r="153">
      <c r="A153" t="n">
        <v>337</v>
      </c>
      <c r="B153" t="n">
        <v>6253</v>
      </c>
      <c r="C153" t="inlineStr">
        <is>
          <t>BELLTECH</t>
        </is>
      </c>
      <c r="D153" t="inlineStr">
        <is>
          <t>Multifuncional</t>
        </is>
      </c>
      <c r="E153" t="inlineStr">
        <is>
          <t>CHIA</t>
        </is>
      </c>
      <c r="F153" t="inlineStr">
        <is>
          <t>Nidya Marcela Poveda Sanchez</t>
        </is>
      </c>
      <c r="G153" t="inlineStr">
        <is>
          <t>DMPARADA</t>
        </is>
      </c>
      <c r="H153" s="3" t="n">
        <v>46099</v>
      </c>
      <c r="I153" t="inlineStr">
        <is>
          <t>2 Días</t>
        </is>
      </c>
    </row>
    <row r="154">
      <c r="A154" t="n">
        <v>524</v>
      </c>
      <c r="B154" t="n">
        <v>6336</v>
      </c>
      <c r="C154" t="inlineStr">
        <is>
          <t>BELLTECH</t>
        </is>
      </c>
      <c r="D154" t="inlineStr">
        <is>
          <t>Multifuncional</t>
        </is>
      </c>
      <c r="E154" t="inlineStr">
        <is>
          <t>VALLEDUPAR</t>
        </is>
      </c>
      <c r="F154" t="inlineStr">
        <is>
          <t>Alicia Minerva Fontalvo Reales</t>
        </is>
      </c>
      <c r="G154" t="inlineStr">
        <is>
          <t>ANGMARTI</t>
        </is>
      </c>
      <c r="H154" s="3" t="n">
        <v>46093</v>
      </c>
    </row>
    <row r="155">
      <c r="A155" t="n">
        <v>37</v>
      </c>
      <c r="B155" t="n">
        <v>6406</v>
      </c>
      <c r="C155" t="inlineStr">
        <is>
          <t>BELLTECH</t>
        </is>
      </c>
      <c r="D155" t="inlineStr">
        <is>
          <t>Multifuncional</t>
        </is>
      </c>
      <c r="E155" t="inlineStr">
        <is>
          <t>CALLE ONCE</t>
        </is>
      </c>
      <c r="F155" t="inlineStr">
        <is>
          <t>Victoria Eugenia Guaqueta Murcia</t>
        </is>
      </c>
      <c r="G155" t="inlineStr">
        <is>
          <t>CRALFONS</t>
        </is>
      </c>
      <c r="H155" s="3" t="n">
        <v>46093</v>
      </c>
    </row>
    <row r="156">
      <c r="A156" t="n">
        <v>601</v>
      </c>
      <c r="B156" t="n">
        <v>6407</v>
      </c>
      <c r="C156" t="inlineStr">
        <is>
          <t>BELLTECH</t>
        </is>
      </c>
      <c r="D156" t="inlineStr">
        <is>
          <t>Multifuncional</t>
        </is>
      </c>
      <c r="E156" t="inlineStr">
        <is>
          <t>PARQUE LA COLINA</t>
        </is>
      </c>
      <c r="F156" t="inlineStr">
        <is>
          <t>Camilo Andres Mila Jimenez</t>
        </is>
      </c>
      <c r="G156" t="inlineStr">
        <is>
          <t>DERAMIRE</t>
        </is>
      </c>
      <c r="H156" s="3" t="n">
        <v>46098</v>
      </c>
    </row>
    <row r="157">
      <c r="A157" t="n">
        <v>379</v>
      </c>
      <c r="B157" t="n">
        <v>6465</v>
      </c>
      <c r="C157" t="inlineStr">
        <is>
          <t>BELLTECH</t>
        </is>
      </c>
      <c r="D157" t="inlineStr">
        <is>
          <t>Multifuncional</t>
        </is>
      </c>
      <c r="E157" t="inlineStr">
        <is>
          <t>EL TESORO</t>
        </is>
      </c>
      <c r="F157" t="inlineStr">
        <is>
          <t>Natalia Zuluaga Rodriguez</t>
        </is>
      </c>
      <c r="G157" t="inlineStr">
        <is>
          <t>ALEXASAN</t>
        </is>
      </c>
      <c r="H157" s="3" t="n">
        <v>46092</v>
      </c>
    </row>
    <row r="158">
      <c r="A158" t="n">
        <v>894</v>
      </c>
      <c r="B158" t="n">
        <v>6466</v>
      </c>
      <c r="C158" t="inlineStr">
        <is>
          <t>BELLTECH</t>
        </is>
      </c>
      <c r="D158" t="inlineStr">
        <is>
          <t>Multifuncional</t>
        </is>
      </c>
      <c r="E158" t="inlineStr">
        <is>
          <t>TUMACO</t>
        </is>
      </c>
      <c r="F158" t="inlineStr">
        <is>
          <t>Norma Constanza Barrera Pabon</t>
        </is>
      </c>
      <c r="G158" t="inlineStr">
        <is>
          <t>DIARQUIN</t>
        </is>
      </c>
      <c r="H158" s="3" t="n">
        <v>46100</v>
      </c>
    </row>
    <row r="159">
      <c r="A159" t="n">
        <v>237</v>
      </c>
      <c r="B159" t="n">
        <v>6467</v>
      </c>
      <c r="C159" t="inlineStr">
        <is>
          <t>BELLTECH</t>
        </is>
      </c>
      <c r="D159" t="inlineStr">
        <is>
          <t>Multifuncional</t>
        </is>
      </c>
      <c r="E159" t="inlineStr">
        <is>
          <t>DORADO PLAZA</t>
        </is>
      </c>
      <c r="F159" t="inlineStr">
        <is>
          <t>Fabio Orlando Bosa Poveda</t>
        </is>
      </c>
      <c r="G159" t="inlineStr">
        <is>
          <t>EHUERFAN</t>
        </is>
      </c>
      <c r="H159" s="3" t="n">
        <v>46093</v>
      </c>
    </row>
    <row r="160">
      <c r="A160" t="n">
        <v>202</v>
      </c>
      <c r="B160" t="n">
        <v>6608</v>
      </c>
      <c r="C160" t="inlineStr">
        <is>
          <t>BELLTECH</t>
        </is>
      </c>
      <c r="D160" t="inlineStr">
        <is>
          <t>Multifuncional</t>
        </is>
      </c>
      <c r="E160" t="inlineStr">
        <is>
          <t>AVENIDA PEPE SIERRA</t>
        </is>
      </c>
      <c r="F160" t="inlineStr">
        <is>
          <t>Camilo Andres Mila Jimenez</t>
        </is>
      </c>
      <c r="G160" t="inlineStr">
        <is>
          <t>LUISACOS</t>
        </is>
      </c>
      <c r="H160" s="3" t="n">
        <v>46098</v>
      </c>
    </row>
    <row r="161">
      <c r="A161" t="n">
        <v>317</v>
      </c>
      <c r="B161" t="n">
        <v>6613</v>
      </c>
      <c r="C161" t="inlineStr">
        <is>
          <t>DIEBOLD</t>
        </is>
      </c>
      <c r="D161" t="inlineStr">
        <is>
          <t>Multifuncional</t>
        </is>
      </c>
      <c r="E161" t="inlineStr">
        <is>
          <t>ARAUCA</t>
        </is>
      </c>
      <c r="F161" t="inlineStr">
        <is>
          <t>Adriana Maritza Angulo Mora</t>
        </is>
      </c>
      <c r="G161" t="inlineStr">
        <is>
          <t>VICARDEN</t>
        </is>
      </c>
      <c r="H161" s="3" t="n">
        <v>46099</v>
      </c>
    </row>
    <row r="162">
      <c r="A162" t="n">
        <v>352</v>
      </c>
      <c r="B162" t="n">
        <v>6618</v>
      </c>
      <c r="C162" t="inlineStr">
        <is>
          <t>BELLTECH</t>
        </is>
      </c>
      <c r="D162" t="inlineStr">
        <is>
          <t>Multifuncional</t>
        </is>
      </c>
      <c r="E162" t="inlineStr">
        <is>
          <t>CHIQUINQUIRA</t>
        </is>
      </c>
      <c r="F162" t="inlineStr">
        <is>
          <t>Yury Yaquelin Daza Congo</t>
        </is>
      </c>
      <c r="G162" t="inlineStr">
        <is>
          <t>LAGAITAN</t>
        </is>
      </c>
      <c r="H162" s="3" t="n">
        <v>46091</v>
      </c>
    </row>
    <row r="163">
      <c r="A163" t="n">
        <v>138</v>
      </c>
      <c r="B163" t="n">
        <v>6628</v>
      </c>
      <c r="C163" t="inlineStr">
        <is>
          <t>DIEBOLD</t>
        </is>
      </c>
      <c r="D163" t="inlineStr">
        <is>
          <t>Multifuncional</t>
        </is>
      </c>
      <c r="E163" t="inlineStr">
        <is>
          <t>MOSQUERA</t>
        </is>
      </c>
      <c r="F163" t="inlineStr">
        <is>
          <t>Pedro Javier Yazzo Moreno</t>
        </is>
      </c>
      <c r="G163" t="inlineStr">
        <is>
          <t>SAESCOBA</t>
        </is>
      </c>
      <c r="H163" s="3" t="n">
        <v>46093</v>
      </c>
    </row>
    <row r="164">
      <c r="A164" t="n">
        <v>613</v>
      </c>
      <c r="B164" t="n">
        <v>6713</v>
      </c>
      <c r="C164" t="inlineStr">
        <is>
          <t>DIEBOLD</t>
        </is>
      </c>
      <c r="D164" t="inlineStr">
        <is>
          <t>Multifuncional</t>
        </is>
      </c>
      <c r="E164" t="inlineStr">
        <is>
          <t>LA AMERICA</t>
        </is>
      </c>
      <c r="F164" t="inlineStr">
        <is>
          <t>Ana Maria Echavarria Gonzalez</t>
        </is>
      </c>
      <c r="G164" t="inlineStr">
        <is>
          <t>JGARCIAG</t>
        </is>
      </c>
      <c r="H164" s="3" t="n">
        <v>46093</v>
      </c>
    </row>
    <row r="165">
      <c r="A165" t="n">
        <v>764</v>
      </c>
      <c r="B165" t="n">
        <v>6715</v>
      </c>
      <c r="C165" t="inlineStr">
        <is>
          <t>BELLTECH</t>
        </is>
      </c>
      <c r="D165" t="inlineStr">
        <is>
          <t>Multifuncional</t>
        </is>
      </c>
      <c r="E165" t="inlineStr">
        <is>
          <t>JAMUNDI</t>
        </is>
      </c>
      <c r="F165" t="inlineStr">
        <is>
          <t>Hector Mario Rendon Ocampo</t>
        </is>
      </c>
      <c r="G165" t="inlineStr">
        <is>
          <t>ACHACON</t>
        </is>
      </c>
      <c r="H165" s="3" t="n">
        <v>46100</v>
      </c>
    </row>
    <row r="166">
      <c r="A166" t="n">
        <v>843</v>
      </c>
      <c r="B166" t="n">
        <v>6716</v>
      </c>
      <c r="C166" t="inlineStr">
        <is>
          <t>BELLTECH</t>
        </is>
      </c>
      <c r="D166" t="inlineStr">
        <is>
          <t>Multifuncional</t>
        </is>
      </c>
      <c r="E166" t="inlineStr">
        <is>
          <t>CALLE SEGUNDA</t>
        </is>
      </c>
      <c r="F166" t="inlineStr">
        <is>
          <t>Yamileth Abella Bonilla</t>
        </is>
      </c>
      <c r="G166" t="inlineStr">
        <is>
          <t>CAGAVIRI</t>
        </is>
      </c>
      <c r="H166" s="3" t="n">
        <v>46091</v>
      </c>
    </row>
    <row r="167">
      <c r="A167" t="n">
        <v>371</v>
      </c>
      <c r="B167" t="n">
        <v>6718</v>
      </c>
      <c r="C167" t="inlineStr">
        <is>
          <t>BELLTECH</t>
        </is>
      </c>
      <c r="D167" t="inlineStr">
        <is>
          <t>Multifuncional</t>
        </is>
      </c>
      <c r="E167" t="inlineStr">
        <is>
          <t>CAUCASIA</t>
        </is>
      </c>
      <c r="F167" t="inlineStr">
        <is>
          <t>Magaly Del Socorro Cabrales Isaac</t>
        </is>
      </c>
      <c r="G167" t="inlineStr">
        <is>
          <t>RYOLI</t>
        </is>
      </c>
      <c r="H167" s="3" t="n">
        <v>46093</v>
      </c>
    </row>
    <row r="168">
      <c r="A168" t="n">
        <v>348</v>
      </c>
      <c r="B168" t="n">
        <v>6724</v>
      </c>
      <c r="C168" t="inlineStr">
        <is>
          <t>DIEBOLD</t>
        </is>
      </c>
      <c r="D168" t="inlineStr">
        <is>
          <t>Multifuncional</t>
        </is>
      </c>
      <c r="E168" t="inlineStr">
        <is>
          <t>SAN ANDRES</t>
        </is>
      </c>
      <c r="F168" t="inlineStr">
        <is>
          <t>Didi Alejandra Pareja Medina</t>
        </is>
      </c>
      <c r="G168" t="inlineStr">
        <is>
          <t>PPOLO</t>
        </is>
      </c>
      <c r="H168" s="3" t="n">
        <v>46093</v>
      </c>
    </row>
    <row r="169">
      <c r="A169" t="n">
        <v>96</v>
      </c>
      <c r="B169" t="n">
        <v>6735</v>
      </c>
      <c r="C169" t="inlineStr">
        <is>
          <t>BELLTECH</t>
        </is>
      </c>
      <c r="D169" t="inlineStr">
        <is>
          <t>Multifuncional</t>
        </is>
      </c>
      <c r="E169" t="inlineStr">
        <is>
          <t>MAICAO</t>
        </is>
      </c>
      <c r="F169" t="inlineStr">
        <is>
          <t>Alicia Minerva Fontalvo Reales</t>
        </is>
      </c>
      <c r="G169" t="inlineStr">
        <is>
          <t>YBRITO</t>
        </is>
      </c>
      <c r="H169" s="3" t="n">
        <v>46086</v>
      </c>
    </row>
    <row r="170">
      <c r="A170" t="n">
        <v>888</v>
      </c>
      <c r="B170" t="n">
        <v>6818</v>
      </c>
      <c r="C170" t="inlineStr">
        <is>
          <t>BELLTECH</t>
        </is>
      </c>
      <c r="D170" t="inlineStr">
        <is>
          <t>Multifuncional</t>
        </is>
      </c>
      <c r="E170" t="inlineStr">
        <is>
          <t>Ipiales</t>
        </is>
      </c>
      <c r="F170" t="inlineStr">
        <is>
          <t>Norma Constanza Barrera Pabon</t>
        </is>
      </c>
      <c r="G170" t="inlineStr">
        <is>
          <t>DIEFLORE</t>
        </is>
      </c>
      <c r="H170" s="3" t="n">
        <v>46091</v>
      </c>
      <c r="K170" t="inlineStr">
        <is>
          <t>Inicia 15 Agosto</t>
        </is>
      </c>
    </row>
    <row r="171">
      <c r="A171" t="n">
        <v>20</v>
      </c>
      <c r="B171" t="n">
        <v>6839</v>
      </c>
      <c r="C171" t="inlineStr">
        <is>
          <t>BELLTECH</t>
        </is>
      </c>
      <c r="D171" t="inlineStr">
        <is>
          <t>Multifuncional</t>
        </is>
      </c>
      <c r="E171" t="inlineStr">
        <is>
          <t>BUCARAMANGA</t>
        </is>
      </c>
      <c r="F171" t="inlineStr">
        <is>
          <t>Yenis Meybi Fernandez Marin</t>
        </is>
      </c>
      <c r="G171" t="inlineStr">
        <is>
          <t>TMARCELA</t>
        </is>
      </c>
      <c r="H171" s="3" t="n">
        <v>46093</v>
      </c>
    </row>
    <row r="172">
      <c r="A172" t="n">
        <v>741</v>
      </c>
      <c r="B172" t="n">
        <v>6843</v>
      </c>
      <c r="C172" t="inlineStr">
        <is>
          <t>DIEBOLD</t>
        </is>
      </c>
      <c r="D172" t="inlineStr">
        <is>
          <t>Multifuncional</t>
        </is>
      </c>
      <c r="E172" t="inlineStr">
        <is>
          <t>CALIMA</t>
        </is>
      </c>
      <c r="F172" t="inlineStr">
        <is>
          <t>Hector Mario Rendon Ocampo</t>
        </is>
      </c>
      <c r="G172" t="inlineStr">
        <is>
          <t>DIEGJARA</t>
        </is>
      </c>
      <c r="H172" s="3" t="n">
        <v>46099</v>
      </c>
      <c r="I172" t="inlineStr">
        <is>
          <t>2 Días</t>
        </is>
      </c>
    </row>
    <row r="173">
      <c r="A173" t="n">
        <v>796</v>
      </c>
      <c r="B173" t="n">
        <v>6911</v>
      </c>
      <c r="C173" t="inlineStr">
        <is>
          <t>BELLTECH</t>
        </is>
      </c>
      <c r="D173" t="inlineStr">
        <is>
          <t>Multifuncional</t>
        </is>
      </c>
      <c r="E173" t="inlineStr">
        <is>
          <t>GIRON</t>
        </is>
      </c>
      <c r="F173" t="inlineStr">
        <is>
          <t>Frank William Castillo Leal</t>
        </is>
      </c>
      <c r="G173" t="inlineStr">
        <is>
          <t>ADCALA</t>
        </is>
      </c>
      <c r="H173" s="3" t="n">
        <v>46098</v>
      </c>
    </row>
    <row r="174">
      <c r="A174" t="n">
        <v>536</v>
      </c>
      <c r="B174" t="n">
        <v>6927</v>
      </c>
      <c r="C174" t="inlineStr">
        <is>
          <t>DIEBOLD</t>
        </is>
      </c>
      <c r="D174" t="inlineStr">
        <is>
          <t>Multifuncional</t>
        </is>
      </c>
      <c r="E174" t="inlineStr">
        <is>
          <t>QUIBDO</t>
        </is>
      </c>
      <c r="F174" t="inlineStr">
        <is>
          <t>Julian Alejandro Rodriguez Escobar</t>
        </is>
      </c>
      <c r="G174" t="inlineStr">
        <is>
          <t>LCARRASC</t>
        </is>
      </c>
      <c r="H174" s="3" t="n">
        <v>46092</v>
      </c>
    </row>
    <row r="175">
      <c r="A175" t="n">
        <v>658</v>
      </c>
      <c r="B175" t="n">
        <v>7074</v>
      </c>
      <c r="C175" t="inlineStr">
        <is>
          <t>DIEBOLD</t>
        </is>
      </c>
      <c r="D175" t="inlineStr">
        <is>
          <t>Multifuncional</t>
        </is>
      </c>
      <c r="E175" t="inlineStr">
        <is>
          <t>BELLA SUIZA</t>
        </is>
      </c>
      <c r="F175" t="inlineStr">
        <is>
          <t>Camilo Andres Mila Jimenez</t>
        </is>
      </c>
      <c r="G175" t="inlineStr">
        <is>
          <t>YEGARCIA</t>
        </is>
      </c>
      <c r="H175" s="3" t="n">
        <v>46099</v>
      </c>
      <c r="I175" t="inlineStr">
        <is>
          <t>2 Días</t>
        </is>
      </c>
    </row>
    <row r="176">
      <c r="A176" t="n">
        <v>306</v>
      </c>
      <c r="B176" t="n">
        <v>7097</v>
      </c>
      <c r="C176" t="inlineStr">
        <is>
          <t>DIEBOLD</t>
        </is>
      </c>
      <c r="D176" t="inlineStr">
        <is>
          <t>Multifuncional</t>
        </is>
      </c>
      <c r="E176" t="inlineStr">
        <is>
          <t>BARRANCABERMEJA</t>
        </is>
      </c>
      <c r="F176" t="inlineStr">
        <is>
          <t>Frank William Castillo Leal</t>
        </is>
      </c>
      <c r="G176" t="inlineStr">
        <is>
          <t>ASAJONER</t>
        </is>
      </c>
      <c r="H176" s="3" t="n">
        <v>46099</v>
      </c>
    </row>
    <row r="177">
      <c r="A177" t="n">
        <v>549</v>
      </c>
      <c r="B177" t="n">
        <v>7123</v>
      </c>
      <c r="C177" t="inlineStr">
        <is>
          <t>BELLTECH</t>
        </is>
      </c>
      <c r="D177" t="inlineStr">
        <is>
          <t>Multifuncional</t>
        </is>
      </c>
      <c r="E177" t="inlineStr">
        <is>
          <t>PLAZA DEL RIO</t>
        </is>
      </c>
      <c r="F177" t="inlineStr">
        <is>
          <t>Julian Alejandro Rodriguez Escobar</t>
        </is>
      </c>
      <c r="G177" t="inlineStr">
        <is>
          <t>EPAEZ</t>
        </is>
      </c>
      <c r="H177" s="3" t="n">
        <v>46093</v>
      </c>
    </row>
    <row r="178">
      <c r="A178" t="n">
        <v>677</v>
      </c>
      <c r="B178" t="n">
        <v>7124</v>
      </c>
      <c r="C178" t="inlineStr">
        <is>
          <t>DIEBOLD</t>
        </is>
      </c>
      <c r="D178" t="inlineStr">
        <is>
          <t>Multifuncional</t>
        </is>
      </c>
      <c r="E178" t="inlineStr">
        <is>
          <t>PLAZA DE MERCADO MONTERIA</t>
        </is>
      </c>
      <c r="F178" t="inlineStr">
        <is>
          <t>Magaly Del Socorro Cabrales Isaac</t>
        </is>
      </c>
      <c r="G178" t="inlineStr">
        <is>
          <t>CARMENDO</t>
        </is>
      </c>
      <c r="H178" s="3" t="n">
        <v>46092</v>
      </c>
    </row>
    <row r="179">
      <c r="A179" t="n">
        <v>484</v>
      </c>
      <c r="B179" t="n">
        <v>7125</v>
      </c>
      <c r="C179" t="inlineStr">
        <is>
          <t>DIEBOLD</t>
        </is>
      </c>
      <c r="D179" t="inlineStr">
        <is>
          <t>Multifuncional</t>
        </is>
      </c>
      <c r="E179" t="inlineStr">
        <is>
          <t>MAGANGUE</t>
        </is>
      </c>
      <c r="F179" t="inlineStr">
        <is>
          <t>Magaly Del Socorro Cabrales Isaac</t>
        </is>
      </c>
      <c r="G179" t="inlineStr">
        <is>
          <t>FRSUAREZ</t>
        </is>
      </c>
      <c r="H179" s="3" t="n">
        <v>46092</v>
      </c>
    </row>
    <row r="180">
      <c r="A180" t="n">
        <v>93</v>
      </c>
      <c r="B180" t="n">
        <v>7126</v>
      </c>
      <c r="C180" t="inlineStr">
        <is>
          <t>BELLTECH</t>
        </is>
      </c>
      <c r="D180" t="inlineStr">
        <is>
          <t>Multifuncional</t>
        </is>
      </c>
      <c r="E180" t="inlineStr">
        <is>
          <t>SAHAGUN</t>
        </is>
      </c>
      <c r="F180" t="inlineStr">
        <is>
          <t>Magaly Del Socorro Cabrales Isaac</t>
        </is>
      </c>
      <c r="G180" t="inlineStr">
        <is>
          <t>LCHAVEZ</t>
        </is>
      </c>
      <c r="H180" s="3" t="n">
        <v>46099</v>
      </c>
    </row>
    <row r="181">
      <c r="A181" t="n">
        <v>123</v>
      </c>
      <c r="B181" t="n">
        <v>7134</v>
      </c>
      <c r="C181" t="inlineStr">
        <is>
          <t>DIEBOLD</t>
        </is>
      </c>
      <c r="D181" t="inlineStr">
        <is>
          <t>Multifuncional</t>
        </is>
      </c>
      <c r="E181" t="inlineStr">
        <is>
          <t>CENTRO DE PAGOS RIONEGRO</t>
        </is>
      </c>
      <c r="F181" t="inlineStr">
        <is>
          <t>Juan Fernando Alzate Valencia</t>
        </is>
      </c>
      <c r="G181" t="inlineStr">
        <is>
          <t>GCARMONA</t>
        </is>
      </c>
      <c r="H181" s="3" t="n">
        <v>46099</v>
      </c>
      <c r="I181" t="inlineStr">
        <is>
          <t>2 Días</t>
        </is>
      </c>
    </row>
    <row r="182">
      <c r="A182" t="n">
        <v>385</v>
      </c>
      <c r="B182" t="n">
        <v>7139</v>
      </c>
      <c r="C182" t="inlineStr">
        <is>
          <t>BELLTECH</t>
        </is>
      </c>
      <c r="D182" t="inlineStr">
        <is>
          <t>Multifuncional</t>
        </is>
      </c>
      <c r="E182" t="inlineStr">
        <is>
          <t>VILLETA</t>
        </is>
      </c>
      <c r="F182" t="inlineStr">
        <is>
          <t>Pedro Javier Yazzo Moreno</t>
        </is>
      </c>
      <c r="G182" t="inlineStr">
        <is>
          <t>IFERRO</t>
        </is>
      </c>
      <c r="H182" s="3" t="n">
        <v>46093</v>
      </c>
    </row>
    <row r="183">
      <c r="A183" t="n">
        <v>233</v>
      </c>
      <c r="B183" t="n">
        <v>7212</v>
      </c>
      <c r="C183" t="inlineStr">
        <is>
          <t>BELLTECH</t>
        </is>
      </c>
      <c r="D183" t="inlineStr">
        <is>
          <t>Multifuncional</t>
        </is>
      </c>
      <c r="E183" t="inlineStr">
        <is>
          <t>BARRIO RESTREPO</t>
        </is>
      </c>
      <c r="F183" t="inlineStr">
        <is>
          <t>Samuel Alexander Mendez Suarez</t>
        </is>
      </c>
      <c r="G183" t="inlineStr">
        <is>
          <t>OPSANCHE</t>
        </is>
      </c>
      <c r="H183" s="3" t="n">
        <v>46093</v>
      </c>
    </row>
    <row r="184">
      <c r="A184" t="n">
        <v>8</v>
      </c>
      <c r="B184" t="n">
        <v>7272</v>
      </c>
      <c r="C184" t="inlineStr">
        <is>
          <t>DIEBOLD</t>
        </is>
      </c>
      <c r="D184" t="inlineStr">
        <is>
          <t>Multifuncional</t>
        </is>
      </c>
      <c r="E184" t="inlineStr">
        <is>
          <t>LA PLAYA</t>
        </is>
      </c>
      <c r="F184" t="inlineStr">
        <is>
          <t>Katherine Zapata Cano</t>
        </is>
      </c>
      <c r="G184" t="inlineStr">
        <is>
          <t>OGUARDO</t>
        </is>
      </c>
      <c r="H184" s="3" t="n">
        <v>46099</v>
      </c>
    </row>
    <row r="185">
      <c r="A185" t="n">
        <v>506</v>
      </c>
      <c r="B185" t="n">
        <v>7316</v>
      </c>
      <c r="C185" t="inlineStr">
        <is>
          <t>DIEBOLD</t>
        </is>
      </c>
      <c r="D185" t="inlineStr">
        <is>
          <t>Multifuncional</t>
        </is>
      </c>
      <c r="E185" t="inlineStr">
        <is>
          <t>SINCELEJO</t>
        </is>
      </c>
      <c r="F185" t="inlineStr">
        <is>
          <t>Magaly Del Socorro Cabrales Isaac</t>
        </is>
      </c>
      <c r="G185" t="inlineStr">
        <is>
          <t>MEBARRIO</t>
        </is>
      </c>
      <c r="H185" s="3" t="n">
        <v>46091</v>
      </c>
    </row>
    <row r="186">
      <c r="A186" t="n">
        <v>651</v>
      </c>
      <c r="B186" t="n">
        <v>7318</v>
      </c>
      <c r="C186" t="inlineStr">
        <is>
          <t>DIEBOLD</t>
        </is>
      </c>
      <c r="D186" t="inlineStr">
        <is>
          <t>Multifuncional</t>
        </is>
      </c>
      <c r="E186" t="inlineStr">
        <is>
          <t>BARBOSA</t>
        </is>
      </c>
      <c r="F186" t="inlineStr">
        <is>
          <t>Julian Alejandro Rodriguez Escobar</t>
        </is>
      </c>
      <c r="G186" t="inlineStr">
        <is>
          <t>ESTORRES</t>
        </is>
      </c>
      <c r="H186" s="3" t="n">
        <v>46091</v>
      </c>
    </row>
    <row r="187">
      <c r="A187" t="n">
        <v>389</v>
      </c>
      <c r="B187" t="n">
        <v>7327</v>
      </c>
      <c r="C187" t="inlineStr">
        <is>
          <t>BELLTECH</t>
        </is>
      </c>
      <c r="D187" t="inlineStr">
        <is>
          <t>Multifuncional</t>
        </is>
      </c>
      <c r="E187" t="inlineStr">
        <is>
          <t>MARIQUITA</t>
        </is>
      </c>
      <c r="F187" t="inlineStr">
        <is>
          <t>Edwin Andres Lievano Orjuela</t>
        </is>
      </c>
      <c r="G187" t="inlineStr">
        <is>
          <t>ETABARES</t>
        </is>
      </c>
      <c r="H187" s="3" t="n">
        <v>46099</v>
      </c>
    </row>
    <row r="188">
      <c r="A188" t="n">
        <v>41</v>
      </c>
      <c r="B188" t="n">
        <v>7341</v>
      </c>
      <c r="C188" t="inlineStr">
        <is>
          <t>DIEBOLD</t>
        </is>
      </c>
      <c r="D188" t="inlineStr">
        <is>
          <t>Multifuncional</t>
        </is>
      </c>
      <c r="E188" t="inlineStr">
        <is>
          <t>PLAZA ESPAÑA</t>
        </is>
      </c>
      <c r="F188" t="inlineStr">
        <is>
          <t>Victoria Eugenia Guaqueta Murcia</t>
        </is>
      </c>
      <c r="G188" t="inlineStr">
        <is>
          <t>SPANCHA</t>
        </is>
      </c>
      <c r="H188" s="3" t="n">
        <v>46091</v>
      </c>
    </row>
    <row r="189">
      <c r="A189" t="n">
        <v>848</v>
      </c>
      <c r="B189" t="n">
        <v>7374</v>
      </c>
      <c r="C189" t="inlineStr">
        <is>
          <t>DIEBOLD</t>
        </is>
      </c>
      <c r="D189" t="inlineStr">
        <is>
          <t>Multifuncional</t>
        </is>
      </c>
      <c r="E189" t="inlineStr">
        <is>
          <t>BUGA</t>
        </is>
      </c>
      <c r="F189" t="inlineStr">
        <is>
          <t>John Didier Villegas Martinez</t>
        </is>
      </c>
      <c r="G189" t="inlineStr">
        <is>
          <t>CVRODRIG</t>
        </is>
      </c>
      <c r="H189" s="3" t="n">
        <v>46099</v>
      </c>
    </row>
    <row r="190">
      <c r="A190" t="n">
        <v>623</v>
      </c>
      <c r="B190" t="n">
        <v>7375</v>
      </c>
      <c r="C190" t="inlineStr">
        <is>
          <t>BELLTECH</t>
        </is>
      </c>
      <c r="D190" t="inlineStr">
        <is>
          <t>Multifuncional</t>
        </is>
      </c>
      <c r="E190" t="inlineStr">
        <is>
          <t>FUNDADORES MANIZALES</t>
        </is>
      </c>
      <c r="F190" t="inlineStr">
        <is>
          <t>Sergio Arias Pelaez</t>
        </is>
      </c>
      <c r="G190" t="inlineStr">
        <is>
          <t>ELIZLOND</t>
        </is>
      </c>
      <c r="H190" s="3" t="n">
        <v>46086</v>
      </c>
    </row>
    <row r="191">
      <c r="A191" t="n">
        <v>172</v>
      </c>
      <c r="B191" t="n">
        <v>7429</v>
      </c>
      <c r="C191" t="inlineStr">
        <is>
          <t>BELLTECH</t>
        </is>
      </c>
      <c r="D191" t="inlineStr">
        <is>
          <t>Multifuncional</t>
        </is>
      </c>
      <c r="E191" t="inlineStr">
        <is>
          <t>TELEPORT</t>
        </is>
      </c>
      <c r="F191" t="inlineStr">
        <is>
          <t>Camilo Andres Mila Jimenez</t>
        </is>
      </c>
      <c r="G191" t="inlineStr">
        <is>
          <t>EPONCEQ</t>
        </is>
      </c>
      <c r="H191" s="3" t="n">
        <v>46092</v>
      </c>
    </row>
    <row r="192">
      <c r="A192" t="n">
        <v>332</v>
      </c>
      <c r="B192" t="n">
        <v>7569</v>
      </c>
      <c r="C192" t="inlineStr">
        <is>
          <t>BELLTECH</t>
        </is>
      </c>
      <c r="D192" t="inlineStr">
        <is>
          <t>Multifuncional</t>
        </is>
      </c>
      <c r="E192" t="inlineStr">
        <is>
          <t>ZIPAQUIRA</t>
        </is>
      </c>
      <c r="F192" t="inlineStr">
        <is>
          <t>Nidya Marcela Poveda Sanchez</t>
        </is>
      </c>
      <c r="G192" t="inlineStr">
        <is>
          <t>ABFIGUER</t>
        </is>
      </c>
      <c r="H192" s="3" t="n">
        <v>46100</v>
      </c>
    </row>
    <row r="193">
      <c r="A193" t="n">
        <v>812</v>
      </c>
      <c r="B193" t="n">
        <v>7613</v>
      </c>
      <c r="C193" t="inlineStr">
        <is>
          <t>DIEBOLD</t>
        </is>
      </c>
      <c r="D193" t="inlineStr">
        <is>
          <t>Multifuncional</t>
        </is>
      </c>
      <c r="E193" t="inlineStr">
        <is>
          <t>CHIPICHAPE</t>
        </is>
      </c>
      <c r="F193" t="inlineStr">
        <is>
          <t>Hector Mario Rendon Ocampo</t>
        </is>
      </c>
      <c r="G193" t="inlineStr">
        <is>
          <t>DRRAMIRE</t>
        </is>
      </c>
      <c r="H193" s="3" t="n">
        <v>46091</v>
      </c>
    </row>
    <row r="194">
      <c r="A194" t="n">
        <v>812</v>
      </c>
      <c r="B194" t="n">
        <v>7614</v>
      </c>
      <c r="C194" t="inlineStr">
        <is>
          <t>DIEBOLD</t>
        </is>
      </c>
      <c r="D194" t="inlineStr">
        <is>
          <t>Multifuncional</t>
        </is>
      </c>
      <c r="E194" t="inlineStr">
        <is>
          <t>CHIPICHAPE</t>
        </is>
      </c>
      <c r="F194" t="inlineStr">
        <is>
          <t>Hector Mario Rendon Ocampo</t>
        </is>
      </c>
      <c r="G194" t="inlineStr">
        <is>
          <t>DRRAMIRE</t>
        </is>
      </c>
      <c r="H194" s="3" t="n">
        <v>46091</v>
      </c>
    </row>
    <row r="195">
      <c r="A195" t="n">
        <v>318</v>
      </c>
      <c r="B195" t="n">
        <v>7680</v>
      </c>
      <c r="C195" t="inlineStr">
        <is>
          <t>BELLTECH</t>
        </is>
      </c>
      <c r="D195" t="inlineStr">
        <is>
          <t>Multifuncional</t>
        </is>
      </c>
      <c r="E195" t="inlineStr">
        <is>
          <t>OCAÑA</t>
        </is>
      </c>
      <c r="F195" t="inlineStr">
        <is>
          <t>Adriana Maritza Angulo Mora</t>
        </is>
      </c>
      <c r="G195" t="inlineStr">
        <is>
          <t>CYALVARE</t>
        </is>
      </c>
      <c r="H195" s="3" t="n">
        <v>46091</v>
      </c>
      <c r="I195" t="inlineStr">
        <is>
          <t>2 Días</t>
        </is>
      </c>
    </row>
    <row r="196">
      <c r="A196" t="n">
        <v>476</v>
      </c>
      <c r="B196" t="n">
        <v>7759</v>
      </c>
      <c r="C196" t="inlineStr">
        <is>
          <t>DIEBOLD</t>
        </is>
      </c>
      <c r="D196" t="inlineStr">
        <is>
          <t>Multifuncional</t>
        </is>
      </c>
      <c r="E196" t="inlineStr">
        <is>
          <t>PAMPLONA</t>
        </is>
      </c>
      <c r="F196" t="inlineStr">
        <is>
          <t>Adriana Maritza Angulo Mora</t>
        </is>
      </c>
      <c r="G196" t="inlineStr">
        <is>
          <t>ERMENDOZ</t>
        </is>
      </c>
      <c r="H196" s="3" t="n">
        <v>46091</v>
      </c>
    </row>
    <row r="197">
      <c r="A197" t="n">
        <v>7</v>
      </c>
      <c r="B197" t="n">
        <v>7812</v>
      </c>
      <c r="C197" t="inlineStr">
        <is>
          <t>DIEBOLD</t>
        </is>
      </c>
      <c r="D197" t="inlineStr">
        <is>
          <t>Multifuncional</t>
        </is>
      </c>
      <c r="E197" t="inlineStr">
        <is>
          <t>LOS MOLINOS</t>
        </is>
      </c>
      <c r="F197" t="inlineStr">
        <is>
          <t>Ana Maria Echavarria Gonzalez</t>
        </is>
      </c>
      <c r="G197" t="inlineStr">
        <is>
          <t>PATOBONO</t>
        </is>
      </c>
      <c r="H197" s="3" t="n">
        <v>46091</v>
      </c>
    </row>
    <row r="198">
      <c r="A198" t="n">
        <v>609</v>
      </c>
      <c r="B198" t="n">
        <v>7875</v>
      </c>
      <c r="C198" t="inlineStr">
        <is>
          <t>BELLTECH</t>
        </is>
      </c>
      <c r="D198" t="inlineStr">
        <is>
          <t>Multifuncional</t>
        </is>
      </c>
      <c r="E198" t="inlineStr">
        <is>
          <t>CENTRAL DE ABASTOS MEDELLIN</t>
        </is>
      </c>
      <c r="F198" t="inlineStr">
        <is>
          <t>Sandra Milena Cardona Franco</t>
        </is>
      </c>
      <c r="G198" t="inlineStr">
        <is>
          <t>PAGALLEG</t>
        </is>
      </c>
      <c r="H198" s="3" t="n">
        <v>46098</v>
      </c>
    </row>
    <row r="199">
      <c r="A199" t="n">
        <v>609</v>
      </c>
      <c r="B199" t="n">
        <v>7888</v>
      </c>
      <c r="C199" t="inlineStr">
        <is>
          <t>BELLTECH</t>
        </is>
      </c>
      <c r="D199" t="inlineStr">
        <is>
          <t>Multifuncional</t>
        </is>
      </c>
      <c r="E199" t="inlineStr">
        <is>
          <t>CENTRAL DE ABASTOS MEDELLIN</t>
        </is>
      </c>
      <c r="F199" t="inlineStr">
        <is>
          <t>Sandra Milena Cardona Franco</t>
        </is>
      </c>
      <c r="G199" t="inlineStr">
        <is>
          <t>PAGALLEG</t>
        </is>
      </c>
      <c r="H199" s="3" t="n">
        <v>46098</v>
      </c>
    </row>
    <row r="200">
      <c r="A200" t="n">
        <v>166</v>
      </c>
      <c r="B200" t="n">
        <v>7939</v>
      </c>
      <c r="C200" t="inlineStr">
        <is>
          <t>BELLTECH</t>
        </is>
      </c>
      <c r="D200" t="inlineStr">
        <is>
          <t>Multifuncional</t>
        </is>
      </c>
      <c r="E200" t="inlineStr">
        <is>
          <t>ALAMEDAS DEL SINU</t>
        </is>
      </c>
      <c r="F200" t="inlineStr">
        <is>
          <t>Magaly Del Socorro Cabrales Isaac</t>
        </is>
      </c>
      <c r="G200" t="inlineStr">
        <is>
          <t>GEVALVER</t>
        </is>
      </c>
      <c r="H200" s="3" t="n">
        <v>46091</v>
      </c>
    </row>
    <row r="201">
      <c r="A201" t="n">
        <v>166</v>
      </c>
      <c r="B201" t="n">
        <v>7940</v>
      </c>
      <c r="C201" t="inlineStr">
        <is>
          <t>BELLTECH</t>
        </is>
      </c>
      <c r="D201" t="inlineStr">
        <is>
          <t>Multifuncional</t>
        </is>
      </c>
      <c r="E201" t="inlineStr">
        <is>
          <t>ALAMEDAS DEL SINU</t>
        </is>
      </c>
      <c r="F201" t="inlineStr">
        <is>
          <t>Magaly Del Socorro Cabrales Isaac</t>
        </is>
      </c>
      <c r="G201" t="inlineStr">
        <is>
          <t>GEVALVER</t>
        </is>
      </c>
      <c r="H201" s="3" t="n">
        <v>46091</v>
      </c>
    </row>
    <row r="202">
      <c r="A202" t="n">
        <v>91</v>
      </c>
      <c r="B202" t="n">
        <v>7943</v>
      </c>
      <c r="C202" t="inlineStr">
        <is>
          <t>DIEBOLD</t>
        </is>
      </c>
      <c r="D202" t="inlineStr">
        <is>
          <t>Multifuncional</t>
        </is>
      </c>
      <c r="E202" t="inlineStr">
        <is>
          <t>MONTERIA</t>
        </is>
      </c>
      <c r="F202" t="inlineStr">
        <is>
          <t>Magaly Del Socorro Cabrales Isaac</t>
        </is>
      </c>
      <c r="G202" t="inlineStr">
        <is>
          <t>DRDIAZ</t>
        </is>
      </c>
      <c r="H202" s="3" t="n">
        <v>46092</v>
      </c>
      <c r="I202" t="inlineStr">
        <is>
          <t>2 Días</t>
        </is>
      </c>
    </row>
    <row r="203">
      <c r="A203" t="n">
        <v>693</v>
      </c>
      <c r="B203" t="n">
        <v>7979</v>
      </c>
      <c r="C203" t="inlineStr">
        <is>
          <t>BELLTECH</t>
        </is>
      </c>
      <c r="D203" t="inlineStr">
        <is>
          <t>Multifuncional</t>
        </is>
      </c>
      <c r="E203" t="inlineStr">
        <is>
          <t>CENTRO COMERCIAL SANTAFE MEDELLIN</t>
        </is>
      </c>
      <c r="F203" t="inlineStr">
        <is>
          <t>Natalia Zuluaga Rodriguez</t>
        </is>
      </c>
      <c r="G203" t="inlineStr">
        <is>
          <t>LVELEZOR</t>
        </is>
      </c>
      <c r="H203" s="3" t="n">
        <v>46093</v>
      </c>
    </row>
    <row r="204">
      <c r="A204" t="n">
        <v>419</v>
      </c>
      <c r="B204" t="n">
        <v>7980</v>
      </c>
      <c r="C204" t="inlineStr">
        <is>
          <t>BELLTECH</t>
        </is>
      </c>
      <c r="D204" t="inlineStr">
        <is>
          <t>Multifuncional</t>
        </is>
      </c>
      <c r="E204" t="inlineStr">
        <is>
          <t>CENTRO DE PAGOS UNICENTRO BOGOTA</t>
        </is>
      </c>
      <c r="F204" t="inlineStr">
        <is>
          <t>Camilo Andres Mila Jimenez</t>
        </is>
      </c>
      <c r="G204" t="inlineStr">
        <is>
          <t>MAMPENA</t>
        </is>
      </c>
      <c r="H204" s="3" t="n">
        <v>46091</v>
      </c>
    </row>
    <row r="205">
      <c r="A205" t="n">
        <v>453</v>
      </c>
      <c r="B205" t="n">
        <v>8018</v>
      </c>
      <c r="C205" t="inlineStr">
        <is>
          <t>BELLTECH</t>
        </is>
      </c>
      <c r="D205" t="inlineStr">
        <is>
          <t>Multifuncional</t>
        </is>
      </c>
      <c r="E205" t="inlineStr">
        <is>
          <t>PITALITO</t>
        </is>
      </c>
      <c r="F205" t="inlineStr">
        <is>
          <t>Astrid Alexandra Quintero Arciniegas</t>
        </is>
      </c>
      <c r="G205" t="inlineStr">
        <is>
          <t>NSARRIA</t>
        </is>
      </c>
      <c r="H205" s="3" t="n">
        <v>46093</v>
      </c>
    </row>
    <row r="206">
      <c r="A206" t="n">
        <v>453</v>
      </c>
      <c r="B206" t="n">
        <v>8019</v>
      </c>
      <c r="C206" t="inlineStr">
        <is>
          <t>BELLTECH</t>
        </is>
      </c>
      <c r="D206" t="inlineStr">
        <is>
          <t>Multifuncional</t>
        </is>
      </c>
      <c r="E206" t="inlineStr">
        <is>
          <t>PITALITO</t>
        </is>
      </c>
      <c r="F206" t="inlineStr">
        <is>
          <t>Astrid Alexandra Quintero Arciniegas</t>
        </is>
      </c>
      <c r="G206" t="inlineStr">
        <is>
          <t>NSARRIA</t>
        </is>
      </c>
      <c r="H206" s="3" t="n">
        <v>46093</v>
      </c>
    </row>
    <row r="207">
      <c r="A207" t="n">
        <v>725</v>
      </c>
      <c r="B207" t="n">
        <v>8090</v>
      </c>
      <c r="C207" t="inlineStr">
        <is>
          <t>BELLTECH</t>
        </is>
      </c>
      <c r="D207" t="inlineStr">
        <is>
          <t>Multifuncional</t>
        </is>
      </c>
      <c r="E207" t="inlineStr">
        <is>
          <t>DOSQUEBRADAS</t>
        </is>
      </c>
      <c r="F207" t="inlineStr">
        <is>
          <t>Sergio Arias Pelaez</t>
        </is>
      </c>
      <c r="G207" t="inlineStr">
        <is>
          <t>JOLOAIZA</t>
        </is>
      </c>
      <c r="H207" s="3" t="n">
        <v>46092</v>
      </c>
    </row>
    <row r="208">
      <c r="A208" t="n">
        <v>569</v>
      </c>
      <c r="B208" t="n">
        <v>8129</v>
      </c>
      <c r="C208" t="inlineStr">
        <is>
          <t>DIEBOLD</t>
        </is>
      </c>
      <c r="D208" t="inlineStr">
        <is>
          <t>Multifuncional</t>
        </is>
      </c>
      <c r="E208" t="inlineStr">
        <is>
          <t xml:space="preserve">BUENAVISTA MONTERIA </t>
        </is>
      </c>
      <c r="F208" t="inlineStr">
        <is>
          <t>Magaly Del Socorro Cabrales Isaac</t>
        </is>
      </c>
      <c r="G208" t="inlineStr">
        <is>
          <t>VICHINCA</t>
        </is>
      </c>
      <c r="H208" s="3" t="n">
        <v>46091</v>
      </c>
    </row>
    <row r="209">
      <c r="A209" t="n">
        <v>291</v>
      </c>
      <c r="B209" t="n">
        <v>8139</v>
      </c>
      <c r="C209" t="inlineStr">
        <is>
          <t>DIEBOLD</t>
        </is>
      </c>
      <c r="D209" t="inlineStr">
        <is>
          <t>Multifuncional</t>
        </is>
      </c>
      <c r="E209" t="inlineStr">
        <is>
          <t>LAS PALMAS</t>
        </is>
      </c>
      <c r="F209" t="inlineStr">
        <is>
          <t>Yenis Meybi Fernandez Marin</t>
        </is>
      </c>
      <c r="G209" t="inlineStr">
        <is>
          <t>FVASQUEZ</t>
        </is>
      </c>
      <c r="H209" s="3" t="n">
        <v>46091</v>
      </c>
    </row>
    <row r="210">
      <c r="A210" t="n">
        <v>810</v>
      </c>
      <c r="B210" t="n">
        <v>8204</v>
      </c>
      <c r="C210" t="inlineStr">
        <is>
          <t>BELLTECH</t>
        </is>
      </c>
      <c r="D210" t="inlineStr">
        <is>
          <t>Multifuncional</t>
        </is>
      </c>
      <c r="E210" t="inlineStr">
        <is>
          <t>OESTE</t>
        </is>
      </c>
      <c r="F210" t="inlineStr">
        <is>
          <t>Hector Mario Rendon Ocampo</t>
        </is>
      </c>
      <c r="G210" t="inlineStr">
        <is>
          <t>CDSALINA</t>
        </is>
      </c>
      <c r="H210" s="3" t="n">
        <v>46091</v>
      </c>
    </row>
    <row r="211">
      <c r="A211" t="n">
        <v>554</v>
      </c>
      <c r="B211" t="n">
        <v>8294</v>
      </c>
      <c r="C211" t="inlineStr">
        <is>
          <t>BELLTECH</t>
        </is>
      </c>
      <c r="D211" t="inlineStr">
        <is>
          <t>Multifuncional</t>
        </is>
      </c>
      <c r="E211" t="inlineStr">
        <is>
          <t>MALL PLAZA BUENAVISTA</t>
        </is>
      </c>
      <c r="F211" t="inlineStr">
        <is>
          <t>German Alcides Hernandez Vivero</t>
        </is>
      </c>
      <c r="G211" t="inlineStr">
        <is>
          <t>STNINO</t>
        </is>
      </c>
      <c r="H211" s="3" t="n">
        <v>46093</v>
      </c>
      <c r="I211" t="inlineStr">
        <is>
          <t>2 Días</t>
        </is>
      </c>
    </row>
    <row r="212">
      <c r="A212" t="n">
        <v>554</v>
      </c>
      <c r="B212" t="n">
        <v>8295</v>
      </c>
      <c r="C212" t="inlineStr">
        <is>
          <t>BELLTECH</t>
        </is>
      </c>
      <c r="D212" t="inlineStr">
        <is>
          <t>Multifuncional</t>
        </is>
      </c>
      <c r="E212" t="inlineStr">
        <is>
          <t>MALL PLAZA BUENAVISTA</t>
        </is>
      </c>
      <c r="F212" t="inlineStr">
        <is>
          <t>German Alcides Hernandez Vivero</t>
        </is>
      </c>
      <c r="G212" t="inlineStr">
        <is>
          <t>STNINO</t>
        </is>
      </c>
      <c r="H212" s="3" t="n">
        <v>46093</v>
      </c>
      <c r="I212" t="inlineStr">
        <is>
          <t>2 Días</t>
        </is>
      </c>
    </row>
    <row r="213">
      <c r="A213" t="n">
        <v>915</v>
      </c>
      <c r="B213" t="n">
        <v>8313</v>
      </c>
      <c r="C213" t="inlineStr">
        <is>
          <t>BELLTECH</t>
        </is>
      </c>
      <c r="D213" t="inlineStr">
        <is>
          <t>Multifuncional</t>
        </is>
      </c>
      <c r="E213" t="inlineStr">
        <is>
          <t>EDIFICIO 8111 ASESORIA</t>
        </is>
      </c>
      <c r="F213" t="inlineStr">
        <is>
          <t>Kirsys Nadyra Robelto Sanchez</t>
        </is>
      </c>
      <c r="G213" t="inlineStr">
        <is>
          <t>NMPUERTO</t>
        </is>
      </c>
      <c r="H213" s="3" t="n">
        <v>46092</v>
      </c>
    </row>
    <row r="214">
      <c r="A214" t="n">
        <v>915</v>
      </c>
      <c r="B214" t="n">
        <v>8314</v>
      </c>
      <c r="C214" t="inlineStr">
        <is>
          <t>BELLTECH</t>
        </is>
      </c>
      <c r="D214" t="inlineStr">
        <is>
          <t>Multifuncional</t>
        </is>
      </c>
      <c r="E214" t="inlineStr">
        <is>
          <t>EDIFICIO 8111 ASESORIA</t>
        </is>
      </c>
      <c r="F214" t="inlineStr">
        <is>
          <t>Kirsys Nadyra Robelto Sanchez</t>
        </is>
      </c>
      <c r="G214" t="inlineStr">
        <is>
          <t>NMPUERTO</t>
        </is>
      </c>
      <c r="H214" s="3" t="n">
        <v>46092</v>
      </c>
    </row>
    <row r="215">
      <c r="A215" t="n">
        <v>556</v>
      </c>
      <c r="B215" t="n">
        <v>8333</v>
      </c>
      <c r="C215" t="inlineStr">
        <is>
          <t>BELLTECH</t>
        </is>
      </c>
      <c r="D215" t="inlineStr">
        <is>
          <t>Multifuncional</t>
        </is>
      </c>
      <c r="E215" t="inlineStr">
        <is>
          <t>EL CARMEN DE VIBORAL</t>
        </is>
      </c>
      <c r="F215" t="inlineStr">
        <is>
          <t>Juan Fernando Alzate Valencia</t>
        </is>
      </c>
      <c r="G215" t="inlineStr">
        <is>
          <t>ANMGIRAL</t>
        </is>
      </c>
      <c r="H215" s="3" t="n">
        <v>46093</v>
      </c>
    </row>
    <row r="216">
      <c r="A216" t="n">
        <v>944</v>
      </c>
      <c r="B216" t="n">
        <v>8353</v>
      </c>
      <c r="C216" t="inlineStr">
        <is>
          <t>BELLTECH</t>
        </is>
      </c>
      <c r="D216" t="inlineStr">
        <is>
          <t>Multifuncional</t>
        </is>
      </c>
      <c r="E216" t="inlineStr">
        <is>
          <t>CENTRO COMERCIAL SANTAFE</t>
        </is>
      </c>
      <c r="F216" t="inlineStr">
        <is>
          <t>Nidya Marcela Poveda Sanchez</t>
        </is>
      </c>
      <c r="G216" t="inlineStr">
        <is>
          <t>SBOHORQU</t>
        </is>
      </c>
      <c r="H216" s="3" t="n">
        <v>46098</v>
      </c>
    </row>
    <row r="217">
      <c r="A217" t="n">
        <v>944</v>
      </c>
      <c r="B217" t="n">
        <v>8354</v>
      </c>
      <c r="C217" t="inlineStr">
        <is>
          <t>BELLTECH</t>
        </is>
      </c>
      <c r="D217" t="inlineStr">
        <is>
          <t>Multifuncional</t>
        </is>
      </c>
      <c r="E217" t="inlineStr">
        <is>
          <t>CENTRO COMERCIAL SANTAFE</t>
        </is>
      </c>
      <c r="F217" t="inlineStr">
        <is>
          <t>Nidya Marcela Poveda Sanchez</t>
        </is>
      </c>
      <c r="G217" t="inlineStr">
        <is>
          <t>SBOHORQU</t>
        </is>
      </c>
      <c r="H217" s="3" t="n">
        <v>46098</v>
      </c>
    </row>
    <row r="218">
      <c r="A218" t="n">
        <v>495</v>
      </c>
      <c r="B218" t="n">
        <v>8482</v>
      </c>
      <c r="C218" t="inlineStr">
        <is>
          <t>BELLTECH</t>
        </is>
      </c>
      <c r="D218" t="inlineStr">
        <is>
          <t>Multifuncional</t>
        </is>
      </c>
      <c r="E218" t="inlineStr">
        <is>
          <t>EL BOSQUE</t>
        </is>
      </c>
      <c r="F218" t="inlineStr">
        <is>
          <t>Didi Alejandra Pareja Medina</t>
        </is>
      </c>
      <c r="G218" t="inlineStr">
        <is>
          <t>GBUSTILL</t>
        </is>
      </c>
      <c r="H218" s="3" t="n">
        <v>46091</v>
      </c>
      <c r="I218" t="inlineStr">
        <is>
          <t>2 Días</t>
        </is>
      </c>
    </row>
    <row r="219">
      <c r="A219" t="n">
        <v>236</v>
      </c>
      <c r="B219" t="n">
        <v>8497</v>
      </c>
      <c r="C219" t="inlineStr">
        <is>
          <t>BELLTECH</t>
        </is>
      </c>
      <c r="D219" t="inlineStr">
        <is>
          <t>Multifuncional</t>
        </is>
      </c>
      <c r="E219" t="inlineStr">
        <is>
          <t>ÉXITO COLOMBIA</t>
        </is>
      </c>
      <c r="F219" t="inlineStr">
        <is>
          <t>Ana Maria Echavarria Gonzalez</t>
        </is>
      </c>
      <c r="G219" t="inlineStr">
        <is>
          <t>YLLOZANO</t>
        </is>
      </c>
      <c r="H219" s="3" t="n">
        <v>46093</v>
      </c>
    </row>
    <row r="220">
      <c r="A220" t="n">
        <v>193</v>
      </c>
      <c r="B220" t="n">
        <v>8537</v>
      </c>
      <c r="C220" t="inlineStr">
        <is>
          <t>BELLTECH</t>
        </is>
      </c>
      <c r="D220" t="inlineStr">
        <is>
          <t>Multifuncional</t>
        </is>
      </c>
      <c r="E220" t="inlineStr">
        <is>
          <t>EDIFICIO 9211</t>
        </is>
      </c>
      <c r="F220" t="inlineStr">
        <is>
          <t>Kirsys Nadyra Robelto Sanchez</t>
        </is>
      </c>
      <c r="G220" t="inlineStr">
        <is>
          <t>JOHNHERN</t>
        </is>
      </c>
      <c r="H220" s="3" t="n">
        <v>46091</v>
      </c>
    </row>
    <row r="221">
      <c r="A221" t="n">
        <v>15</v>
      </c>
      <c r="B221" t="n">
        <v>8576</v>
      </c>
      <c r="C221" t="inlineStr">
        <is>
          <t>BELLTECH</t>
        </is>
      </c>
      <c r="D221" t="inlineStr">
        <is>
          <t>Multifuncional</t>
        </is>
      </c>
      <c r="E221" t="inlineStr">
        <is>
          <t>ITAGUI</t>
        </is>
      </c>
      <c r="F221" t="inlineStr">
        <is>
          <t>Sandra Milena Cardona Franco</t>
        </is>
      </c>
      <c r="G221" t="inlineStr">
        <is>
          <t>CARARBOL</t>
        </is>
      </c>
      <c r="H221" s="3" t="n">
        <v>46093</v>
      </c>
    </row>
    <row r="222">
      <c r="A222" t="n">
        <v>15</v>
      </c>
      <c r="B222" t="n">
        <v>8577</v>
      </c>
      <c r="C222" t="inlineStr">
        <is>
          <t>BELLTECH</t>
        </is>
      </c>
      <c r="D222" t="inlineStr">
        <is>
          <t>Multifuncional</t>
        </is>
      </c>
      <c r="E222" t="inlineStr">
        <is>
          <t>ITAGUI</t>
        </is>
      </c>
      <c r="F222" t="inlineStr">
        <is>
          <t>Sandra Milena Cardona Franco</t>
        </is>
      </c>
      <c r="G222" t="inlineStr">
        <is>
          <t>CARARBOL</t>
        </is>
      </c>
      <c r="H222" s="3" t="n">
        <v>46093</v>
      </c>
    </row>
    <row r="223">
      <c r="A223" t="n">
        <v>15</v>
      </c>
      <c r="B223" t="n">
        <v>8578</v>
      </c>
      <c r="C223" t="inlineStr">
        <is>
          <t>BELLTECH</t>
        </is>
      </c>
      <c r="D223" t="inlineStr">
        <is>
          <t>Multifuncional</t>
        </is>
      </c>
      <c r="E223" t="inlineStr">
        <is>
          <t>ITAGUI</t>
        </is>
      </c>
      <c r="F223" t="inlineStr">
        <is>
          <t>Sandra Milena Cardona Franco</t>
        </is>
      </c>
      <c r="G223" t="inlineStr">
        <is>
          <t>CARARBOL</t>
        </is>
      </c>
      <c r="H223" s="3" t="n">
        <v>46093</v>
      </c>
    </row>
    <row r="224">
      <c r="A224" t="n">
        <v>728</v>
      </c>
      <c r="B224" t="n">
        <v>8586</v>
      </c>
      <c r="C224" t="inlineStr">
        <is>
          <t>BELLTECH</t>
        </is>
      </c>
      <c r="D224" t="inlineStr">
        <is>
          <t>Multifuncional</t>
        </is>
      </c>
      <c r="E224" t="inlineStr">
        <is>
          <t>CARTAGO</t>
        </is>
      </c>
      <c r="F224" t="inlineStr">
        <is>
          <t>John Didier Villegas Martinez</t>
        </is>
      </c>
      <c r="G224" t="inlineStr">
        <is>
          <t>NPABON</t>
        </is>
      </c>
      <c r="H224" s="3" t="n">
        <v>46092</v>
      </c>
    </row>
    <row r="225">
      <c r="A225" t="n">
        <v>728</v>
      </c>
      <c r="B225" t="n">
        <v>8587</v>
      </c>
      <c r="C225" t="inlineStr">
        <is>
          <t>BELLTECH</t>
        </is>
      </c>
      <c r="D225" t="inlineStr">
        <is>
          <t>Multifuncional</t>
        </is>
      </c>
      <c r="E225" t="inlineStr">
        <is>
          <t>CARTAGO</t>
        </is>
      </c>
      <c r="F225" t="inlineStr">
        <is>
          <t>John Didier Villegas Martinez</t>
        </is>
      </c>
      <c r="G225" t="inlineStr">
        <is>
          <t>NPABON</t>
        </is>
      </c>
      <c r="H225" s="3" t="n">
        <v>46092</v>
      </c>
    </row>
    <row r="226">
      <c r="A226" t="n">
        <v>78</v>
      </c>
      <c r="B226" t="n">
        <v>8594</v>
      </c>
      <c r="C226" t="inlineStr">
        <is>
          <t>BELLTECH</t>
        </is>
      </c>
      <c r="D226" t="inlineStr">
        <is>
          <t>Multifuncional</t>
        </is>
      </c>
      <c r="E226" t="inlineStr">
        <is>
          <t>EL CACIQUE</t>
        </is>
      </c>
      <c r="F226" t="inlineStr">
        <is>
          <t>Yenis Meybi Fernandez Marin</t>
        </is>
      </c>
      <c r="G226" t="inlineStr">
        <is>
          <t>PCALDERO</t>
        </is>
      </c>
      <c r="H226" s="3" t="n">
        <v>46099</v>
      </c>
    </row>
    <row r="227">
      <c r="A227" t="n">
        <v>4</v>
      </c>
      <c r="B227" t="n">
        <v>8630</v>
      </c>
      <c r="C227" t="inlineStr">
        <is>
          <t>BELLTECH</t>
        </is>
      </c>
      <c r="D227" t="inlineStr">
        <is>
          <t>Multifuncional</t>
        </is>
      </c>
      <c r="E227" t="inlineStr">
        <is>
          <t>LAURELES</t>
        </is>
      </c>
      <c r="F227" t="inlineStr">
        <is>
          <t>Ana Maria Echavarria Gonzalez</t>
        </is>
      </c>
      <c r="G227" t="inlineStr">
        <is>
          <t>JOSORIO</t>
        </is>
      </c>
      <c r="H227" s="3" t="n">
        <v>46099</v>
      </c>
    </row>
    <row r="228">
      <c r="A228" t="n">
        <v>4</v>
      </c>
      <c r="B228" t="n">
        <v>8631</v>
      </c>
      <c r="C228" t="inlineStr">
        <is>
          <t>BELLTECH</t>
        </is>
      </c>
      <c r="D228" t="inlineStr">
        <is>
          <t>Multifuncional</t>
        </is>
      </c>
      <c r="E228" t="inlineStr">
        <is>
          <t>LAURELES</t>
        </is>
      </c>
      <c r="F228" t="inlineStr">
        <is>
          <t>Ana Maria Echavarria Gonzalez</t>
        </is>
      </c>
      <c r="G228" t="inlineStr">
        <is>
          <t>JOSORIO</t>
        </is>
      </c>
      <c r="H228" s="3" t="n">
        <v>46099</v>
      </c>
    </row>
    <row r="229">
      <c r="A229" t="n">
        <v>541</v>
      </c>
      <c r="B229" t="n">
        <v>8660</v>
      </c>
      <c r="C229" t="inlineStr">
        <is>
          <t>BELLTECH</t>
        </is>
      </c>
      <c r="D229" t="inlineStr">
        <is>
          <t>Multifuncional</t>
        </is>
      </c>
      <c r="E229" t="inlineStr">
        <is>
          <t>CALDAS PARQUE</t>
        </is>
      </c>
      <c r="F229" t="inlineStr">
        <is>
          <t>Sandra Milena Cardona Franco</t>
        </is>
      </c>
      <c r="G229" t="inlineStr">
        <is>
          <t>NEGARCIC</t>
        </is>
      </c>
      <c r="H229" s="3" t="n">
        <v>46086</v>
      </c>
    </row>
    <row r="230">
      <c r="A230" t="n">
        <v>866</v>
      </c>
      <c r="B230" t="n">
        <v>8662</v>
      </c>
      <c r="C230" t="inlineStr">
        <is>
          <t>BELLTECH</t>
        </is>
      </c>
      <c r="D230" t="inlineStr">
        <is>
          <t>Multifuncional</t>
        </is>
      </c>
      <c r="E230" t="inlineStr">
        <is>
          <t>FLORIDA</t>
        </is>
      </c>
      <c r="F230" t="inlineStr">
        <is>
          <t>Yamileth Abella Bonilla</t>
        </is>
      </c>
      <c r="G230" t="inlineStr">
        <is>
          <t>MAILOPEZ</t>
        </is>
      </c>
      <c r="H230" s="3" t="n">
        <v>46093</v>
      </c>
      <c r="I230" t="inlineStr">
        <is>
          <t>2 Días</t>
        </is>
      </c>
    </row>
    <row r="231">
      <c r="A231" t="n">
        <v>769</v>
      </c>
      <c r="B231" t="n">
        <v>8679</v>
      </c>
      <c r="C231" t="inlineStr">
        <is>
          <t>BELLTECH</t>
        </is>
      </c>
      <c r="D231" t="inlineStr">
        <is>
          <t>Multifuncional</t>
        </is>
      </c>
      <c r="E231" t="inlineStr">
        <is>
          <t>PORTAL DEL PRADO</t>
        </is>
      </c>
      <c r="F231" t="inlineStr">
        <is>
          <t>German Alcides Hernandez Vivero</t>
        </is>
      </c>
      <c r="G231" t="inlineStr">
        <is>
          <t>CAGUAS</t>
        </is>
      </c>
      <c r="H231" s="3" t="n">
        <v>46086</v>
      </c>
    </row>
    <row r="232">
      <c r="A232" t="n">
        <v>779</v>
      </c>
      <c r="B232" t="n">
        <v>8684</v>
      </c>
      <c r="C232" t="inlineStr">
        <is>
          <t>DIEBOLD</t>
        </is>
      </c>
      <c r="D232" t="inlineStr">
        <is>
          <t>Multifuncional</t>
        </is>
      </c>
      <c r="E232" t="inlineStr">
        <is>
          <t>BUENAVISTA SANTA MARTA</t>
        </is>
      </c>
      <c r="F232" t="inlineStr">
        <is>
          <t>Alicia Minerva Fontalvo Reales</t>
        </is>
      </c>
      <c r="G232" t="inlineStr">
        <is>
          <t>MAVERGAR</t>
        </is>
      </c>
      <c r="H232" s="3" t="n">
        <v>46100</v>
      </c>
    </row>
    <row r="233">
      <c r="A233" t="n">
        <v>779</v>
      </c>
      <c r="B233" t="n">
        <v>8685</v>
      </c>
      <c r="C233" t="inlineStr">
        <is>
          <t>BELLTECH</t>
        </is>
      </c>
      <c r="D233" t="inlineStr">
        <is>
          <t>Multifuncional</t>
        </is>
      </c>
      <c r="E233" t="inlineStr">
        <is>
          <t>BUENAVISTA SANTA MARTA</t>
        </is>
      </c>
      <c r="F233" t="inlineStr">
        <is>
          <t>Alicia Minerva Fontalvo Reales</t>
        </is>
      </c>
      <c r="G233" t="inlineStr">
        <is>
          <t>MAVERGAR</t>
        </is>
      </c>
      <c r="H233" s="3" t="n">
        <v>46100</v>
      </c>
    </row>
    <row r="234">
      <c r="A234" t="n">
        <v>60</v>
      </c>
      <c r="B234" t="n">
        <v>8727</v>
      </c>
      <c r="C234" t="inlineStr">
        <is>
          <t>BELLTECH</t>
        </is>
      </c>
      <c r="D234" t="inlineStr">
        <is>
          <t>Multifuncional</t>
        </is>
      </c>
      <c r="E234" t="inlineStr">
        <is>
          <t>CALI</t>
        </is>
      </c>
      <c r="F234" t="inlineStr">
        <is>
          <t>Hector Mario Rendon Ocampo</t>
        </is>
      </c>
      <c r="G234" t="inlineStr">
        <is>
          <t>MRAMIR</t>
        </is>
      </c>
      <c r="H234" s="3" t="n">
        <v>46086</v>
      </c>
      <c r="I234" t="inlineStr">
        <is>
          <t>2 Días</t>
        </is>
      </c>
    </row>
    <row r="235">
      <c r="A235" t="n">
        <v>60</v>
      </c>
      <c r="B235" t="n">
        <v>8728</v>
      </c>
      <c r="C235" t="inlineStr">
        <is>
          <t>DIEBOLD</t>
        </is>
      </c>
      <c r="D235" t="inlineStr">
        <is>
          <t>Multifuncional</t>
        </is>
      </c>
      <c r="E235" t="inlineStr">
        <is>
          <t>CALI</t>
        </is>
      </c>
      <c r="F235" t="inlineStr">
        <is>
          <t>Hector Mario Rendon Ocampo</t>
        </is>
      </c>
      <c r="G235" t="inlineStr">
        <is>
          <t>MRAMIR</t>
        </is>
      </c>
      <c r="H235" s="3" t="n">
        <v>46086</v>
      </c>
      <c r="I235" t="inlineStr">
        <is>
          <t>2 Días</t>
        </is>
      </c>
    </row>
    <row r="236">
      <c r="A236" t="n">
        <v>60</v>
      </c>
      <c r="B236" t="n">
        <v>8729</v>
      </c>
      <c r="C236" t="inlineStr">
        <is>
          <t>BELLTECH</t>
        </is>
      </c>
      <c r="D236" t="inlineStr">
        <is>
          <t>Multifuncional</t>
        </is>
      </c>
      <c r="E236" t="inlineStr">
        <is>
          <t>CALI</t>
        </is>
      </c>
      <c r="F236" t="inlineStr">
        <is>
          <t>Hector Mario Rendon Ocampo</t>
        </is>
      </c>
      <c r="G236" t="inlineStr">
        <is>
          <t>MRAMIR</t>
        </is>
      </c>
      <c r="H236" s="3" t="n">
        <v>46086</v>
      </c>
      <c r="I236" t="inlineStr">
        <is>
          <t>2 Días</t>
        </is>
      </c>
    </row>
    <row r="237">
      <c r="A237" t="n">
        <v>31</v>
      </c>
      <c r="B237" t="n">
        <v>8737</v>
      </c>
      <c r="C237" t="inlineStr">
        <is>
          <t>BELLTECH</t>
        </is>
      </c>
      <c r="D237" t="inlineStr">
        <is>
          <t>Multifuncional</t>
        </is>
      </c>
      <c r="E237" t="inlineStr">
        <is>
          <t>CENTRO INTERNACIONAL</t>
        </is>
      </c>
      <c r="F237" t="inlineStr">
        <is>
          <t>Victoria Eugenia Guaqueta Murcia</t>
        </is>
      </c>
      <c r="G237" t="inlineStr">
        <is>
          <t>JCCRIST</t>
        </is>
      </c>
      <c r="H237" s="3" t="n">
        <v>46098</v>
      </c>
    </row>
    <row r="238">
      <c r="A238" t="n">
        <v>509</v>
      </c>
      <c r="B238" t="n">
        <v>8835</v>
      </c>
      <c r="C238" t="inlineStr">
        <is>
          <t>BELLTECH</t>
        </is>
      </c>
      <c r="D238" t="inlineStr">
        <is>
          <t>Multifuncional</t>
        </is>
      </c>
      <c r="E238" t="inlineStr">
        <is>
          <t>TURBACO</t>
        </is>
      </c>
      <c r="F238" t="inlineStr">
        <is>
          <t>Didi Alejandra Pareja Medina</t>
        </is>
      </c>
      <c r="G238" t="inlineStr">
        <is>
          <t>GREDONDO</t>
        </is>
      </c>
      <c r="H238" s="3" t="n">
        <v>46099</v>
      </c>
    </row>
    <row r="239">
      <c r="A239" t="n">
        <v>33</v>
      </c>
      <c r="B239" t="n">
        <v>8861</v>
      </c>
      <c r="C239" t="inlineStr">
        <is>
          <t>BELLTECH</t>
        </is>
      </c>
      <c r="D239" t="inlineStr">
        <is>
          <t>Multifuncional</t>
        </is>
      </c>
      <c r="E239" t="inlineStr">
        <is>
          <t>POLO CLUB</t>
        </is>
      </c>
      <c r="F239" t="inlineStr">
        <is>
          <t>Kirsys Nadyra Robelto Sanchez</t>
        </is>
      </c>
      <c r="G239" t="inlineStr">
        <is>
          <t>ANRODRI</t>
        </is>
      </c>
      <c r="H239" s="3" t="n">
        <v>46086</v>
      </c>
      <c r="I239" t="inlineStr">
        <is>
          <t>2 Días</t>
        </is>
      </c>
    </row>
    <row r="240">
      <c r="A240" t="n">
        <v>225</v>
      </c>
      <c r="B240" t="n">
        <v>8868</v>
      </c>
      <c r="C240" t="inlineStr">
        <is>
          <t>BELLTECH</t>
        </is>
      </c>
      <c r="D240" t="inlineStr">
        <is>
          <t>Multifuncional</t>
        </is>
      </c>
      <c r="E240" t="inlineStr">
        <is>
          <t>MALL PLAZA NQS</t>
        </is>
      </c>
      <c r="F240" t="inlineStr">
        <is>
          <t>Victoria Eugenia Guaqueta Murcia</t>
        </is>
      </c>
      <c r="G240" t="inlineStr">
        <is>
          <t>ZTCARDEN</t>
        </is>
      </c>
      <c r="H240" s="3" t="n">
        <v>46093</v>
      </c>
    </row>
    <row r="241">
      <c r="A241" t="n">
        <v>225</v>
      </c>
      <c r="B241" t="n">
        <v>8869</v>
      </c>
      <c r="C241" t="inlineStr">
        <is>
          <t>BELLTECH</t>
        </is>
      </c>
      <c r="D241" t="inlineStr">
        <is>
          <t>Multifuncional</t>
        </is>
      </c>
      <c r="E241" t="inlineStr">
        <is>
          <t>MALL PLAZA NQS</t>
        </is>
      </c>
      <c r="F241" t="inlineStr">
        <is>
          <t>Victoria Eugenia Guaqueta Murcia</t>
        </is>
      </c>
      <c r="G241" t="inlineStr">
        <is>
          <t>ZTCARDEN</t>
        </is>
      </c>
      <c r="H241" s="3" t="n">
        <v>46093</v>
      </c>
    </row>
    <row r="242">
      <c r="A242" t="n">
        <v>442</v>
      </c>
      <c r="B242" t="n">
        <v>8887</v>
      </c>
      <c r="C242" t="inlineStr">
        <is>
          <t>BELLTECH</t>
        </is>
      </c>
      <c r="D242" t="inlineStr">
        <is>
          <t>Multifuncional</t>
        </is>
      </c>
      <c r="E242" t="inlineStr">
        <is>
          <t>VIVA BARRANQUILLA</t>
        </is>
      </c>
      <c r="F242" t="inlineStr">
        <is>
          <t>Maria Teresa Chaves Ahumada</t>
        </is>
      </c>
      <c r="G242" t="inlineStr">
        <is>
          <t>LCPEREZ</t>
        </is>
      </c>
      <c r="H242" s="3" t="n">
        <v>46099</v>
      </c>
      <c r="I242" t="inlineStr">
        <is>
          <t>2 Días</t>
        </is>
      </c>
    </row>
    <row r="243">
      <c r="A243" t="n">
        <v>442</v>
      </c>
      <c r="B243" t="n">
        <v>8888</v>
      </c>
      <c r="C243" t="inlineStr">
        <is>
          <t>BELLTECH</t>
        </is>
      </c>
      <c r="D243" t="inlineStr">
        <is>
          <t>Multifuncional</t>
        </is>
      </c>
      <c r="E243" t="inlineStr">
        <is>
          <t>VIVA BARRANQUILLA</t>
        </is>
      </c>
      <c r="F243" t="inlineStr">
        <is>
          <t>Maria Teresa Chaves Ahumada</t>
        </is>
      </c>
      <c r="G243" t="inlineStr">
        <is>
          <t>LCPEREZ</t>
        </is>
      </c>
      <c r="H243" s="3" t="n">
        <v>46099</v>
      </c>
      <c r="I243" t="inlineStr">
        <is>
          <t>2 Días</t>
        </is>
      </c>
    </row>
    <row r="244">
      <c r="A244" t="n">
        <v>721</v>
      </c>
      <c r="B244" t="n">
        <v>8896</v>
      </c>
      <c r="C244" t="inlineStr">
        <is>
          <t>BELLTECH</t>
        </is>
      </c>
      <c r="D244" t="inlineStr">
        <is>
          <t>Multifuncional</t>
        </is>
      </c>
      <c r="E244" t="inlineStr">
        <is>
          <t>EL LAGO</t>
        </is>
      </c>
      <c r="F244" t="inlineStr">
        <is>
          <t>Sergio Arias Pelaez</t>
        </is>
      </c>
      <c r="G244" t="inlineStr">
        <is>
          <t>LUZMLOPE</t>
        </is>
      </c>
      <c r="H244" s="3" t="n">
        <v>46091</v>
      </c>
    </row>
    <row r="245">
      <c r="A245" t="n">
        <v>721</v>
      </c>
      <c r="B245" t="n">
        <v>8897</v>
      </c>
      <c r="C245" t="inlineStr">
        <is>
          <t>DIEBOLD</t>
        </is>
      </c>
      <c r="D245" t="inlineStr">
        <is>
          <t>Multifuncional</t>
        </is>
      </c>
      <c r="E245" t="inlineStr">
        <is>
          <t>EL LAGO</t>
        </is>
      </c>
      <c r="F245" t="inlineStr">
        <is>
          <t>Sergio Arias Pelaez</t>
        </is>
      </c>
      <c r="G245" t="inlineStr">
        <is>
          <t>LUZMLOPE</t>
        </is>
      </c>
      <c r="H245" s="3" t="n">
        <v>46091</v>
      </c>
    </row>
    <row r="246">
      <c r="A246" t="n">
        <v>20</v>
      </c>
      <c r="B246" t="n">
        <v>8927</v>
      </c>
      <c r="C246" t="inlineStr">
        <is>
          <t>BELLTECH</t>
        </is>
      </c>
      <c r="D246" t="inlineStr">
        <is>
          <t>Multifuncional</t>
        </is>
      </c>
      <c r="E246" t="inlineStr">
        <is>
          <t>BUCARAMANGA</t>
        </is>
      </c>
      <c r="F246" t="inlineStr">
        <is>
          <t>Yenis Meybi Fernandez Marin</t>
        </is>
      </c>
      <c r="G246" t="inlineStr">
        <is>
          <t>TMARCELA</t>
        </is>
      </c>
      <c r="H246" s="3" t="n">
        <v>46093</v>
      </c>
    </row>
    <row r="247">
      <c r="A247" t="n">
        <v>85</v>
      </c>
      <c r="B247" t="n">
        <v>8974</v>
      </c>
      <c r="C247" t="inlineStr">
        <is>
          <t>BELLTECH</t>
        </is>
      </c>
      <c r="D247" t="inlineStr">
        <is>
          <t>Multifuncional</t>
        </is>
      </c>
      <c r="E247" t="inlineStr">
        <is>
          <t>CENTRO COMERCIAL SERREZUELA</t>
        </is>
      </c>
      <c r="F247" t="inlineStr">
        <is>
          <t>Didi Alejandra Pareja Medina</t>
        </is>
      </c>
      <c r="G247" t="inlineStr">
        <is>
          <t>YETORRES</t>
        </is>
      </c>
      <c r="H247" s="3" t="n">
        <v>46100</v>
      </c>
    </row>
    <row r="248">
      <c r="A248" t="n">
        <v>536</v>
      </c>
      <c r="B248" t="n">
        <v>8988</v>
      </c>
      <c r="C248" t="inlineStr">
        <is>
          <t>DIEBOLD</t>
        </is>
      </c>
      <c r="D248" t="inlineStr">
        <is>
          <t>Multifuncional</t>
        </is>
      </c>
      <c r="E248" t="inlineStr">
        <is>
          <t>QUIBDO</t>
        </is>
      </c>
      <c r="F248" t="inlineStr">
        <is>
          <t>Julian Alejandro Rodriguez Escobar</t>
        </is>
      </c>
      <c r="G248" t="inlineStr">
        <is>
          <t>LCARRASC</t>
        </is>
      </c>
      <c r="H248" s="3" t="n">
        <v>46092</v>
      </c>
    </row>
    <row r="249">
      <c r="A249" t="n">
        <v>457</v>
      </c>
      <c r="B249" t="n">
        <v>9004</v>
      </c>
      <c r="C249" t="inlineStr">
        <is>
          <t>BELLTECH</t>
        </is>
      </c>
      <c r="D249" t="inlineStr">
        <is>
          <t>Multifuncional</t>
        </is>
      </c>
      <c r="E249" t="inlineStr">
        <is>
          <t>CENTRO COMERCIAL SAN PEDRO</t>
        </is>
      </c>
      <c r="F249" t="inlineStr">
        <is>
          <t>Astrid Alexandra Quintero Arciniegas</t>
        </is>
      </c>
      <c r="G249" t="inlineStr">
        <is>
          <t>YPULIDO</t>
        </is>
      </c>
      <c r="H249" s="3" t="n">
        <v>46093</v>
      </c>
    </row>
    <row r="250">
      <c r="A250" t="n">
        <v>348</v>
      </c>
      <c r="B250" t="n">
        <v>9009</v>
      </c>
      <c r="C250" t="inlineStr">
        <is>
          <t>BELLTECH</t>
        </is>
      </c>
      <c r="D250" t="inlineStr">
        <is>
          <t>Multifuncional</t>
        </is>
      </c>
      <c r="E250" t="inlineStr">
        <is>
          <t>SAN ANDRES</t>
        </is>
      </c>
      <c r="F250" t="inlineStr">
        <is>
          <t>Didi Alejandra Pareja Medina</t>
        </is>
      </c>
      <c r="G250" t="inlineStr">
        <is>
          <t>PPOLO</t>
        </is>
      </c>
      <c r="H250" s="3" t="n">
        <v>46093</v>
      </c>
    </row>
    <row r="251">
      <c r="A251" t="n">
        <v>467</v>
      </c>
      <c r="B251" t="n">
        <v>9051</v>
      </c>
      <c r="C251" t="inlineStr">
        <is>
          <t>BELLTECH</t>
        </is>
      </c>
      <c r="D251" t="inlineStr">
        <is>
          <t>Multifuncional</t>
        </is>
      </c>
      <c r="E251" t="inlineStr">
        <is>
          <t>DIVER PLAZA</t>
        </is>
      </c>
      <c r="F251" t="inlineStr">
        <is>
          <t>Fabio Orlando Bosa Poveda</t>
        </is>
      </c>
      <c r="G251" t="inlineStr">
        <is>
          <t>FMILES</t>
        </is>
      </c>
      <c r="H251" s="3" t="n">
        <v>46093</v>
      </c>
    </row>
    <row r="252">
      <c r="A252" t="n">
        <v>467</v>
      </c>
      <c r="B252" t="n">
        <v>9052</v>
      </c>
      <c r="C252" t="inlineStr">
        <is>
          <t>BELLTECH</t>
        </is>
      </c>
      <c r="D252" t="inlineStr">
        <is>
          <t>Multifuncional</t>
        </is>
      </c>
      <c r="E252" t="inlineStr">
        <is>
          <t>DIVER PLAZA</t>
        </is>
      </c>
      <c r="F252" t="inlineStr">
        <is>
          <t>Fabio Orlando Bosa Poveda</t>
        </is>
      </c>
      <c r="G252" t="inlineStr">
        <is>
          <t>FMILES</t>
        </is>
      </c>
      <c r="H252" s="3" t="n">
        <v>46093</v>
      </c>
    </row>
    <row r="253">
      <c r="A253" t="n">
        <v>20</v>
      </c>
      <c r="B253" t="n">
        <v>9204</v>
      </c>
      <c r="C253" t="inlineStr">
        <is>
          <t>BELLTECH</t>
        </is>
      </c>
      <c r="D253" t="inlineStr">
        <is>
          <t>Multifuncional</t>
        </is>
      </c>
      <c r="E253" t="inlineStr">
        <is>
          <t>BUCARAMANGA</t>
        </is>
      </c>
      <c r="F253" t="inlineStr">
        <is>
          <t>Yenis Meybi Fernandez Marin</t>
        </is>
      </c>
      <c r="G253" t="inlineStr">
        <is>
          <t>TMARCELA</t>
        </is>
      </c>
      <c r="H253" s="3" t="n">
        <v>46093</v>
      </c>
    </row>
    <row r="254">
      <c r="A254" t="n">
        <v>845</v>
      </c>
      <c r="B254" t="n">
        <v>9232</v>
      </c>
      <c r="C254" t="inlineStr">
        <is>
          <t>BELLTECH</t>
        </is>
      </c>
      <c r="D254" t="inlineStr">
        <is>
          <t>Multifuncional</t>
        </is>
      </c>
      <c r="E254" t="inlineStr">
        <is>
          <t>LA PLATA</t>
        </is>
      </c>
      <c r="F254" t="inlineStr">
        <is>
          <t>Astrid Alexandra Quintero Arciniegas</t>
        </is>
      </c>
      <c r="G254" t="inlineStr">
        <is>
          <t>ERMALDO</t>
        </is>
      </c>
      <c r="H254" s="3" t="n">
        <v>46093</v>
      </c>
      <c r="I254" t="inlineStr">
        <is>
          <t>2 Días</t>
        </is>
      </c>
    </row>
    <row r="255">
      <c r="A255" t="n">
        <v>959</v>
      </c>
      <c r="B255" t="n">
        <v>9265</v>
      </c>
      <c r="C255" t="inlineStr">
        <is>
          <t>DIEBOLD</t>
        </is>
      </c>
      <c r="D255" t="inlineStr">
        <is>
          <t>Multifuncional</t>
        </is>
      </c>
      <c r="E255" t="inlineStr">
        <is>
          <t>TURBO</t>
        </is>
      </c>
      <c r="F255" t="inlineStr">
        <is>
          <t>Julian Alejandro Rodriguez Escobar</t>
        </is>
      </c>
      <c r="G255" t="inlineStr">
        <is>
          <t>JUVCANTI</t>
        </is>
      </c>
      <c r="H255" s="3" t="n">
        <v>46099</v>
      </c>
    </row>
    <row r="256">
      <c r="A256" t="n">
        <v>64</v>
      </c>
      <c r="B256" t="n">
        <v>9306</v>
      </c>
      <c r="C256" t="inlineStr">
        <is>
          <t>BELLTECH</t>
        </is>
      </c>
      <c r="D256" t="inlineStr">
        <is>
          <t>Multifuncional</t>
        </is>
      </c>
      <c r="E256" t="inlineStr">
        <is>
          <t>VIPASA</t>
        </is>
      </c>
      <c r="F256" t="inlineStr">
        <is>
          <t>Hector Mario Rendon Ocampo</t>
        </is>
      </c>
      <c r="G256" t="inlineStr">
        <is>
          <t>EMONTOYA</t>
        </is>
      </c>
      <c r="H256" s="3" t="n">
        <v>46098</v>
      </c>
    </row>
    <row r="257">
      <c r="A257" t="n">
        <v>451</v>
      </c>
      <c r="B257" t="n">
        <v>9434</v>
      </c>
      <c r="C257" t="inlineStr">
        <is>
          <t>BELLTECH</t>
        </is>
      </c>
      <c r="D257" t="inlineStr">
        <is>
          <t>Multifuncional</t>
        </is>
      </c>
      <c r="E257" t="inlineStr">
        <is>
          <t>PUERTO ASIS</t>
        </is>
      </c>
      <c r="F257" t="inlineStr">
        <is>
          <t>Astrid Alexandra Quintero Arciniegas</t>
        </is>
      </c>
      <c r="G257" t="inlineStr">
        <is>
          <t>VBURBANO</t>
        </is>
      </c>
      <c r="H257" s="3" t="n">
        <v>46092</v>
      </c>
    </row>
    <row r="258">
      <c r="A258" t="n">
        <v>957</v>
      </c>
      <c r="B258" t="n">
        <v>9512</v>
      </c>
      <c r="C258" t="inlineStr">
        <is>
          <t>BELLTECH</t>
        </is>
      </c>
      <c r="D258" t="inlineStr">
        <is>
          <t>Multifuncional</t>
        </is>
      </c>
      <c r="E258" t="inlineStr">
        <is>
          <t>CENTRO COMERCIAL PARQUE ALEGRA</t>
        </is>
      </c>
      <c r="F258" t="inlineStr">
        <is>
          <t>German Alcides Hernandez Vivero</t>
        </is>
      </c>
      <c r="G258" t="inlineStr">
        <is>
          <t>MCTRILL</t>
        </is>
      </c>
      <c r="H258" s="3" t="n">
        <v>46086</v>
      </c>
      <c r="I258" t="inlineStr">
        <is>
          <t>2 Días</t>
        </is>
      </c>
    </row>
    <row r="259">
      <c r="A259" t="n">
        <v>957</v>
      </c>
      <c r="B259" t="n">
        <v>9513</v>
      </c>
      <c r="C259" t="inlineStr">
        <is>
          <t>BELLTECH</t>
        </is>
      </c>
      <c r="D259" t="inlineStr">
        <is>
          <t>Multifuncional</t>
        </is>
      </c>
      <c r="E259" t="inlineStr">
        <is>
          <t>CENTRO COMERCIAL PARQUE ALEGRA</t>
        </is>
      </c>
      <c r="F259" t="inlineStr">
        <is>
          <t>German Alcides Hernandez Vivero</t>
        </is>
      </c>
      <c r="G259" t="inlineStr">
        <is>
          <t>MCTRILL</t>
        </is>
      </c>
      <c r="H259" s="3" t="n">
        <v>46086</v>
      </c>
      <c r="I259" t="inlineStr">
        <is>
          <t>2 Días</t>
        </is>
      </c>
    </row>
    <row r="260">
      <c r="A260" t="n">
        <v>367</v>
      </c>
      <c r="B260" t="n">
        <v>9580</v>
      </c>
      <c r="C260" t="inlineStr">
        <is>
          <t>BELLTECH</t>
        </is>
      </c>
      <c r="D260" t="inlineStr">
        <is>
          <t>Multifuncional</t>
        </is>
      </c>
      <c r="E260" t="inlineStr">
        <is>
          <t>GRANADA META</t>
        </is>
      </c>
      <c r="F260" t="inlineStr">
        <is>
          <t>Juan Felipe Russi Gamboa</t>
        </is>
      </c>
      <c r="G260" t="inlineStr">
        <is>
          <t>ADMAHECH</t>
        </is>
      </c>
      <c r="H260" s="3" t="n">
        <v>46093</v>
      </c>
    </row>
    <row r="261">
      <c r="A261" t="n">
        <v>890</v>
      </c>
      <c r="B261" t="n">
        <v>9584</v>
      </c>
      <c r="C261" t="inlineStr">
        <is>
          <t>BELLTECH</t>
        </is>
      </c>
      <c r="D261" t="inlineStr">
        <is>
          <t>Multifuncional</t>
        </is>
      </c>
      <c r="E261" t="inlineStr">
        <is>
          <t>ACACIAS</t>
        </is>
      </c>
      <c r="F261" t="inlineStr">
        <is>
          <t>Juan Felipe Russi Gamboa</t>
        </is>
      </c>
      <c r="G261" t="inlineStr">
        <is>
          <t>ERPFRANC</t>
        </is>
      </c>
      <c r="H261" s="3" t="n">
        <v>46099</v>
      </c>
    </row>
    <row r="262">
      <c r="A262" t="n">
        <v>229</v>
      </c>
      <c r="B262" t="n">
        <v>9604</v>
      </c>
      <c r="C262" t="inlineStr">
        <is>
          <t>BELLTECH</t>
        </is>
      </c>
      <c r="D262" t="inlineStr">
        <is>
          <t>Multifuncional</t>
        </is>
      </c>
      <c r="E262" t="inlineStr">
        <is>
          <t>PASEO VILLA DEL RIO</t>
        </is>
      </c>
      <c r="F262" t="inlineStr">
        <is>
          <t>Pedro Javier Yazzo Moreno</t>
        </is>
      </c>
      <c r="G262" t="inlineStr">
        <is>
          <t>NGALVIS</t>
        </is>
      </c>
      <c r="H262" s="3" t="n">
        <v>46091</v>
      </c>
    </row>
    <row r="263">
      <c r="A263" t="n">
        <v>229</v>
      </c>
      <c r="B263" t="n">
        <v>9605</v>
      </c>
      <c r="C263" t="inlineStr">
        <is>
          <t>BELLTECH</t>
        </is>
      </c>
      <c r="D263" t="inlineStr">
        <is>
          <t>Multifuncional</t>
        </is>
      </c>
      <c r="E263" t="inlineStr">
        <is>
          <t>PASEO VILLA DEL RIO</t>
        </is>
      </c>
      <c r="F263" t="inlineStr">
        <is>
          <t>Pedro Javier Yazzo Moreno</t>
        </is>
      </c>
      <c r="G263" t="inlineStr">
        <is>
          <t>NGALVIS</t>
        </is>
      </c>
      <c r="H263" s="3" t="n">
        <v>46091</v>
      </c>
    </row>
    <row r="264">
      <c r="A264" t="n">
        <v>551</v>
      </c>
      <c r="B264" t="n">
        <v>9643</v>
      </c>
      <c r="C264" t="inlineStr">
        <is>
          <t>BELLTECH</t>
        </is>
      </c>
      <c r="D264" t="inlineStr">
        <is>
          <t>Multifuncional</t>
        </is>
      </c>
      <c r="E264" t="inlineStr">
        <is>
          <t>UNICENTRO MEDELLIN</t>
        </is>
      </c>
      <c r="F264" t="inlineStr">
        <is>
          <t>Ana Maria Echavarria Gonzalez</t>
        </is>
      </c>
      <c r="G264" t="inlineStr">
        <is>
          <t>MARARAQU</t>
        </is>
      </c>
      <c r="H264" s="3" t="n">
        <v>46093</v>
      </c>
    </row>
    <row r="265">
      <c r="A265" t="n">
        <v>551</v>
      </c>
      <c r="B265" t="n">
        <v>9644</v>
      </c>
      <c r="C265" t="inlineStr">
        <is>
          <t>BELLTECH</t>
        </is>
      </c>
      <c r="D265" t="inlineStr">
        <is>
          <t>Multifuncional</t>
        </is>
      </c>
      <c r="E265" t="inlineStr">
        <is>
          <t>UNICENTRO MEDELLIN</t>
        </is>
      </c>
      <c r="F265" t="inlineStr">
        <is>
          <t>Ana Maria Echavarria Gonzalez</t>
        </is>
      </c>
      <c r="G265" t="inlineStr">
        <is>
          <t>MARARAQU</t>
        </is>
      </c>
      <c r="H265" s="3" t="n">
        <v>46093</v>
      </c>
    </row>
    <row r="266">
      <c r="A266" t="n">
        <v>876</v>
      </c>
      <c r="B266" t="n">
        <v>9682</v>
      </c>
      <c r="C266" t="inlineStr">
        <is>
          <t>BELLTECH</t>
        </is>
      </c>
      <c r="D266" t="inlineStr">
        <is>
          <t>Multifuncional</t>
        </is>
      </c>
      <c r="E266" t="inlineStr">
        <is>
          <t>VILLA CAMPESTRE</t>
        </is>
      </c>
      <c r="F266" t="inlineStr">
        <is>
          <t>German Alcides Hernandez Vivero</t>
        </is>
      </c>
      <c r="G266" t="inlineStr">
        <is>
          <t>DGDONADO</t>
        </is>
      </c>
      <c r="H266" s="3" t="n">
        <v>46093</v>
      </c>
    </row>
    <row r="267">
      <c r="A267" t="n">
        <v>849</v>
      </c>
      <c r="B267" t="n">
        <v>9724</v>
      </c>
      <c r="C267" t="inlineStr">
        <is>
          <t>BELLTECH</t>
        </is>
      </c>
      <c r="D267" t="inlineStr">
        <is>
          <t>Multifuncional</t>
        </is>
      </c>
      <c r="E267" t="inlineStr">
        <is>
          <t>UNICENTRO VILLAVICENCIO</t>
        </is>
      </c>
      <c r="F267" t="inlineStr">
        <is>
          <t>Juan Felipe Russi Gamboa</t>
        </is>
      </c>
      <c r="G267" t="inlineStr">
        <is>
          <t>YENMUNOZ</t>
        </is>
      </c>
      <c r="H267" s="3" t="n">
        <v>46091</v>
      </c>
    </row>
    <row r="268">
      <c r="A268" t="n">
        <v>849</v>
      </c>
      <c r="B268" t="n">
        <v>9725</v>
      </c>
      <c r="C268" t="inlineStr">
        <is>
          <t>BELLTECH</t>
        </is>
      </c>
      <c r="D268" t="inlineStr">
        <is>
          <t>Multifuncional</t>
        </is>
      </c>
      <c r="E268" t="inlineStr">
        <is>
          <t>UNICENTRO VILLAVICENCIO</t>
        </is>
      </c>
      <c r="F268" t="inlineStr">
        <is>
          <t>Juan Felipe Russi Gamboa</t>
        </is>
      </c>
      <c r="G268" t="inlineStr">
        <is>
          <t>YENMUNOZ</t>
        </is>
      </c>
      <c r="H268" s="3" t="n">
        <v>46091</v>
      </c>
    </row>
    <row r="269">
      <c r="A269" t="n">
        <v>516</v>
      </c>
      <c r="B269" t="n">
        <v>9729</v>
      </c>
      <c r="C269" t="inlineStr">
        <is>
          <t>BELLTECH</t>
        </is>
      </c>
      <c r="D269" t="inlineStr">
        <is>
          <t>Multifuncional</t>
        </is>
      </c>
      <c r="E269" t="inlineStr">
        <is>
          <t>SANTA MARTA</t>
        </is>
      </c>
      <c r="F269" t="inlineStr">
        <is>
          <t>Alicia Minerva Fontalvo Reales</t>
        </is>
      </c>
      <c r="G269" t="inlineStr">
        <is>
          <t>MPINERES</t>
        </is>
      </c>
      <c r="H269" s="3" t="n">
        <v>46099</v>
      </c>
    </row>
    <row r="270">
      <c r="A270" t="n">
        <v>499</v>
      </c>
      <c r="B270" t="n">
        <v>9810</v>
      </c>
      <c r="C270" t="inlineStr">
        <is>
          <t>BELLTECH</t>
        </is>
      </c>
      <c r="D270" t="inlineStr">
        <is>
          <t>Multifuncional</t>
        </is>
      </c>
      <c r="E270" t="inlineStr">
        <is>
          <t>PARQUE FABRICATO</t>
        </is>
      </c>
      <c r="F270" t="inlineStr">
        <is>
          <t>Julian Alejandro Rodriguez Escobar</t>
        </is>
      </c>
      <c r="G270" t="inlineStr">
        <is>
          <t>TAMARIN</t>
        </is>
      </c>
      <c r="H270" s="3" t="n">
        <v>46098</v>
      </c>
    </row>
    <row r="271">
      <c r="A271" t="n">
        <v>499</v>
      </c>
      <c r="B271" t="n">
        <v>9811</v>
      </c>
      <c r="C271" t="inlineStr">
        <is>
          <t>BELLTECH</t>
        </is>
      </c>
      <c r="D271" t="inlineStr">
        <is>
          <t>Multifuncional</t>
        </is>
      </c>
      <c r="E271" t="inlineStr">
        <is>
          <t>PARQUE FABRICATO</t>
        </is>
      </c>
      <c r="F271" t="inlineStr">
        <is>
          <t>Julian Alejandro Rodriguez Escobar</t>
        </is>
      </c>
      <c r="G271" t="inlineStr">
        <is>
          <t>TAMARIN</t>
        </is>
      </c>
      <c r="H271" s="3" t="n">
        <v>46098</v>
      </c>
    </row>
    <row r="272">
      <c r="A272" t="n">
        <v>264</v>
      </c>
      <c r="B272" t="n">
        <v>9906</v>
      </c>
      <c r="C272" t="inlineStr">
        <is>
          <t>BELLTECH</t>
        </is>
      </c>
      <c r="D272" t="inlineStr">
        <is>
          <t>Multifuncional</t>
        </is>
      </c>
      <c r="E272" t="inlineStr">
        <is>
          <t>FUSAGASUGA</t>
        </is>
      </c>
      <c r="F272" t="inlineStr">
        <is>
          <t>Pedro Javier Yazzo Moreno</t>
        </is>
      </c>
      <c r="G272" t="inlineStr">
        <is>
          <t>MJINFANT</t>
        </is>
      </c>
      <c r="H272" s="3" t="n">
        <v>46091</v>
      </c>
      <c r="K272" t="inlineStr">
        <is>
          <t>Desde el 12 de Junio cambia de TDV a Suc</t>
        </is>
      </c>
    </row>
    <row r="273">
      <c r="A273" t="n">
        <v>57</v>
      </c>
      <c r="B273" t="n">
        <v>9963</v>
      </c>
      <c r="C273" t="inlineStr">
        <is>
          <t>BELLTECH</t>
        </is>
      </c>
      <c r="D273" t="inlineStr">
        <is>
          <t>Multifuncional</t>
        </is>
      </c>
      <c r="E273" t="inlineStr">
        <is>
          <t>VILLAVICENCIO</t>
        </is>
      </c>
      <c r="F273" t="inlineStr">
        <is>
          <t>Juan Felipe Russi Gamboa</t>
        </is>
      </c>
      <c r="G273" t="inlineStr">
        <is>
          <t>JHORINCO</t>
        </is>
      </c>
      <c r="H273" s="3" t="n">
        <v>46099</v>
      </c>
      <c r="I273" t="inlineStr">
        <is>
          <t>2 Días</t>
        </is>
      </c>
    </row>
    <row r="274">
      <c r="A274" t="n">
        <v>4</v>
      </c>
      <c r="B274" t="n">
        <v>316</v>
      </c>
      <c r="C274" t="inlineStr">
        <is>
          <t>BELLTECH</t>
        </is>
      </c>
      <c r="D274" t="inlineStr">
        <is>
          <t>Multifuncional</t>
        </is>
      </c>
      <c r="E274" t="inlineStr">
        <is>
          <t>LAURELES</t>
        </is>
      </c>
      <c r="F274" t="inlineStr">
        <is>
          <t>Ana Maria Echavarria Gonzalez</t>
        </is>
      </c>
      <c r="G274" t="inlineStr">
        <is>
          <t>JOSORIO</t>
        </is>
      </c>
      <c r="H274" s="3" t="n">
        <v>46099</v>
      </c>
      <c r="K274" t="inlineStr">
        <is>
          <t>Nuevo 1 de Sept</t>
        </is>
      </c>
    </row>
    <row r="275">
      <c r="A275" t="n">
        <v>499</v>
      </c>
      <c r="B275" t="n">
        <v>172</v>
      </c>
      <c r="C275" t="inlineStr">
        <is>
          <t>DIEBOLD</t>
        </is>
      </c>
      <c r="D275" t="inlineStr">
        <is>
          <t>Multifuncional</t>
        </is>
      </c>
      <c r="E275" t="inlineStr">
        <is>
          <t>PARQUE FABRICATO</t>
        </is>
      </c>
      <c r="F275" t="inlineStr">
        <is>
          <t>Julian Alejandro Rodriguez Escobar</t>
        </is>
      </c>
      <c r="G275" t="inlineStr">
        <is>
          <t>TAMARIN</t>
        </is>
      </c>
      <c r="H275" s="3" t="n">
        <v>46098</v>
      </c>
      <c r="K275" t="inlineStr">
        <is>
          <t>Cajero nuevo, sin movimiento</t>
        </is>
      </c>
    </row>
    <row r="276">
      <c r="A276" t="n">
        <v>292</v>
      </c>
      <c r="B276" t="n">
        <v>278</v>
      </c>
      <c r="C276" t="inlineStr">
        <is>
          <t>BELLTECH</t>
        </is>
      </c>
      <c r="D276" t="inlineStr">
        <is>
          <t>Multifuncional</t>
        </is>
      </c>
      <c r="E276" t="inlineStr">
        <is>
          <t>CENTRO DE LA CONFECCION</t>
        </is>
      </c>
      <c r="F276" t="inlineStr">
        <is>
          <t>Sandra Milena Cardona Franco</t>
        </is>
      </c>
      <c r="G276" t="inlineStr">
        <is>
          <t>CLFERNAN</t>
        </is>
      </c>
      <c r="H276" s="3" t="n">
        <v>46098</v>
      </c>
      <c r="K276" t="inlineStr">
        <is>
          <t>Cajero nuevo, sin movimiento</t>
        </is>
      </c>
    </row>
    <row r="277">
      <c r="A277" t="n">
        <v>306</v>
      </c>
      <c r="B277" t="n">
        <v>428</v>
      </c>
      <c r="C277" t="inlineStr">
        <is>
          <t>DIEBOLD</t>
        </is>
      </c>
      <c r="D277" t="inlineStr">
        <is>
          <t>Multifuncional</t>
        </is>
      </c>
      <c r="E277" t="inlineStr">
        <is>
          <t>BARRANCABERMEJA</t>
        </is>
      </c>
      <c r="F277" t="inlineStr">
        <is>
          <t>Frank William Castillo Leal</t>
        </is>
      </c>
      <c r="G277" t="inlineStr">
        <is>
          <t>ASAJONER</t>
        </is>
      </c>
      <c r="H277" s="3" t="n">
        <v>46099</v>
      </c>
    </row>
    <row r="278">
      <c r="A278" t="n">
        <v>214</v>
      </c>
      <c r="B278" t="n">
        <v>1469</v>
      </c>
      <c r="C278" t="inlineStr">
        <is>
          <t>BELLTECH</t>
        </is>
      </c>
      <c r="D278" t="inlineStr">
        <is>
          <t>Multifuncional</t>
        </is>
      </c>
      <c r="E278" t="inlineStr">
        <is>
          <t>ATM MF SUC GRAN MANZANA 1</t>
        </is>
      </c>
      <c r="F278" t="inlineStr">
        <is>
          <t>Didi Alejandra Pareja Medina</t>
        </is>
      </c>
      <c r="G278" t="inlineStr">
        <is>
          <t>ADARCIA</t>
        </is>
      </c>
      <c r="H278" s="3" t="n">
        <v>46099</v>
      </c>
      <c r="K278" t="inlineStr">
        <is>
          <t>CAJERO SIN MOVIMIENTO</t>
        </is>
      </c>
    </row>
    <row r="279">
      <c r="A279" t="n">
        <v>185</v>
      </c>
      <c r="B279" t="n">
        <v>2208</v>
      </c>
      <c r="C279" t="inlineStr">
        <is>
          <t>DIEBOLD</t>
        </is>
      </c>
      <c r="D279" t="inlineStr">
        <is>
          <t>Multifuncional</t>
        </is>
      </c>
      <c r="E279" t="inlineStr">
        <is>
          <t>ATM SUC MF LLANOGRAN PALMIR 1</t>
        </is>
      </c>
      <c r="F279" t="inlineStr">
        <is>
          <t>Yamileth Abella Bonilla</t>
        </is>
      </c>
      <c r="G279" t="inlineStr">
        <is>
          <t>ALBARCE</t>
        </is>
      </c>
      <c r="H279" s="3" t="n">
        <v>46086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Pendiente de investigación por parte de la Sección Servicios Sucursales</t>
        </is>
      </c>
    </row>
    <row r="3">
      <c r="A3" t="inlineStr">
        <is>
          <t>Pendiente de investigación por parte de la Sucursal</t>
        </is>
      </c>
      <c r="B3" t="inlineStr">
        <is>
          <t>ACLARAR DIFERENCIA Y REPETIR ARQUEO, por favor validar provisiones trocadas entre los cajeros 4517 y 4847, contactarme por teams una vez hayan encontrado el error para indicarles cómo proceder.</t>
        </is>
      </c>
    </row>
    <row r="5">
      <c r="B5" t="inlineStr">
        <is>
          <t>ACLARAR DIFERENCIA Y REPETIR EL ARQUEO</t>
        </is>
      </c>
    </row>
    <row r="6">
      <c r="B6" t="inlineStr">
        <is>
          <t>Cajero cuadrado, sin observación por parte de la sucursal.</t>
        </is>
      </c>
    </row>
    <row r="7">
      <c r="A7" t="inlineStr">
        <is>
          <t xml:space="preserve">Contabilizada por la sección en la cuenta de Faltantes 168710093 el 16/12/2022 - Faltante queda en investigación por parte de la Sección Serv. Sucursales. </t>
        </is>
      </c>
      <c r="B7" t="inlineStr">
        <is>
          <t>La diferencia es contabilizada por la Gerencia De Autoservicios y Efectivo de manera centralizada a la cuenta de faltantes 168710093 el 04/03/2026, esta diferencia ingresa a proceso de investigación en el área para identificar a que corresponde.</t>
        </is>
      </c>
    </row>
    <row r="8">
      <c r="A8" t="inlineStr">
        <is>
          <t>Contabilizada por la sección en la cuenta de Faltantes 168710093  el  27/12/2021 - REVERSAR</t>
        </is>
      </c>
      <c r="B8" t="inlineStr">
        <is>
          <t>La diferencia es contabilizada por la Gerencia De Autoservicios y Efectivo de manera centralizada a la cuenta de sobrantes 279510020 el 05/03/2026</t>
        </is>
      </c>
    </row>
    <row r="9">
      <c r="A9" t="inlineStr">
        <is>
          <t>Faltante originado por sobrante contabilizado el 08/12/2021 - Se reversa el 27/12/2021</t>
        </is>
      </c>
      <c r="B9" t="inlineStr">
        <is>
          <t>El sobrante es cruzado con faltante contabilizado el 26/01/2026 el cual es reversado por la Gerencia De Autoservicios y Efectivo el 12/02/2026</t>
        </is>
      </c>
    </row>
    <row r="10">
      <c r="A10" t="inlineStr">
        <is>
          <t>Diferencia menor a 3.000 - No es necesario otro arqueo</t>
        </is>
      </c>
      <c r="B10" t="inlineStr">
        <is>
          <t>Faltante es reversado por la sección el 03 de abril, con sobrante contabilizado el día 20 de marzo</t>
        </is>
      </c>
    </row>
    <row r="11">
      <c r="A11" t="inlineStr">
        <is>
          <t>Aclarar Diferencia. En caso de no aclarar por favor realizar un nuevo arqueo al cajero.</t>
        </is>
      </c>
      <c r="B11" t="inlineStr">
        <is>
          <t>El faltante  de $26.000 es cruzado con sobrante contabilizado el día 11/02/2026 el cual es reversado por la seccion el día 16/02/2026</t>
        </is>
      </c>
    </row>
    <row r="12">
      <c r="A12" t="inlineStr">
        <is>
          <t>Aclarar Diferencia, realizar las validaciones indicadas en el correo de Faltantes. En caso de no aclarar por favor realizar un nuevo arqueo al cajero.</t>
        </is>
      </c>
      <c r="B12" t="inlineStr">
        <is>
          <t>El sobrante es cruzado con faltante contabilizado el día 28/09/2025 el cual es reversado por la seccion el día 11/09/2025, la diferencia es contabilizada por la sección en la cuenta 279510020 el día 11/09/2025</t>
        </is>
      </c>
    </row>
    <row r="13">
      <c r="A13" t="inlineStr">
        <is>
          <t>REVERSAR</t>
        </is>
      </c>
      <c r="B13" t="inlineStr">
        <is>
          <t>El faltante $46.600 es cruzado con sobrante contabilizado el día 23/02/2026 el cual es reversado por la seccion el día 28/02/2026</t>
        </is>
      </c>
    </row>
    <row r="14">
      <c r="A14" t="inlineStr">
        <is>
          <t xml:space="preserve">Cuadrado </t>
        </is>
      </c>
    </row>
    <row r="17">
      <c r="A17" t="inlineStr">
        <is>
          <t>*CANCELACION FALTANTES CUENTA 168710093 POR PARTE DE LAS SUCURSALES*</t>
        </is>
      </c>
    </row>
    <row r="18">
      <c r="A18" t="inlineStr">
        <is>
          <t xml:space="preserve">TRX MEDELLIN: 2492
Para cancelar (pagar) los faltantes que tengan contabilizados en la cuenta 168710093, realizan en Medellín la transacción 2492 con código cajero MF y la cédula del cajero a quien fue cargado el faltante en su momento.
Esta Trx les da cruce a caja con entrada de efectivo.
NOTA: Antes de realizar la cancelación por favor verificar siempre la cuenta 168710093.
</t>
        </is>
      </c>
    </row>
    <row r="20">
      <c r="A20" t="inlineStr">
        <is>
          <t>CONTABILIDADES GOLF-WOLF SUCURSALES</t>
        </is>
      </c>
    </row>
    <row r="21">
      <c r="A21" t="inlineStr">
        <is>
          <t>0041 - Provisión Cajero Wolf - Seleccionan la TX realizada y en recuadro abajo dan la opción "Reversar"</t>
        </is>
      </c>
    </row>
    <row r="22">
      <c r="A22" t="inlineStr">
        <is>
          <t>0105 - Remanente Cajero Wolf - Sucursal</t>
        </is>
      </c>
    </row>
    <row r="23">
      <c r="A23" t="inlineStr">
        <is>
          <t xml:space="preserve">0095 - Faltantes en Caja </t>
        </is>
      </c>
    </row>
    <row r="24">
      <c r="A24" t="inlineStr">
        <is>
          <t>0097 - Sobrantes en Caja</t>
        </is>
      </c>
    </row>
    <row r="25">
      <c r="A25" t="inlineStr">
        <is>
          <t>0096 - Reintegro Faltantes en Caja</t>
        </is>
      </c>
    </row>
    <row r="27">
      <c r="A27" t="inlineStr">
        <is>
          <t>Deben reintegrar el sobrante de caja y meterlo físico al cajero XXX, al cajero NO se le hace nada contable, solo ingresarle de manera física el dinero y deben realizarle nuevamente arqueo al cajero y ya este se debe reflejar cuadrado con el ajuste realizado.</t>
        </is>
      </c>
    </row>
    <row r="30">
      <c r="A30" t="inlineStr">
        <is>
          <t>billetes falsos en cajero mf belltech, deben de hacer arqueo sin tener en cuenta el billete primero porque puede que el cajero reciba el dinero pero no haga ninguna trx y no genere descuadre, si el cajero genera descuadre deben de sacar el billete como remanente, grabar faltante en caja, enviarnos un correo para reclasificarlo a faltantes cajero y llevarlo al pyg y enviar el billete a la sección</t>
        </is>
      </c>
    </row>
    <row r="611">
      <c r="G611" t="inlineStr">
        <is>
          <t>09:33:00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COD. SUC</t>
        </is>
      </c>
      <c r="C1" s="1" t="inlineStr">
        <is>
          <t>CODIGO.1</t>
        </is>
      </c>
      <c r="D1" s="1" t="inlineStr">
        <is>
          <t>Dispensador / Multifuncional</t>
        </is>
      </c>
      <c r="E1" s="1" t="inlineStr">
        <is>
          <t>ADMINISTRACIÓN</t>
        </is>
      </c>
      <c r="F1" s="1" t="inlineStr">
        <is>
          <t>MARCA</t>
        </is>
      </c>
    </row>
    <row r="2">
      <c r="A2" t="n">
        <v>574</v>
      </c>
      <c r="B2" t="n">
        <v>331</v>
      </c>
      <c r="C2" t="n">
        <v>574</v>
      </c>
      <c r="D2" t="inlineStr">
        <is>
          <t>Multifuncional</t>
        </is>
      </c>
      <c r="E2" t="inlineStr">
        <is>
          <t>SUC</t>
        </is>
      </c>
      <c r="F2" t="inlineStr">
        <is>
          <t>BELLTECH</t>
        </is>
      </c>
    </row>
    <row r="3">
      <c r="A3" t="n">
        <v>575</v>
      </c>
      <c r="B3" t="n">
        <v>331</v>
      </c>
      <c r="C3" t="n">
        <v>575</v>
      </c>
      <c r="D3" t="inlineStr">
        <is>
          <t>Multifuncional</t>
        </is>
      </c>
      <c r="E3" t="inlineStr">
        <is>
          <t>SUC</t>
        </is>
      </c>
      <c r="F3" t="inlineStr">
        <is>
          <t>BELLTECH</t>
        </is>
      </c>
    </row>
    <row r="4">
      <c r="A4" t="n">
        <v>788</v>
      </c>
      <c r="B4" t="n">
        <v>61</v>
      </c>
      <c r="C4" t="n">
        <v>788</v>
      </c>
      <c r="D4" t="inlineStr">
        <is>
          <t>Multifuncional</t>
        </is>
      </c>
      <c r="E4" t="inlineStr">
        <is>
          <t>SUC</t>
        </is>
      </c>
      <c r="F4" t="inlineStr">
        <is>
          <t>BELLTECH</t>
        </is>
      </c>
    </row>
    <row r="5">
      <c r="A5" t="n">
        <v>907</v>
      </c>
      <c r="B5" t="n">
        <v>287</v>
      </c>
      <c r="C5" t="n">
        <v>907</v>
      </c>
      <c r="D5" t="inlineStr">
        <is>
          <t>Multifuncional</t>
        </is>
      </c>
      <c r="E5" t="inlineStr">
        <is>
          <t>SUC</t>
        </is>
      </c>
      <c r="F5" t="inlineStr">
        <is>
          <t>DIEBOLD</t>
        </is>
      </c>
    </row>
    <row r="6">
      <c r="A6" t="n">
        <v>1010</v>
      </c>
      <c r="B6" t="n">
        <v>481</v>
      </c>
      <c r="C6" t="n">
        <v>1010</v>
      </c>
      <c r="D6" t="inlineStr">
        <is>
          <t>Multifuncional</t>
        </is>
      </c>
      <c r="E6" t="inlineStr">
        <is>
          <t>SUC</t>
        </is>
      </c>
      <c r="F6" t="inlineStr">
        <is>
          <t>BELLTECH</t>
        </is>
      </c>
    </row>
    <row r="7">
      <c r="A7" t="n">
        <v>1011</v>
      </c>
      <c r="B7" t="n">
        <v>481</v>
      </c>
      <c r="C7" t="n">
        <v>1011</v>
      </c>
      <c r="D7" t="inlineStr">
        <is>
          <t>Multifuncional</t>
        </is>
      </c>
      <c r="E7" t="inlineStr">
        <is>
          <t>SUC</t>
        </is>
      </c>
      <c r="F7" t="inlineStr">
        <is>
          <t>BELLTECH</t>
        </is>
      </c>
    </row>
    <row r="8">
      <c r="A8" t="n">
        <v>1027</v>
      </c>
      <c r="B8" t="n">
        <v>795</v>
      </c>
      <c r="C8" t="n">
        <v>1027</v>
      </c>
      <c r="D8" t="inlineStr">
        <is>
          <t>Multifuncional</t>
        </is>
      </c>
      <c r="E8" t="inlineStr">
        <is>
          <t>SUC</t>
        </is>
      </c>
      <c r="F8" t="inlineStr">
        <is>
          <t>BELLTECH</t>
        </is>
      </c>
    </row>
    <row r="9">
      <c r="A9" t="n">
        <v>1028</v>
      </c>
      <c r="B9" t="n">
        <v>795</v>
      </c>
      <c r="C9" t="n">
        <v>1028</v>
      </c>
      <c r="D9" t="inlineStr">
        <is>
          <t>Multifuncional</t>
        </is>
      </c>
      <c r="E9" t="inlineStr">
        <is>
          <t>SUC</t>
        </is>
      </c>
      <c r="F9" t="inlineStr">
        <is>
          <t>BELLTECH</t>
        </is>
      </c>
    </row>
    <row r="10">
      <c r="A10" t="n">
        <v>1029</v>
      </c>
      <c r="B10" t="n">
        <v>795</v>
      </c>
      <c r="C10" t="n">
        <v>1029</v>
      </c>
      <c r="D10" t="inlineStr">
        <is>
          <t>Multifuncional</t>
        </is>
      </c>
      <c r="E10" t="inlineStr">
        <is>
          <t>SUC</t>
        </is>
      </c>
      <c r="F10" t="inlineStr">
        <is>
          <t>BELLTECH</t>
        </is>
      </c>
    </row>
    <row r="11">
      <c r="A11" t="n">
        <v>1477</v>
      </c>
      <c r="B11" t="n">
        <v>745</v>
      </c>
      <c r="C11" t="n">
        <v>1477</v>
      </c>
      <c r="D11" t="inlineStr">
        <is>
          <t>Multifuncional</t>
        </is>
      </c>
      <c r="E11" t="inlineStr">
        <is>
          <t>SUC</t>
        </is>
      </c>
      <c r="F11" t="inlineStr">
        <is>
          <t>BELLTECH</t>
        </is>
      </c>
    </row>
    <row r="12">
      <c r="A12" t="n">
        <v>1508</v>
      </c>
      <c r="B12" t="n">
        <v>377</v>
      </c>
      <c r="C12" t="n">
        <v>1508</v>
      </c>
      <c r="D12" t="inlineStr">
        <is>
          <t>Multifuncional</t>
        </is>
      </c>
      <c r="E12" t="inlineStr">
        <is>
          <t>SUC</t>
        </is>
      </c>
      <c r="F12" t="inlineStr">
        <is>
          <t>DIEBOLD</t>
        </is>
      </c>
    </row>
    <row r="13">
      <c r="A13" t="n">
        <v>1515</v>
      </c>
      <c r="B13" t="n">
        <v>692</v>
      </c>
      <c r="C13" t="n">
        <v>1515</v>
      </c>
      <c r="D13" t="inlineStr">
        <is>
          <t>Multifuncional</t>
        </is>
      </c>
      <c r="E13" t="inlineStr">
        <is>
          <t>SUC</t>
        </is>
      </c>
      <c r="F13" t="inlineStr">
        <is>
          <t>BELLTECH</t>
        </is>
      </c>
    </row>
    <row r="14">
      <c r="A14" t="n">
        <v>1516</v>
      </c>
      <c r="B14" t="n">
        <v>692</v>
      </c>
      <c r="C14" t="n">
        <v>1516</v>
      </c>
      <c r="D14" t="inlineStr">
        <is>
          <t>Multifuncional</t>
        </is>
      </c>
      <c r="E14" t="inlineStr">
        <is>
          <t>SUC</t>
        </is>
      </c>
      <c r="F14" t="inlineStr">
        <is>
          <t>BELLTECH</t>
        </is>
      </c>
    </row>
    <row r="15">
      <c r="A15" t="n">
        <v>1528</v>
      </c>
      <c r="B15" t="n">
        <v>395</v>
      </c>
      <c r="C15" t="n">
        <v>1528</v>
      </c>
      <c r="D15" t="inlineStr">
        <is>
          <t>Multifuncional</t>
        </is>
      </c>
      <c r="E15" t="inlineStr">
        <is>
          <t>SUC</t>
        </is>
      </c>
      <c r="F15" t="inlineStr">
        <is>
          <t>BELLTECH</t>
        </is>
      </c>
    </row>
    <row r="16">
      <c r="A16" t="n">
        <v>1529</v>
      </c>
      <c r="B16" t="n">
        <v>395</v>
      </c>
      <c r="C16" t="n">
        <v>1529</v>
      </c>
      <c r="D16" t="inlineStr">
        <is>
          <t>Multifuncional</t>
        </is>
      </c>
      <c r="E16" t="inlineStr">
        <is>
          <t>SUC</t>
        </is>
      </c>
      <c r="F16" t="inlineStr">
        <is>
          <t>BELLTECH</t>
        </is>
      </c>
    </row>
    <row r="17">
      <c r="A17" t="n">
        <v>1541</v>
      </c>
      <c r="B17" t="n">
        <v>141</v>
      </c>
      <c r="C17" t="n">
        <v>1541</v>
      </c>
      <c r="D17" t="inlineStr">
        <is>
          <t>Multifuncional</t>
        </is>
      </c>
      <c r="E17" t="inlineStr">
        <is>
          <t>SUC</t>
        </is>
      </c>
      <c r="F17" t="inlineStr">
        <is>
          <t>BELLTECH</t>
        </is>
      </c>
    </row>
    <row r="18">
      <c r="A18" t="n">
        <v>1565</v>
      </c>
      <c r="B18" t="n">
        <v>438</v>
      </c>
      <c r="C18" t="n">
        <v>1565</v>
      </c>
      <c r="D18" t="inlineStr">
        <is>
          <t>Multifuncional</t>
        </is>
      </c>
      <c r="E18" t="inlineStr">
        <is>
          <t>SUC</t>
        </is>
      </c>
      <c r="F18" t="inlineStr">
        <is>
          <t>BELLTECH</t>
        </is>
      </c>
    </row>
    <row r="19">
      <c r="A19" t="n">
        <v>2254</v>
      </c>
      <c r="B19" t="n">
        <v>108</v>
      </c>
      <c r="C19" t="n">
        <v>2254</v>
      </c>
      <c r="D19" t="inlineStr">
        <is>
          <t>Multifuncional</t>
        </is>
      </c>
      <c r="E19" t="inlineStr">
        <is>
          <t>SUC</t>
        </is>
      </c>
      <c r="F19" t="inlineStr">
        <is>
          <t>DIEBOLD</t>
        </is>
      </c>
    </row>
    <row r="20">
      <c r="A20" t="n">
        <v>2444</v>
      </c>
      <c r="B20" t="n">
        <v>322</v>
      </c>
      <c r="C20" t="n">
        <v>2444</v>
      </c>
      <c r="D20" t="inlineStr">
        <is>
          <t>Multifuncional</t>
        </is>
      </c>
      <c r="E20" t="inlineStr">
        <is>
          <t>SUC</t>
        </is>
      </c>
      <c r="F20" t="inlineStr">
        <is>
          <t>BELLTECH</t>
        </is>
      </c>
    </row>
    <row r="21">
      <c r="A21" t="n">
        <v>5000</v>
      </c>
      <c r="B21" t="n">
        <v>1</v>
      </c>
      <c r="C21" t="n">
        <v>5000</v>
      </c>
      <c r="D21" t="inlineStr">
        <is>
          <t>Multifuncional</t>
        </is>
      </c>
      <c r="E21" t="inlineStr">
        <is>
          <t>SUC</t>
        </is>
      </c>
      <c r="F21" t="inlineStr">
        <is>
          <t>BELLTECH</t>
        </is>
      </c>
    </row>
    <row r="22">
      <c r="A22" t="n">
        <v>5001</v>
      </c>
      <c r="B22" t="n">
        <v>6</v>
      </c>
      <c r="C22" t="n">
        <v>5001</v>
      </c>
      <c r="D22" t="inlineStr">
        <is>
          <t>Multifuncional</t>
        </is>
      </c>
      <c r="E22" t="inlineStr">
        <is>
          <t>SUC</t>
        </is>
      </c>
      <c r="F22" t="inlineStr">
        <is>
          <t>BELLTECH</t>
        </is>
      </c>
    </row>
    <row r="23">
      <c r="A23" t="n">
        <v>5002</v>
      </c>
      <c r="B23" t="n">
        <v>59</v>
      </c>
      <c r="C23" t="n">
        <v>5002</v>
      </c>
      <c r="D23" t="inlineStr">
        <is>
          <t>Multifuncional</t>
        </is>
      </c>
      <c r="E23" t="inlineStr">
        <is>
          <t>SUC</t>
        </is>
      </c>
      <c r="F23" t="inlineStr">
        <is>
          <t>BELLTECH</t>
        </is>
      </c>
    </row>
    <row r="24">
      <c r="A24" t="n">
        <v>5005</v>
      </c>
      <c r="B24" t="n">
        <v>361</v>
      </c>
      <c r="C24" t="n">
        <v>5005</v>
      </c>
      <c r="D24" t="inlineStr">
        <is>
          <t>Multifuncional</t>
        </is>
      </c>
      <c r="E24" t="inlineStr">
        <is>
          <t>SUC</t>
        </is>
      </c>
      <c r="F24" t="inlineStr">
        <is>
          <t>BELLTECH</t>
        </is>
      </c>
    </row>
    <row r="25">
      <c r="A25" t="n">
        <v>5009</v>
      </c>
      <c r="B25" t="n">
        <v>777</v>
      </c>
      <c r="C25" t="n">
        <v>5009</v>
      </c>
      <c r="D25" t="inlineStr">
        <is>
          <t>Multifuncional</t>
        </is>
      </c>
      <c r="E25" t="inlineStr">
        <is>
          <t>SUC</t>
        </is>
      </c>
      <c r="F25" t="inlineStr">
        <is>
          <t>BELLTECH</t>
        </is>
      </c>
    </row>
    <row r="26">
      <c r="A26" t="n">
        <v>5013</v>
      </c>
      <c r="B26" t="n">
        <v>779</v>
      </c>
      <c r="C26" t="n">
        <v>5013</v>
      </c>
      <c r="D26" t="inlineStr">
        <is>
          <t>Multifuncional</t>
        </is>
      </c>
      <c r="E26" t="inlineStr">
        <is>
          <t>SUC</t>
        </is>
      </c>
      <c r="F26" t="inlineStr">
        <is>
          <t>BELLTECH</t>
        </is>
      </c>
    </row>
    <row r="27">
      <c r="A27" t="n">
        <v>5019</v>
      </c>
      <c r="B27" t="n">
        <v>907</v>
      </c>
      <c r="C27" t="n">
        <v>5019</v>
      </c>
      <c r="D27" t="inlineStr">
        <is>
          <t>Multifuncional</t>
        </is>
      </c>
      <c r="E27" t="inlineStr">
        <is>
          <t>SUC</t>
        </is>
      </c>
      <c r="F27" t="inlineStr">
        <is>
          <t>BELLTECH</t>
        </is>
      </c>
    </row>
    <row r="28">
      <c r="A28" t="n">
        <v>5020</v>
      </c>
      <c r="B28" t="n">
        <v>882</v>
      </c>
      <c r="C28" t="n">
        <v>5020</v>
      </c>
      <c r="D28" t="inlineStr">
        <is>
          <t>Multifuncional</t>
        </is>
      </c>
      <c r="E28" t="inlineStr">
        <is>
          <t>SUC</t>
        </is>
      </c>
      <c r="F28" t="inlineStr">
        <is>
          <t>BELLTECH</t>
        </is>
      </c>
    </row>
    <row r="29">
      <c r="A29" t="n">
        <v>5021</v>
      </c>
      <c r="B29" t="n">
        <v>277</v>
      </c>
      <c r="C29" t="n">
        <v>5021</v>
      </c>
      <c r="D29" t="inlineStr">
        <is>
          <t>Multifuncional</t>
        </is>
      </c>
      <c r="E29" t="inlineStr">
        <is>
          <t>SUC</t>
        </is>
      </c>
      <c r="F29" t="inlineStr">
        <is>
          <t>BELLTECH</t>
        </is>
      </c>
    </row>
    <row r="30">
      <c r="A30" t="n">
        <v>5023</v>
      </c>
      <c r="B30" t="n">
        <v>825</v>
      </c>
      <c r="C30" t="n">
        <v>5023</v>
      </c>
      <c r="D30" t="inlineStr">
        <is>
          <t>Multifuncional</t>
        </is>
      </c>
      <c r="E30" t="inlineStr">
        <is>
          <t>SUC</t>
        </is>
      </c>
      <c r="F30" t="inlineStr">
        <is>
          <t>BELLTECH</t>
        </is>
      </c>
    </row>
    <row r="31">
      <c r="A31" t="n">
        <v>5027</v>
      </c>
      <c r="B31" t="n">
        <v>32</v>
      </c>
      <c r="C31" t="n">
        <v>5027</v>
      </c>
      <c r="D31" t="inlineStr">
        <is>
          <t>Multifuncional</t>
        </is>
      </c>
      <c r="E31" t="inlineStr">
        <is>
          <t>SUC</t>
        </is>
      </c>
      <c r="F31" t="inlineStr">
        <is>
          <t>BELLTECH</t>
        </is>
      </c>
    </row>
    <row r="32">
      <c r="A32" t="n">
        <v>5030</v>
      </c>
      <c r="B32" t="n">
        <v>167</v>
      </c>
      <c r="C32" t="n">
        <v>5030</v>
      </c>
      <c r="D32" t="inlineStr">
        <is>
          <t>Multifuncional</t>
        </is>
      </c>
      <c r="E32" t="inlineStr">
        <is>
          <t>SUC</t>
        </is>
      </c>
      <c r="F32" t="inlineStr">
        <is>
          <t>BELLTECH</t>
        </is>
      </c>
    </row>
    <row r="33">
      <c r="A33" t="n">
        <v>5034</v>
      </c>
      <c r="B33" t="n">
        <v>275</v>
      </c>
      <c r="C33" t="n">
        <v>5034</v>
      </c>
      <c r="D33" t="inlineStr">
        <is>
          <t>Multifuncional</t>
        </is>
      </c>
      <c r="E33" t="inlineStr">
        <is>
          <t>SUC</t>
        </is>
      </c>
      <c r="F33" t="inlineStr">
        <is>
          <t>BELLTECH</t>
        </is>
      </c>
    </row>
    <row r="34">
      <c r="A34" t="n">
        <v>5036</v>
      </c>
      <c r="B34" t="n">
        <v>81</v>
      </c>
      <c r="C34" t="n">
        <v>5036</v>
      </c>
      <c r="D34" t="inlineStr">
        <is>
          <t>Multifuncional</t>
        </is>
      </c>
      <c r="E34" t="inlineStr">
        <is>
          <t>SUC</t>
        </is>
      </c>
      <c r="F34" t="inlineStr">
        <is>
          <t>BELLTECH</t>
        </is>
      </c>
    </row>
    <row r="35">
      <c r="A35" t="n">
        <v>5040</v>
      </c>
      <c r="B35" t="n">
        <v>824</v>
      </c>
      <c r="C35" t="n">
        <v>5040</v>
      </c>
      <c r="D35" t="inlineStr">
        <is>
          <t>Multifuncional</t>
        </is>
      </c>
      <c r="E35" t="inlineStr">
        <is>
          <t>SUC</t>
        </is>
      </c>
      <c r="F35" t="inlineStr">
        <is>
          <t>BELLTECH</t>
        </is>
      </c>
    </row>
    <row r="36">
      <c r="A36" t="n">
        <v>5041</v>
      </c>
      <c r="B36" t="n">
        <v>154</v>
      </c>
      <c r="C36" t="n">
        <v>5041</v>
      </c>
      <c r="D36" t="inlineStr">
        <is>
          <t>Multifuncional</t>
        </is>
      </c>
      <c r="E36" t="inlineStr">
        <is>
          <t>SUC</t>
        </is>
      </c>
      <c r="F36" t="inlineStr">
        <is>
          <t>BELLTECH</t>
        </is>
      </c>
    </row>
    <row r="37">
      <c r="A37" t="n">
        <v>5043</v>
      </c>
      <c r="B37" t="n">
        <v>867</v>
      </c>
      <c r="C37" t="n">
        <v>5043</v>
      </c>
      <c r="D37" t="inlineStr">
        <is>
          <t>Multifuncional</t>
        </is>
      </c>
      <c r="E37" t="inlineStr">
        <is>
          <t>SUC</t>
        </is>
      </c>
      <c r="F37" t="inlineStr">
        <is>
          <t>BELLTECH</t>
        </is>
      </c>
    </row>
    <row r="38">
      <c r="A38" t="n">
        <v>5045</v>
      </c>
      <c r="B38" t="n">
        <v>879</v>
      </c>
      <c r="C38" t="n">
        <v>5045</v>
      </c>
      <c r="D38" t="inlineStr">
        <is>
          <t>Multifuncional</t>
        </is>
      </c>
      <c r="E38" t="inlineStr">
        <is>
          <t>SUC</t>
        </is>
      </c>
      <c r="F38" t="inlineStr">
        <is>
          <t>BELLTECH</t>
        </is>
      </c>
    </row>
    <row r="39">
      <c r="A39" t="n">
        <v>5046</v>
      </c>
      <c r="B39" t="n">
        <v>723</v>
      </c>
      <c r="C39" t="n">
        <v>5046</v>
      </c>
      <c r="D39" t="inlineStr">
        <is>
          <t>Multifuncional</t>
        </is>
      </c>
      <c r="E39" t="inlineStr">
        <is>
          <t>SUC</t>
        </is>
      </c>
      <c r="F39" t="inlineStr">
        <is>
          <t>BELLTECH</t>
        </is>
      </c>
    </row>
    <row r="40">
      <c r="A40" t="n">
        <v>5047</v>
      </c>
      <c r="B40" t="n">
        <v>623</v>
      </c>
      <c r="C40" t="n">
        <v>5047</v>
      </c>
      <c r="D40" t="inlineStr">
        <is>
          <t>Multifuncional</t>
        </is>
      </c>
      <c r="E40" t="inlineStr">
        <is>
          <t>SUC</t>
        </is>
      </c>
      <c r="F40" t="inlineStr">
        <is>
          <t>BELLTECH</t>
        </is>
      </c>
    </row>
    <row r="41">
      <c r="A41" t="n">
        <v>5048</v>
      </c>
      <c r="B41" t="n">
        <v>261</v>
      </c>
      <c r="C41" t="n">
        <v>5048</v>
      </c>
      <c r="D41" t="inlineStr">
        <is>
          <t>Multifuncional</t>
        </is>
      </c>
      <c r="E41" t="inlineStr">
        <is>
          <t>SUC</t>
        </is>
      </c>
      <c r="F41" t="inlineStr">
        <is>
          <t>BELLTECH</t>
        </is>
      </c>
    </row>
    <row r="42">
      <c r="A42" t="n">
        <v>5049</v>
      </c>
      <c r="B42" t="n">
        <v>682</v>
      </c>
      <c r="C42" t="n">
        <v>5049</v>
      </c>
      <c r="D42" t="inlineStr">
        <is>
          <t>Multifuncional</t>
        </is>
      </c>
      <c r="E42" t="inlineStr">
        <is>
          <t>SUC</t>
        </is>
      </c>
      <c r="F42" t="inlineStr">
        <is>
          <t>BELLTECH</t>
        </is>
      </c>
    </row>
    <row r="43">
      <c r="A43" t="n">
        <v>5050</v>
      </c>
      <c r="B43" t="n">
        <v>852</v>
      </c>
      <c r="C43" t="n">
        <v>5050</v>
      </c>
      <c r="D43" t="inlineStr">
        <is>
          <t>Multifuncional</t>
        </is>
      </c>
      <c r="E43" t="inlineStr">
        <is>
          <t>SUC</t>
        </is>
      </c>
      <c r="F43" t="inlineStr">
        <is>
          <t>BELLTECH</t>
        </is>
      </c>
    </row>
    <row r="44">
      <c r="A44" t="n">
        <v>5051</v>
      </c>
      <c r="B44" t="n">
        <v>769</v>
      </c>
      <c r="C44" t="n">
        <v>5051</v>
      </c>
      <c r="D44" t="inlineStr">
        <is>
          <t>Multifuncional</t>
        </is>
      </c>
      <c r="E44" t="inlineStr">
        <is>
          <t>SUC</t>
        </is>
      </c>
      <c r="F44" t="inlineStr">
        <is>
          <t>BELLTECH</t>
        </is>
      </c>
    </row>
    <row r="45">
      <c r="A45" t="n">
        <v>5052</v>
      </c>
      <c r="B45" t="n">
        <v>916</v>
      </c>
      <c r="C45" t="n">
        <v>5052</v>
      </c>
      <c r="D45" t="inlineStr">
        <is>
          <t>Multifuncional</t>
        </is>
      </c>
      <c r="E45" t="inlineStr">
        <is>
          <t>SUC</t>
        </is>
      </c>
      <c r="F45" t="inlineStr">
        <is>
          <t>BELLTECH</t>
        </is>
      </c>
    </row>
    <row r="46">
      <c r="A46" t="n">
        <v>5053</v>
      </c>
      <c r="B46" t="n">
        <v>517</v>
      </c>
      <c r="C46" t="n">
        <v>5053</v>
      </c>
      <c r="D46" t="inlineStr">
        <is>
          <t>Multifuncional</t>
        </is>
      </c>
      <c r="E46" t="inlineStr">
        <is>
          <t>SUC</t>
        </is>
      </c>
      <c r="F46" t="inlineStr">
        <is>
          <t>BELLTECH</t>
        </is>
      </c>
    </row>
    <row r="47">
      <c r="A47" t="n">
        <v>5057</v>
      </c>
      <c r="B47" t="n">
        <v>781</v>
      </c>
      <c r="C47" t="n">
        <v>5057</v>
      </c>
      <c r="D47" t="inlineStr">
        <is>
          <t>Multifuncional</t>
        </is>
      </c>
      <c r="E47" t="inlineStr">
        <is>
          <t>SUC</t>
        </is>
      </c>
      <c r="F47" t="inlineStr">
        <is>
          <t>BELLTECH</t>
        </is>
      </c>
    </row>
    <row r="48">
      <c r="A48" t="n">
        <v>5059</v>
      </c>
      <c r="B48" t="n">
        <v>7</v>
      </c>
      <c r="C48" t="n">
        <v>5059</v>
      </c>
      <c r="D48" t="inlineStr">
        <is>
          <t>Multifuncional</t>
        </is>
      </c>
      <c r="E48" t="inlineStr">
        <is>
          <t>SUC</t>
        </is>
      </c>
      <c r="F48" t="inlineStr">
        <is>
          <t>BELLTECH</t>
        </is>
      </c>
    </row>
    <row r="49">
      <c r="A49" t="n">
        <v>5064</v>
      </c>
      <c r="B49" t="n">
        <v>392</v>
      </c>
      <c r="C49" t="n">
        <v>5064</v>
      </c>
      <c r="D49" t="inlineStr">
        <is>
          <t>Multifuncional</t>
        </is>
      </c>
      <c r="E49" t="inlineStr">
        <is>
          <t>SUC</t>
        </is>
      </c>
      <c r="F49" t="inlineStr">
        <is>
          <t>BELLTECH</t>
        </is>
      </c>
    </row>
    <row r="50">
      <c r="A50" t="n">
        <v>5066</v>
      </c>
      <c r="B50" t="n">
        <v>24</v>
      </c>
      <c r="C50" t="n">
        <v>5066</v>
      </c>
      <c r="D50" t="inlineStr">
        <is>
          <t>Multifuncional</t>
        </is>
      </c>
      <c r="E50" t="inlineStr">
        <is>
          <t>SUC</t>
        </is>
      </c>
      <c r="F50" t="inlineStr">
        <is>
          <t>BELLTECH</t>
        </is>
      </c>
    </row>
    <row r="51">
      <c r="A51" t="n">
        <v>5067</v>
      </c>
      <c r="B51" t="n">
        <v>211</v>
      </c>
      <c r="C51" t="n">
        <v>5067</v>
      </c>
      <c r="D51" t="inlineStr">
        <is>
          <t>Multifuncional</t>
        </is>
      </c>
      <c r="E51" t="inlineStr">
        <is>
          <t>SUC</t>
        </is>
      </c>
      <c r="F51" t="inlineStr">
        <is>
          <t>BELLTECH</t>
        </is>
      </c>
    </row>
    <row r="52">
      <c r="A52" t="n">
        <v>5070</v>
      </c>
      <c r="B52" t="n">
        <v>652</v>
      </c>
      <c r="C52" t="n">
        <v>5070</v>
      </c>
      <c r="D52" t="inlineStr">
        <is>
          <t>Multifuncional</t>
        </is>
      </c>
      <c r="E52" t="inlineStr">
        <is>
          <t>SUC</t>
        </is>
      </c>
      <c r="F52" t="inlineStr">
        <is>
          <t>BELLTECH</t>
        </is>
      </c>
    </row>
    <row r="53">
      <c r="A53" t="n">
        <v>5076</v>
      </c>
      <c r="B53" t="n">
        <v>333</v>
      </c>
      <c r="C53" t="n">
        <v>5076</v>
      </c>
      <c r="D53" t="inlineStr">
        <is>
          <t>Multifuncional</t>
        </is>
      </c>
      <c r="E53" t="inlineStr">
        <is>
          <t>SUC</t>
        </is>
      </c>
      <c r="F53" t="inlineStr">
        <is>
          <t>BELLTECH</t>
        </is>
      </c>
    </row>
    <row r="54">
      <c r="A54" t="n">
        <v>5077</v>
      </c>
      <c r="B54" t="n">
        <v>419</v>
      </c>
      <c r="C54" t="n">
        <v>5077</v>
      </c>
      <c r="D54" t="inlineStr">
        <is>
          <t>Multifuncional</t>
        </is>
      </c>
      <c r="E54" t="inlineStr">
        <is>
          <t>SUC</t>
        </is>
      </c>
      <c r="F54" t="inlineStr">
        <is>
          <t>BELLTECH</t>
        </is>
      </c>
    </row>
    <row r="55">
      <c r="A55" t="n">
        <v>5078</v>
      </c>
      <c r="B55" t="n">
        <v>19</v>
      </c>
      <c r="C55" t="n">
        <v>5078</v>
      </c>
      <c r="D55" t="inlineStr">
        <is>
          <t>Multifuncional</t>
        </is>
      </c>
      <c r="E55" t="inlineStr">
        <is>
          <t>SUC</t>
        </is>
      </c>
      <c r="F55" t="inlineStr">
        <is>
          <t>BELLTECH</t>
        </is>
      </c>
    </row>
    <row r="56">
      <c r="A56" t="n">
        <v>5079</v>
      </c>
      <c r="B56" t="n">
        <v>8</v>
      </c>
      <c r="C56" t="n">
        <v>5079</v>
      </c>
      <c r="D56" t="inlineStr">
        <is>
          <t>Multifuncional</t>
        </is>
      </c>
      <c r="E56" t="inlineStr">
        <is>
          <t>SUC</t>
        </is>
      </c>
      <c r="F56" t="inlineStr">
        <is>
          <t>BELLTECH</t>
        </is>
      </c>
    </row>
    <row r="57">
      <c r="A57" t="n">
        <v>5080</v>
      </c>
      <c r="B57" t="n">
        <v>115</v>
      </c>
      <c r="C57" t="n">
        <v>5080</v>
      </c>
      <c r="D57" t="inlineStr">
        <is>
          <t>Multifuncional</t>
        </is>
      </c>
      <c r="E57" t="inlineStr">
        <is>
          <t>SUC</t>
        </is>
      </c>
      <c r="F57" t="inlineStr">
        <is>
          <t>BELLTECH</t>
        </is>
      </c>
    </row>
    <row r="58">
      <c r="A58" t="n">
        <v>5081</v>
      </c>
      <c r="B58" t="n">
        <v>486</v>
      </c>
      <c r="C58" t="n">
        <v>5081</v>
      </c>
      <c r="D58" t="inlineStr">
        <is>
          <t>Multifuncional</t>
        </is>
      </c>
      <c r="E58" t="inlineStr">
        <is>
          <t>SUC</t>
        </is>
      </c>
      <c r="F58" t="inlineStr">
        <is>
          <t>BELLTECH</t>
        </is>
      </c>
    </row>
    <row r="59">
      <c r="A59" t="n">
        <v>5082</v>
      </c>
      <c r="B59" t="n">
        <v>523</v>
      </c>
      <c r="C59" t="n">
        <v>5082</v>
      </c>
      <c r="D59" t="inlineStr">
        <is>
          <t>Multifuncional</t>
        </is>
      </c>
      <c r="E59" t="inlineStr">
        <is>
          <t>SUC</t>
        </is>
      </c>
      <c r="F59" t="inlineStr">
        <is>
          <t>BELLTECH</t>
        </is>
      </c>
    </row>
    <row r="60">
      <c r="A60" t="n">
        <v>5083</v>
      </c>
      <c r="B60" t="n">
        <v>265</v>
      </c>
      <c r="C60" t="n">
        <v>5083</v>
      </c>
      <c r="D60" t="inlineStr">
        <is>
          <t>Multifuncional</t>
        </is>
      </c>
      <c r="E60" t="inlineStr">
        <is>
          <t>SUC</t>
        </is>
      </c>
      <c r="F60" t="inlineStr">
        <is>
          <t>BELLTECH</t>
        </is>
      </c>
    </row>
    <row r="61">
      <c r="A61" t="n">
        <v>5084</v>
      </c>
      <c r="B61" t="n">
        <v>197</v>
      </c>
      <c r="C61" t="n">
        <v>5084</v>
      </c>
      <c r="D61" t="inlineStr">
        <is>
          <t>Multifuncional</t>
        </is>
      </c>
      <c r="E61" t="inlineStr">
        <is>
          <t>SUC</t>
        </is>
      </c>
      <c r="F61" t="inlineStr">
        <is>
          <t>BELLTECH</t>
        </is>
      </c>
    </row>
    <row r="62">
      <c r="A62" t="n">
        <v>5087</v>
      </c>
      <c r="B62" t="n">
        <v>634</v>
      </c>
      <c r="C62" t="n">
        <v>5087</v>
      </c>
      <c r="D62" t="inlineStr">
        <is>
          <t>Multifuncional</t>
        </is>
      </c>
      <c r="E62" t="inlineStr">
        <is>
          <t>SUC</t>
        </is>
      </c>
      <c r="F62" t="inlineStr">
        <is>
          <t>BELLTECH</t>
        </is>
      </c>
    </row>
    <row r="63">
      <c r="A63" t="n">
        <v>5102</v>
      </c>
      <c r="B63" t="n">
        <v>659</v>
      </c>
      <c r="C63" t="n">
        <v>5102</v>
      </c>
      <c r="D63" t="inlineStr">
        <is>
          <t>Multifuncional</t>
        </is>
      </c>
      <c r="E63" t="inlineStr">
        <is>
          <t>SUC</t>
        </is>
      </c>
      <c r="F63" t="inlineStr">
        <is>
          <t>BELLTECH</t>
        </is>
      </c>
    </row>
    <row r="64">
      <c r="A64" t="n">
        <v>5103</v>
      </c>
      <c r="B64" t="n">
        <v>656</v>
      </c>
      <c r="C64" t="n">
        <v>5103</v>
      </c>
      <c r="D64" t="inlineStr">
        <is>
          <t>Multifuncional</t>
        </is>
      </c>
      <c r="E64" t="inlineStr">
        <is>
          <t>SUC</t>
        </is>
      </c>
      <c r="F64" t="inlineStr">
        <is>
          <t>BELLTECH</t>
        </is>
      </c>
    </row>
    <row r="65">
      <c r="A65" t="n">
        <v>5104</v>
      </c>
      <c r="B65" t="n">
        <v>430</v>
      </c>
      <c r="C65" t="n">
        <v>5104</v>
      </c>
      <c r="D65" t="inlineStr">
        <is>
          <t>Multifuncional</t>
        </is>
      </c>
      <c r="E65" t="inlineStr">
        <is>
          <t>SUC</t>
        </is>
      </c>
      <c r="F65" t="inlineStr">
        <is>
          <t>BELLTECH</t>
        </is>
      </c>
    </row>
    <row r="66">
      <c r="A66" t="n">
        <v>5106</v>
      </c>
      <c r="B66" t="n">
        <v>743</v>
      </c>
      <c r="C66" t="n">
        <v>5106</v>
      </c>
      <c r="D66" t="inlineStr">
        <is>
          <t>Multifuncional</t>
        </is>
      </c>
      <c r="E66" t="inlineStr">
        <is>
          <t>SUC</t>
        </is>
      </c>
      <c r="F66" t="inlineStr">
        <is>
          <t>BELLTECH</t>
        </is>
      </c>
    </row>
    <row r="67">
      <c r="A67" t="n">
        <v>5108</v>
      </c>
      <c r="B67" t="n">
        <v>73</v>
      </c>
      <c r="C67" t="n">
        <v>5108</v>
      </c>
      <c r="D67" t="inlineStr">
        <is>
          <t>Multifuncional</t>
        </is>
      </c>
      <c r="E67" t="inlineStr">
        <is>
          <t>SUC</t>
        </is>
      </c>
      <c r="F67" t="inlineStr">
        <is>
          <t>BELLTECH</t>
        </is>
      </c>
    </row>
    <row r="68">
      <c r="A68" t="n">
        <v>5111</v>
      </c>
      <c r="B68" t="n">
        <v>88</v>
      </c>
      <c r="C68" t="n">
        <v>5111</v>
      </c>
      <c r="D68" t="inlineStr">
        <is>
          <t>Multifuncional</t>
        </is>
      </c>
      <c r="E68" t="inlineStr">
        <is>
          <t>SUC</t>
        </is>
      </c>
      <c r="F68" t="inlineStr">
        <is>
          <t>BELLTECH</t>
        </is>
      </c>
    </row>
    <row r="69">
      <c r="A69" t="n">
        <v>5112</v>
      </c>
      <c r="B69" t="n">
        <v>191</v>
      </c>
      <c r="C69" t="n">
        <v>5112</v>
      </c>
      <c r="D69" t="inlineStr">
        <is>
          <t>Multifuncional</t>
        </is>
      </c>
      <c r="E69" t="inlineStr">
        <is>
          <t>SUC</t>
        </is>
      </c>
      <c r="F69" t="inlineStr">
        <is>
          <t>BELLTECH</t>
        </is>
      </c>
    </row>
    <row r="70">
      <c r="A70" t="n">
        <v>5114</v>
      </c>
      <c r="B70" t="n">
        <v>291</v>
      </c>
      <c r="C70" t="n">
        <v>5114</v>
      </c>
      <c r="D70" t="inlineStr">
        <is>
          <t>Multifuncional</t>
        </is>
      </c>
      <c r="E70" t="inlineStr">
        <is>
          <t>SUC</t>
        </is>
      </c>
      <c r="F70" t="inlineStr">
        <is>
          <t>BELLTECH</t>
        </is>
      </c>
    </row>
    <row r="71">
      <c r="A71" t="n">
        <v>5115</v>
      </c>
      <c r="B71" t="n">
        <v>937</v>
      </c>
      <c r="C71" t="n">
        <v>5115</v>
      </c>
      <c r="D71" t="inlineStr">
        <is>
          <t>Multifuncional</t>
        </is>
      </c>
      <c r="E71" t="inlineStr">
        <is>
          <t>SUC</t>
        </is>
      </c>
      <c r="F71" t="inlineStr">
        <is>
          <t>BELLTECH</t>
        </is>
      </c>
    </row>
    <row r="72">
      <c r="A72" t="n">
        <v>5116</v>
      </c>
      <c r="B72" t="n">
        <v>292</v>
      </c>
      <c r="C72" t="n">
        <v>5116</v>
      </c>
      <c r="D72" t="inlineStr">
        <is>
          <t>Multifuncional</t>
        </is>
      </c>
      <c r="E72" t="inlineStr">
        <is>
          <t>SUC</t>
        </is>
      </c>
      <c r="F72" t="inlineStr">
        <is>
          <t>BELLTECH</t>
        </is>
      </c>
    </row>
    <row r="73">
      <c r="A73" t="n">
        <v>5118</v>
      </c>
      <c r="B73" t="n">
        <v>789</v>
      </c>
      <c r="C73" t="n">
        <v>5118</v>
      </c>
      <c r="D73" t="inlineStr">
        <is>
          <t>Multifuncional</t>
        </is>
      </c>
      <c r="E73" t="inlineStr">
        <is>
          <t>SUC</t>
        </is>
      </c>
      <c r="F73" t="inlineStr">
        <is>
          <t>BELLTECH</t>
        </is>
      </c>
    </row>
    <row r="74">
      <c r="A74" t="n">
        <v>5122</v>
      </c>
      <c r="B74" t="n">
        <v>511</v>
      </c>
      <c r="C74" t="n">
        <v>5122</v>
      </c>
      <c r="D74" t="inlineStr">
        <is>
          <t>Multifuncional</t>
        </is>
      </c>
      <c r="E74" t="inlineStr">
        <is>
          <t>SUC</t>
        </is>
      </c>
      <c r="F74" t="inlineStr">
        <is>
          <t>BELLTECH</t>
        </is>
      </c>
    </row>
    <row r="75">
      <c r="A75" t="n">
        <v>5126</v>
      </c>
      <c r="B75" t="n">
        <v>76</v>
      </c>
      <c r="C75" t="n">
        <v>5126</v>
      </c>
      <c r="D75" t="inlineStr">
        <is>
          <t>Multifuncional</t>
        </is>
      </c>
      <c r="E75" t="inlineStr">
        <is>
          <t>SUC</t>
        </is>
      </c>
      <c r="F75" t="inlineStr">
        <is>
          <t>BELLTECH</t>
        </is>
      </c>
    </row>
    <row r="76">
      <c r="A76" t="n">
        <v>5128</v>
      </c>
      <c r="B76" t="n">
        <v>101</v>
      </c>
      <c r="C76" t="n">
        <v>5128</v>
      </c>
      <c r="D76" t="inlineStr">
        <is>
          <t>Multifuncional</t>
        </is>
      </c>
      <c r="E76" t="inlineStr">
        <is>
          <t>SUC</t>
        </is>
      </c>
      <c r="F76" t="inlineStr">
        <is>
          <t>BELLTECH</t>
        </is>
      </c>
    </row>
    <row r="77">
      <c r="A77" t="n">
        <v>5129</v>
      </c>
      <c r="B77" t="n">
        <v>244</v>
      </c>
      <c r="C77" t="n">
        <v>5129</v>
      </c>
      <c r="D77" t="inlineStr">
        <is>
          <t>Multifuncional</t>
        </is>
      </c>
      <c r="E77" t="inlineStr">
        <is>
          <t>SUC</t>
        </is>
      </c>
      <c r="F77" t="inlineStr">
        <is>
          <t>BELLTECH</t>
        </is>
      </c>
    </row>
    <row r="78">
      <c r="A78" t="n">
        <v>5132</v>
      </c>
      <c r="B78" t="n">
        <v>366</v>
      </c>
      <c r="C78" t="n">
        <v>5132</v>
      </c>
      <c r="D78" t="inlineStr">
        <is>
          <t>Multifuncional</t>
        </is>
      </c>
      <c r="E78" t="inlineStr">
        <is>
          <t>SUC</t>
        </is>
      </c>
      <c r="F78" t="inlineStr">
        <is>
          <t>BELLTECH</t>
        </is>
      </c>
    </row>
    <row r="79">
      <c r="A79" t="n">
        <v>5135</v>
      </c>
      <c r="B79" t="n">
        <v>68</v>
      </c>
      <c r="C79" t="n">
        <v>5135</v>
      </c>
      <c r="D79" t="inlineStr">
        <is>
          <t>Multifuncional</t>
        </is>
      </c>
      <c r="E79" t="inlineStr">
        <is>
          <t>SUC</t>
        </is>
      </c>
      <c r="F79" t="inlineStr">
        <is>
          <t>BELLTECH</t>
        </is>
      </c>
    </row>
    <row r="80">
      <c r="A80" t="n">
        <v>5136</v>
      </c>
      <c r="B80" t="n">
        <v>318</v>
      </c>
      <c r="C80" t="n">
        <v>5136</v>
      </c>
      <c r="D80" t="inlineStr">
        <is>
          <t>Multifuncional</t>
        </is>
      </c>
      <c r="E80" t="inlineStr">
        <is>
          <t>SUC</t>
        </is>
      </c>
      <c r="F80" t="inlineStr">
        <is>
          <t>BELLTECH</t>
        </is>
      </c>
    </row>
    <row r="81">
      <c r="A81" t="n">
        <v>5137</v>
      </c>
      <c r="B81" t="n">
        <v>829</v>
      </c>
      <c r="C81" t="n">
        <v>5137</v>
      </c>
      <c r="D81" t="inlineStr">
        <is>
          <t>Multifuncional</t>
        </is>
      </c>
      <c r="E81" t="inlineStr">
        <is>
          <t>SUC</t>
        </is>
      </c>
      <c r="F81" t="inlineStr">
        <is>
          <t>BELLTECH</t>
        </is>
      </c>
    </row>
    <row r="82">
      <c r="A82" t="n">
        <v>5139</v>
      </c>
      <c r="B82" t="n">
        <v>300</v>
      </c>
      <c r="C82" t="n">
        <v>5139</v>
      </c>
      <c r="D82" t="inlineStr">
        <is>
          <t>Multifuncional</t>
        </is>
      </c>
      <c r="E82" t="inlineStr">
        <is>
          <t>SUC</t>
        </is>
      </c>
      <c r="F82" t="inlineStr">
        <is>
          <t>BELLTECH</t>
        </is>
      </c>
    </row>
    <row r="83">
      <c r="A83" t="n">
        <v>5141</v>
      </c>
      <c r="B83" t="n">
        <v>53</v>
      </c>
      <c r="C83" t="n">
        <v>5141</v>
      </c>
      <c r="D83" t="inlineStr">
        <is>
          <t>Multifuncional</t>
        </is>
      </c>
      <c r="E83" t="inlineStr">
        <is>
          <t>SUC</t>
        </is>
      </c>
      <c r="F83" t="inlineStr">
        <is>
          <t>BELLTECH</t>
        </is>
      </c>
    </row>
    <row r="84">
      <c r="A84" t="n">
        <v>5142</v>
      </c>
      <c r="B84" t="n">
        <v>40</v>
      </c>
      <c r="C84" t="n">
        <v>5142</v>
      </c>
      <c r="D84" t="inlineStr">
        <is>
          <t>Multifuncional</t>
        </is>
      </c>
      <c r="E84" t="inlineStr">
        <is>
          <t>SUC</t>
        </is>
      </c>
      <c r="F84" t="inlineStr">
        <is>
          <t>BELLTECH</t>
        </is>
      </c>
    </row>
    <row r="85">
      <c r="A85" t="n">
        <v>5143</v>
      </c>
      <c r="B85" t="n">
        <v>927</v>
      </c>
      <c r="C85" t="n">
        <v>5143</v>
      </c>
      <c r="D85" t="inlineStr">
        <is>
          <t>Multifuncional</t>
        </is>
      </c>
      <c r="E85" t="inlineStr">
        <is>
          <t>SUC</t>
        </is>
      </c>
      <c r="F85" t="inlineStr">
        <is>
          <t>BELLTECH</t>
        </is>
      </c>
    </row>
    <row r="86">
      <c r="A86" t="n">
        <v>5144</v>
      </c>
      <c r="B86" t="n">
        <v>812</v>
      </c>
      <c r="C86" t="n">
        <v>5144</v>
      </c>
      <c r="D86" t="inlineStr">
        <is>
          <t>Multifuncional</t>
        </is>
      </c>
      <c r="E86" t="inlineStr">
        <is>
          <t>SUC</t>
        </is>
      </c>
      <c r="F86" t="inlineStr">
        <is>
          <t>BELLTECH</t>
        </is>
      </c>
    </row>
    <row r="87">
      <c r="A87" t="n">
        <v>5147</v>
      </c>
      <c r="B87" t="n">
        <v>279</v>
      </c>
      <c r="C87" t="n">
        <v>5147</v>
      </c>
      <c r="D87" t="inlineStr">
        <is>
          <t>Multifuncional</t>
        </is>
      </c>
      <c r="E87" t="inlineStr">
        <is>
          <t>SUC</t>
        </is>
      </c>
      <c r="F87" t="inlineStr">
        <is>
          <t>BELLTECH</t>
        </is>
      </c>
    </row>
    <row r="88">
      <c r="A88" t="n">
        <v>5148</v>
      </c>
      <c r="B88" t="n">
        <v>91</v>
      </c>
      <c r="C88" t="n">
        <v>5148</v>
      </c>
      <c r="D88" t="inlineStr">
        <is>
          <t>Multifuncional</t>
        </is>
      </c>
      <c r="E88" t="inlineStr">
        <is>
          <t>SUC</t>
        </is>
      </c>
      <c r="F88" t="inlineStr">
        <is>
          <t>BELLTECH</t>
        </is>
      </c>
    </row>
    <row r="89">
      <c r="A89" t="n">
        <v>5149</v>
      </c>
      <c r="B89" t="n">
        <v>358</v>
      </c>
      <c r="C89" t="n">
        <v>5149</v>
      </c>
      <c r="D89" t="inlineStr">
        <is>
          <t>Multifuncional</t>
        </is>
      </c>
      <c r="E89" t="inlineStr">
        <is>
          <t>SUC</t>
        </is>
      </c>
      <c r="F89" t="inlineStr">
        <is>
          <t>BELLTECH</t>
        </is>
      </c>
    </row>
    <row r="90">
      <c r="A90" t="n">
        <v>5153</v>
      </c>
      <c r="B90" t="n">
        <v>262</v>
      </c>
      <c r="C90" t="n">
        <v>5153</v>
      </c>
      <c r="D90" t="inlineStr">
        <is>
          <t>Multifuncional</t>
        </is>
      </c>
      <c r="E90" t="inlineStr">
        <is>
          <t>SUC</t>
        </is>
      </c>
      <c r="F90" t="inlineStr">
        <is>
          <t>BELLTECH</t>
        </is>
      </c>
    </row>
    <row r="91">
      <c r="A91" t="n">
        <v>5155</v>
      </c>
      <c r="B91" t="n">
        <v>258</v>
      </c>
      <c r="C91" t="n">
        <v>5155</v>
      </c>
      <c r="D91" t="inlineStr">
        <is>
          <t>Multifuncional</t>
        </is>
      </c>
      <c r="E91" t="inlineStr">
        <is>
          <t>SUC</t>
        </is>
      </c>
      <c r="F91" t="inlineStr">
        <is>
          <t>BELLTECH</t>
        </is>
      </c>
    </row>
    <row r="92">
      <c r="A92" t="n">
        <v>5156</v>
      </c>
      <c r="B92" t="n">
        <v>806</v>
      </c>
      <c r="C92" t="n">
        <v>5156</v>
      </c>
      <c r="D92" t="inlineStr">
        <is>
          <t>Multifuncional</t>
        </is>
      </c>
      <c r="E92" t="inlineStr">
        <is>
          <t>SUC</t>
        </is>
      </c>
      <c r="F92" t="inlineStr">
        <is>
          <t>BELLTECH</t>
        </is>
      </c>
    </row>
    <row r="93">
      <c r="A93" t="n">
        <v>5157</v>
      </c>
      <c r="B93" t="n">
        <v>750</v>
      </c>
      <c r="C93" t="n">
        <v>5157</v>
      </c>
      <c r="D93" t="inlineStr">
        <is>
          <t>Multifuncional</t>
        </is>
      </c>
      <c r="E93" t="inlineStr">
        <is>
          <t>SUC</t>
        </is>
      </c>
      <c r="F93" t="inlineStr">
        <is>
          <t>BELLTECH</t>
        </is>
      </c>
    </row>
    <row r="94">
      <c r="A94" t="n">
        <v>5164</v>
      </c>
      <c r="B94" t="n">
        <v>70</v>
      </c>
      <c r="C94" t="n">
        <v>5164</v>
      </c>
      <c r="D94" t="inlineStr">
        <is>
          <t>Multifuncional</t>
        </is>
      </c>
      <c r="E94" t="inlineStr">
        <is>
          <t>SUC</t>
        </is>
      </c>
      <c r="F94" t="inlineStr">
        <is>
          <t>BELLTECH</t>
        </is>
      </c>
    </row>
    <row r="95">
      <c r="A95" t="n">
        <v>5166</v>
      </c>
      <c r="B95" t="n">
        <v>725</v>
      </c>
      <c r="C95" t="n">
        <v>5166</v>
      </c>
      <c r="D95" t="inlineStr">
        <is>
          <t>Multifuncional</t>
        </is>
      </c>
      <c r="E95" t="inlineStr">
        <is>
          <t>SUC</t>
        </is>
      </c>
      <c r="F95" t="inlineStr">
        <is>
          <t>BELLTECH</t>
        </is>
      </c>
    </row>
    <row r="96">
      <c r="A96" t="n">
        <v>5167</v>
      </c>
      <c r="B96" t="n">
        <v>667</v>
      </c>
      <c r="C96" t="n">
        <v>5167</v>
      </c>
      <c r="D96" t="inlineStr">
        <is>
          <t>Multifuncional</t>
        </is>
      </c>
      <c r="E96" t="inlineStr">
        <is>
          <t>SUC</t>
        </is>
      </c>
      <c r="F96" t="inlineStr">
        <is>
          <t>BELLTECH</t>
        </is>
      </c>
    </row>
    <row r="97">
      <c r="A97" t="n">
        <v>5168</v>
      </c>
      <c r="B97" t="n">
        <v>363</v>
      </c>
      <c r="C97" t="n">
        <v>5168</v>
      </c>
      <c r="D97" t="inlineStr">
        <is>
          <t>Multifuncional</t>
        </is>
      </c>
      <c r="E97" t="inlineStr">
        <is>
          <t>SUC</t>
        </is>
      </c>
      <c r="F97" t="inlineStr">
        <is>
          <t>BELLTECH</t>
        </is>
      </c>
    </row>
    <row r="98">
      <c r="A98" t="n">
        <v>5169</v>
      </c>
      <c r="B98" t="n">
        <v>388</v>
      </c>
      <c r="C98" t="n">
        <v>5169</v>
      </c>
      <c r="D98" t="inlineStr">
        <is>
          <t>Multifuncional</t>
        </is>
      </c>
      <c r="E98" t="inlineStr">
        <is>
          <t>SUC</t>
        </is>
      </c>
      <c r="F98" t="inlineStr">
        <is>
          <t>BELLTECH</t>
        </is>
      </c>
    </row>
    <row r="99">
      <c r="A99" t="n">
        <v>5170</v>
      </c>
      <c r="B99" t="n">
        <v>302</v>
      </c>
      <c r="C99" t="n">
        <v>5170</v>
      </c>
      <c r="D99" t="inlineStr">
        <is>
          <t>Multifuncional</t>
        </is>
      </c>
      <c r="E99" t="inlineStr">
        <is>
          <t>SUC</t>
        </is>
      </c>
      <c r="F99" t="inlineStr">
        <is>
          <t>BELLTECH</t>
        </is>
      </c>
    </row>
    <row r="100">
      <c r="A100" t="n">
        <v>5173</v>
      </c>
      <c r="B100" t="n">
        <v>420</v>
      </c>
      <c r="C100" t="n">
        <v>5173</v>
      </c>
      <c r="D100" t="inlineStr">
        <is>
          <t>Multifuncional</t>
        </is>
      </c>
      <c r="E100" t="inlineStr">
        <is>
          <t>SUC</t>
        </is>
      </c>
      <c r="F100" t="inlineStr">
        <is>
          <t>BELLTECH</t>
        </is>
      </c>
    </row>
    <row r="101">
      <c r="A101" t="n">
        <v>5176</v>
      </c>
      <c r="B101" t="n">
        <v>253</v>
      </c>
      <c r="C101" t="n">
        <v>5176</v>
      </c>
      <c r="D101" t="inlineStr">
        <is>
          <t>Multifuncional</t>
        </is>
      </c>
      <c r="E101" t="inlineStr">
        <is>
          <t>SUC</t>
        </is>
      </c>
      <c r="F101" t="inlineStr">
        <is>
          <t>BELLTECH</t>
        </is>
      </c>
    </row>
    <row r="102">
      <c r="A102" t="n">
        <v>5179</v>
      </c>
      <c r="B102" t="n">
        <v>198</v>
      </c>
      <c r="C102" t="n">
        <v>5179</v>
      </c>
      <c r="D102" t="inlineStr">
        <is>
          <t>Multifuncional</t>
        </is>
      </c>
      <c r="E102" t="inlineStr">
        <is>
          <t>SUC</t>
        </is>
      </c>
      <c r="F102" t="inlineStr">
        <is>
          <t>BELLTECH</t>
        </is>
      </c>
    </row>
    <row r="103">
      <c r="A103" t="n">
        <v>5181</v>
      </c>
      <c r="B103" t="n">
        <v>762</v>
      </c>
      <c r="C103" t="n">
        <v>5181</v>
      </c>
      <c r="D103" t="inlineStr">
        <is>
          <t>Multifuncional</t>
        </is>
      </c>
      <c r="E103" t="inlineStr">
        <is>
          <t>SUC</t>
        </is>
      </c>
      <c r="F103" t="inlineStr">
        <is>
          <t>BELLTECH</t>
        </is>
      </c>
    </row>
    <row r="104">
      <c r="A104" t="n">
        <v>5183</v>
      </c>
      <c r="B104" t="n">
        <v>756</v>
      </c>
      <c r="C104" t="n">
        <v>5183</v>
      </c>
      <c r="D104" t="inlineStr">
        <is>
          <t>Multifuncional</t>
        </is>
      </c>
      <c r="E104" t="inlineStr">
        <is>
          <t>SUC</t>
        </is>
      </c>
      <c r="F104" t="inlineStr">
        <is>
          <t>BELLTECH</t>
        </is>
      </c>
    </row>
    <row r="105">
      <c r="A105" t="n">
        <v>5185</v>
      </c>
      <c r="B105" t="n">
        <v>541</v>
      </c>
      <c r="C105" t="n">
        <v>5185</v>
      </c>
      <c r="D105" t="inlineStr">
        <is>
          <t>Multifuncional</t>
        </is>
      </c>
      <c r="E105" t="inlineStr">
        <is>
          <t>SUC</t>
        </is>
      </c>
      <c r="F105" t="inlineStr">
        <is>
          <t>BELLTECH</t>
        </is>
      </c>
    </row>
    <row r="106">
      <c r="A106" t="n">
        <v>5187</v>
      </c>
      <c r="B106" t="n">
        <v>698</v>
      </c>
      <c r="C106" t="n">
        <v>5187</v>
      </c>
      <c r="D106" t="inlineStr">
        <is>
          <t>Multifuncional</t>
        </is>
      </c>
      <c r="E106" t="inlineStr">
        <is>
          <t>SUC</t>
        </is>
      </c>
      <c r="F106" t="inlineStr">
        <is>
          <t>BELLTECH</t>
        </is>
      </c>
    </row>
    <row r="107">
      <c r="A107" t="n">
        <v>5191</v>
      </c>
      <c r="B107" t="n">
        <v>664</v>
      </c>
      <c r="C107" t="n">
        <v>5191</v>
      </c>
      <c r="D107" t="inlineStr">
        <is>
          <t>Multifuncional</t>
        </is>
      </c>
      <c r="E107" t="inlineStr">
        <is>
          <t>SUC</t>
        </is>
      </c>
      <c r="F107" t="inlineStr">
        <is>
          <t>BELLTECH</t>
        </is>
      </c>
    </row>
    <row r="108">
      <c r="A108" t="n">
        <v>5192</v>
      </c>
      <c r="B108" t="n">
        <v>716</v>
      </c>
      <c r="C108" t="n">
        <v>5192</v>
      </c>
      <c r="D108" t="inlineStr">
        <is>
          <t>Multifuncional</t>
        </is>
      </c>
      <c r="E108" t="inlineStr">
        <is>
          <t>SUC</t>
        </is>
      </c>
      <c r="F108" t="inlineStr">
        <is>
          <t>BELLTECH</t>
        </is>
      </c>
    </row>
    <row r="109">
      <c r="A109" t="n">
        <v>5194</v>
      </c>
      <c r="B109" t="n">
        <v>383</v>
      </c>
      <c r="C109" t="n">
        <v>5194</v>
      </c>
      <c r="D109" t="inlineStr">
        <is>
          <t>Multifuncional</t>
        </is>
      </c>
      <c r="E109" t="inlineStr">
        <is>
          <t>SUC</t>
        </is>
      </c>
      <c r="F109" t="inlineStr">
        <is>
          <t>BELLTECH</t>
        </is>
      </c>
    </row>
    <row r="110">
      <c r="A110" t="n">
        <v>5195</v>
      </c>
      <c r="B110" t="n">
        <v>432</v>
      </c>
      <c r="C110" t="n">
        <v>5195</v>
      </c>
      <c r="D110" t="inlineStr">
        <is>
          <t>Multifuncional</t>
        </is>
      </c>
      <c r="E110" t="inlineStr">
        <is>
          <t>SUC</t>
        </is>
      </c>
      <c r="F110" t="inlineStr">
        <is>
          <t>BELLTECH</t>
        </is>
      </c>
    </row>
    <row r="111">
      <c r="A111" t="n">
        <v>5197</v>
      </c>
      <c r="B111" t="n">
        <v>250</v>
      </c>
      <c r="C111" t="n">
        <v>5197</v>
      </c>
      <c r="D111" t="inlineStr">
        <is>
          <t>Multifuncional</t>
        </is>
      </c>
      <c r="E111" t="inlineStr">
        <is>
          <t>SUC</t>
        </is>
      </c>
      <c r="F111" t="inlineStr">
        <is>
          <t>BELLTECH</t>
        </is>
      </c>
    </row>
    <row r="112">
      <c r="A112" t="n">
        <v>5200</v>
      </c>
      <c r="B112" t="n">
        <v>674</v>
      </c>
      <c r="C112" t="n">
        <v>5200</v>
      </c>
      <c r="D112" t="inlineStr">
        <is>
          <t>Multifuncional</t>
        </is>
      </c>
      <c r="E112" t="inlineStr">
        <is>
          <t>SUC</t>
        </is>
      </c>
      <c r="F112" t="inlineStr">
        <is>
          <t>BELLTECH</t>
        </is>
      </c>
    </row>
    <row r="113">
      <c r="A113" t="n">
        <v>5201</v>
      </c>
      <c r="B113" t="n">
        <v>606</v>
      </c>
      <c r="C113" t="n">
        <v>5201</v>
      </c>
      <c r="D113" t="inlineStr">
        <is>
          <t>Multifuncional</t>
        </is>
      </c>
      <c r="E113" t="inlineStr">
        <is>
          <t>SUC</t>
        </is>
      </c>
      <c r="F113" t="inlineStr">
        <is>
          <t>BELLTECH</t>
        </is>
      </c>
    </row>
    <row r="114">
      <c r="A114" t="n">
        <v>5204</v>
      </c>
      <c r="B114" t="n">
        <v>77</v>
      </c>
      <c r="C114" t="n">
        <v>5204</v>
      </c>
      <c r="D114" t="inlineStr">
        <is>
          <t>Multifuncional</t>
        </is>
      </c>
      <c r="E114" t="inlineStr">
        <is>
          <t>SUC</t>
        </is>
      </c>
      <c r="F114" t="inlineStr">
        <is>
          <t>BELLTECH</t>
        </is>
      </c>
    </row>
    <row r="115">
      <c r="A115" t="n">
        <v>5205</v>
      </c>
      <c r="B115" t="n">
        <v>816</v>
      </c>
      <c r="C115" t="n">
        <v>5205</v>
      </c>
      <c r="D115" t="inlineStr">
        <is>
          <t>Multifuncional</t>
        </is>
      </c>
      <c r="E115" t="inlineStr">
        <is>
          <t>SUC</t>
        </is>
      </c>
      <c r="F115" t="inlineStr">
        <is>
          <t>BELLTECH</t>
        </is>
      </c>
    </row>
    <row r="116">
      <c r="A116" t="n">
        <v>5206</v>
      </c>
      <c r="B116" t="n">
        <v>455</v>
      </c>
      <c r="C116" t="n">
        <v>5206</v>
      </c>
      <c r="D116" t="inlineStr">
        <is>
          <t>Multifuncional</t>
        </is>
      </c>
      <c r="E116" t="inlineStr">
        <is>
          <t>SUC</t>
        </is>
      </c>
      <c r="F116" t="inlineStr">
        <is>
          <t>BELLTECH</t>
        </is>
      </c>
    </row>
    <row r="117">
      <c r="A117" t="n">
        <v>5208</v>
      </c>
      <c r="B117" t="n">
        <v>217</v>
      </c>
      <c r="C117" t="n">
        <v>5208</v>
      </c>
      <c r="D117" t="inlineStr">
        <is>
          <t>Multifuncional</t>
        </is>
      </c>
      <c r="E117" t="inlineStr">
        <is>
          <t>SUC</t>
        </is>
      </c>
      <c r="F117" t="inlineStr">
        <is>
          <t>BELLTECH</t>
        </is>
      </c>
    </row>
    <row r="118">
      <c r="A118" t="n">
        <v>5216</v>
      </c>
      <c r="B118" t="n">
        <v>793</v>
      </c>
      <c r="C118" t="n">
        <v>5216</v>
      </c>
      <c r="D118" t="inlineStr">
        <is>
          <t>Multifuncional</t>
        </is>
      </c>
      <c r="E118" t="inlineStr">
        <is>
          <t>SUC</t>
        </is>
      </c>
      <c r="F118" t="inlineStr">
        <is>
          <t>BELLTECH</t>
        </is>
      </c>
    </row>
    <row r="119">
      <c r="A119" t="n">
        <v>5219</v>
      </c>
      <c r="B119" t="n">
        <v>16</v>
      </c>
      <c r="C119" t="n">
        <v>5219</v>
      </c>
      <c r="D119" t="inlineStr">
        <is>
          <t>Multifuncional</t>
        </is>
      </c>
      <c r="E119" t="inlineStr">
        <is>
          <t>SUC</t>
        </is>
      </c>
      <c r="F119" t="inlineStr">
        <is>
          <t>BELLTECH</t>
        </is>
      </c>
    </row>
    <row r="120">
      <c r="A120" t="n">
        <v>5220</v>
      </c>
      <c r="B120" t="n">
        <v>941</v>
      </c>
      <c r="C120" t="n">
        <v>5220</v>
      </c>
      <c r="D120" t="inlineStr">
        <is>
          <t>Multifuncional</t>
        </is>
      </c>
      <c r="E120" t="inlineStr">
        <is>
          <t>SUC</t>
        </is>
      </c>
      <c r="F120" t="inlineStr">
        <is>
          <t>BELLTECH</t>
        </is>
      </c>
    </row>
    <row r="121">
      <c r="A121" t="n">
        <v>5221</v>
      </c>
      <c r="B121" t="n">
        <v>221</v>
      </c>
      <c r="C121" t="n">
        <v>5221</v>
      </c>
      <c r="D121" t="inlineStr">
        <is>
          <t>Multifuncional</t>
        </is>
      </c>
      <c r="E121" t="inlineStr">
        <is>
          <t>SUC</t>
        </is>
      </c>
      <c r="F121" t="inlineStr">
        <is>
          <t>BELLTECH</t>
        </is>
      </c>
    </row>
    <row r="122">
      <c r="A122" t="n">
        <v>5224</v>
      </c>
      <c r="B122" t="n">
        <v>168</v>
      </c>
      <c r="C122" t="n">
        <v>5224</v>
      </c>
      <c r="D122" t="inlineStr">
        <is>
          <t>Multifuncional</t>
        </is>
      </c>
      <c r="E122" t="inlineStr">
        <is>
          <t>SUC</t>
        </is>
      </c>
      <c r="F122" t="inlineStr">
        <is>
          <t>BELLTECH</t>
        </is>
      </c>
    </row>
    <row r="123">
      <c r="A123" t="n">
        <v>5225</v>
      </c>
      <c r="B123" t="n">
        <v>946</v>
      </c>
      <c r="C123" t="n">
        <v>5225</v>
      </c>
      <c r="D123" t="inlineStr">
        <is>
          <t>Multifuncional</t>
        </is>
      </c>
      <c r="E123" t="inlineStr">
        <is>
          <t>SUC</t>
        </is>
      </c>
      <c r="F123" t="inlineStr">
        <is>
          <t>BELLTECH</t>
        </is>
      </c>
    </row>
    <row r="124">
      <c r="A124" t="n">
        <v>5227</v>
      </c>
      <c r="B124" t="n">
        <v>678</v>
      </c>
      <c r="C124" t="n">
        <v>5227</v>
      </c>
      <c r="D124" t="inlineStr">
        <is>
          <t>Multifuncional</t>
        </is>
      </c>
      <c r="E124" t="inlineStr">
        <is>
          <t>SUC</t>
        </is>
      </c>
      <c r="F124" t="inlineStr">
        <is>
          <t>BELLTECH</t>
        </is>
      </c>
    </row>
    <row r="125">
      <c r="A125" t="n">
        <v>5228</v>
      </c>
      <c r="B125" t="n">
        <v>285</v>
      </c>
      <c r="C125" t="n">
        <v>5228</v>
      </c>
      <c r="D125" t="inlineStr">
        <is>
          <t>Multifuncional</t>
        </is>
      </c>
      <c r="E125" t="inlineStr">
        <is>
          <t>SUC</t>
        </is>
      </c>
      <c r="F125" t="inlineStr">
        <is>
          <t>BELLTECH</t>
        </is>
      </c>
    </row>
    <row r="126">
      <c r="A126" t="n">
        <v>5231</v>
      </c>
      <c r="B126" t="n">
        <v>454</v>
      </c>
      <c r="C126" t="n">
        <v>5231</v>
      </c>
      <c r="D126" t="inlineStr">
        <is>
          <t>Multifuncional</t>
        </is>
      </c>
      <c r="E126" t="inlineStr">
        <is>
          <t>SUC</t>
        </is>
      </c>
      <c r="F126" t="inlineStr">
        <is>
          <t>BELLTECH</t>
        </is>
      </c>
    </row>
    <row r="127">
      <c r="A127" t="n">
        <v>6096</v>
      </c>
      <c r="B127" t="n">
        <v>625</v>
      </c>
      <c r="C127" t="n">
        <v>6096</v>
      </c>
      <c r="D127" t="inlineStr">
        <is>
          <t>Multifuncional</t>
        </is>
      </c>
      <c r="E127" t="inlineStr">
        <is>
          <t>SUC</t>
        </is>
      </c>
      <c r="F127" t="inlineStr">
        <is>
          <t>BELLTECH</t>
        </is>
      </c>
    </row>
    <row r="128">
      <c r="A128" t="n">
        <v>6149</v>
      </c>
      <c r="B128" t="n">
        <v>868</v>
      </c>
      <c r="C128" t="n">
        <v>6149</v>
      </c>
      <c r="D128" t="inlineStr">
        <is>
          <t>Multifuncional</t>
        </is>
      </c>
      <c r="E128" t="inlineStr">
        <is>
          <t>SUC</t>
        </is>
      </c>
      <c r="F128" t="inlineStr">
        <is>
          <t>DIEBOLD</t>
        </is>
      </c>
    </row>
    <row r="129">
      <c r="A129" t="n">
        <v>6150</v>
      </c>
      <c r="B129" t="n">
        <v>571</v>
      </c>
      <c r="C129" t="n">
        <v>6150</v>
      </c>
      <c r="D129" t="inlineStr">
        <is>
          <t>Multifuncional</t>
        </is>
      </c>
      <c r="E129" t="inlineStr">
        <is>
          <t>SUC</t>
        </is>
      </c>
      <c r="F129" t="inlineStr">
        <is>
          <t>BELLTECH</t>
        </is>
      </c>
    </row>
    <row r="130">
      <c r="A130" t="n">
        <v>6169</v>
      </c>
      <c r="B130" t="n">
        <v>844</v>
      </c>
      <c r="C130" t="n">
        <v>6169</v>
      </c>
      <c r="D130" t="inlineStr">
        <is>
          <t>Multifuncional</t>
        </is>
      </c>
      <c r="E130" t="inlineStr">
        <is>
          <t>SUC</t>
        </is>
      </c>
      <c r="F130" t="inlineStr">
        <is>
          <t>BELLTECH</t>
        </is>
      </c>
    </row>
    <row r="131">
      <c r="A131" t="n">
        <v>6172</v>
      </c>
      <c r="B131" t="n">
        <v>30</v>
      </c>
      <c r="C131" t="n">
        <v>6172</v>
      </c>
      <c r="D131" t="inlineStr">
        <is>
          <t>Multifuncional</t>
        </is>
      </c>
      <c r="E131" t="inlineStr">
        <is>
          <t>SUC</t>
        </is>
      </c>
      <c r="F131" t="inlineStr">
        <is>
          <t>BELLTECH</t>
        </is>
      </c>
    </row>
    <row r="132">
      <c r="A132" t="n">
        <v>6174</v>
      </c>
      <c r="B132" t="n">
        <v>820</v>
      </c>
      <c r="C132" t="n">
        <v>6174</v>
      </c>
      <c r="D132" t="inlineStr">
        <is>
          <t>Multifuncional</t>
        </is>
      </c>
      <c r="E132" t="inlineStr">
        <is>
          <t>SUC</t>
        </is>
      </c>
      <c r="F132" t="inlineStr">
        <is>
          <t>BELLTECH</t>
        </is>
      </c>
    </row>
    <row r="133">
      <c r="A133" t="n">
        <v>6180</v>
      </c>
      <c r="B133" t="n">
        <v>690</v>
      </c>
      <c r="C133" t="n">
        <v>6180</v>
      </c>
      <c r="D133" t="inlineStr">
        <is>
          <t>Multifuncional</t>
        </is>
      </c>
      <c r="E133" t="inlineStr">
        <is>
          <t>SUC</t>
        </is>
      </c>
      <c r="F133" t="inlineStr">
        <is>
          <t>BELLTECH</t>
        </is>
      </c>
    </row>
    <row r="134">
      <c r="A134" t="n">
        <v>6182</v>
      </c>
      <c r="B134" t="n">
        <v>351</v>
      </c>
      <c r="C134" t="n">
        <v>6182</v>
      </c>
      <c r="D134" t="inlineStr">
        <is>
          <t>Multifuncional</t>
        </is>
      </c>
      <c r="E134" t="inlineStr">
        <is>
          <t>SUC</t>
        </is>
      </c>
      <c r="F134" t="inlineStr">
        <is>
          <t>BELLTECH</t>
        </is>
      </c>
    </row>
    <row r="135">
      <c r="A135" t="n">
        <v>6186</v>
      </c>
      <c r="B135" t="n">
        <v>267</v>
      </c>
      <c r="C135" t="n">
        <v>6186</v>
      </c>
      <c r="D135" t="inlineStr">
        <is>
          <t>Multifuncional</t>
        </is>
      </c>
      <c r="E135" t="inlineStr">
        <is>
          <t>SUC</t>
        </is>
      </c>
      <c r="F135" t="inlineStr">
        <is>
          <t>BELLTECH</t>
        </is>
      </c>
    </row>
    <row r="136">
      <c r="A136" t="n">
        <v>6204</v>
      </c>
      <c r="B136" t="n">
        <v>54</v>
      </c>
      <c r="C136" t="n">
        <v>6204</v>
      </c>
      <c r="D136" t="inlineStr">
        <is>
          <t>Multifuncional</t>
        </is>
      </c>
      <c r="E136" t="inlineStr">
        <is>
          <t>SUC</t>
        </is>
      </c>
      <c r="F136" t="inlineStr">
        <is>
          <t>BELLTECH</t>
        </is>
      </c>
    </row>
    <row r="137">
      <c r="A137" t="n">
        <v>6209</v>
      </c>
      <c r="B137" t="n">
        <v>688</v>
      </c>
      <c r="C137" t="n">
        <v>6209</v>
      </c>
      <c r="D137" t="inlineStr">
        <is>
          <t>Multifuncional</t>
        </is>
      </c>
      <c r="E137" t="inlineStr">
        <is>
          <t>SUC</t>
        </is>
      </c>
      <c r="F137" t="inlineStr">
        <is>
          <t>BELLTECH</t>
        </is>
      </c>
    </row>
    <row r="138">
      <c r="A138" t="n">
        <v>6215</v>
      </c>
      <c r="B138" t="n">
        <v>74</v>
      </c>
      <c r="C138" t="n">
        <v>6215</v>
      </c>
      <c r="D138" t="inlineStr">
        <is>
          <t>Multifuncional</t>
        </is>
      </c>
      <c r="E138" t="inlineStr">
        <is>
          <t>SUC</t>
        </is>
      </c>
      <c r="F138" t="inlineStr">
        <is>
          <t>DIEBOLD</t>
        </is>
      </c>
    </row>
    <row r="139">
      <c r="A139" t="n">
        <v>6218</v>
      </c>
      <c r="B139" t="n">
        <v>178</v>
      </c>
      <c r="C139" t="n">
        <v>6218</v>
      </c>
      <c r="D139" t="inlineStr">
        <is>
          <t>Multifuncional</t>
        </is>
      </c>
      <c r="E139" t="inlineStr">
        <is>
          <t>SUC</t>
        </is>
      </c>
      <c r="F139" t="inlineStr">
        <is>
          <t>BELLTECH</t>
        </is>
      </c>
    </row>
    <row r="140">
      <c r="A140" t="n">
        <v>6242</v>
      </c>
      <c r="B140" t="n">
        <v>236</v>
      </c>
      <c r="C140" t="n">
        <v>6242</v>
      </c>
      <c r="D140" t="inlineStr">
        <is>
          <t>Multifuncional</t>
        </is>
      </c>
      <c r="E140" t="inlineStr">
        <is>
          <t>SUC</t>
        </is>
      </c>
      <c r="F140" t="inlineStr">
        <is>
          <t>BELLTECH</t>
        </is>
      </c>
    </row>
    <row r="141">
      <c r="A141" t="n">
        <v>6243</v>
      </c>
      <c r="B141" t="n">
        <v>231</v>
      </c>
      <c r="C141" t="n">
        <v>6243</v>
      </c>
      <c r="D141" t="inlineStr">
        <is>
          <t>Multifuncional</t>
        </is>
      </c>
      <c r="E141" t="inlineStr">
        <is>
          <t>SUC</t>
        </is>
      </c>
      <c r="F141" t="inlineStr">
        <is>
          <t>BELLTECH</t>
        </is>
      </c>
    </row>
    <row r="142">
      <c r="A142" t="n">
        <v>6245</v>
      </c>
      <c r="B142" t="n">
        <v>79</v>
      </c>
      <c r="C142" t="n">
        <v>6245</v>
      </c>
      <c r="D142" t="inlineStr">
        <is>
          <t>Multifuncional</t>
        </is>
      </c>
      <c r="E142" t="inlineStr">
        <is>
          <t>SUC</t>
        </is>
      </c>
      <c r="F142" t="inlineStr">
        <is>
          <t>BELLTECH</t>
        </is>
      </c>
    </row>
    <row r="143">
      <c r="A143" t="n">
        <v>6246</v>
      </c>
      <c r="B143" t="n">
        <v>78</v>
      </c>
      <c r="C143" t="n">
        <v>6246</v>
      </c>
      <c r="D143" t="inlineStr">
        <is>
          <t>Multifuncional</t>
        </is>
      </c>
      <c r="E143" t="inlineStr">
        <is>
          <t>SUC</t>
        </is>
      </c>
      <c r="F143" t="inlineStr">
        <is>
          <t>BELLTECH</t>
        </is>
      </c>
    </row>
    <row r="144">
      <c r="A144" t="n">
        <v>6248</v>
      </c>
      <c r="B144" t="n">
        <v>718</v>
      </c>
      <c r="C144" t="n">
        <v>6248</v>
      </c>
      <c r="D144" t="inlineStr">
        <is>
          <t>Multifuncional</t>
        </is>
      </c>
      <c r="E144" t="inlineStr">
        <is>
          <t>SUC</t>
        </is>
      </c>
      <c r="F144" t="inlineStr">
        <is>
          <t>BELLTECH</t>
        </is>
      </c>
    </row>
    <row r="145">
      <c r="A145" t="n">
        <v>6251</v>
      </c>
      <c r="B145" t="n">
        <v>477</v>
      </c>
      <c r="C145" t="n">
        <v>6251</v>
      </c>
      <c r="D145" t="inlineStr">
        <is>
          <t>Multifuncional</t>
        </is>
      </c>
      <c r="E145" t="inlineStr">
        <is>
          <t>SUC</t>
        </is>
      </c>
      <c r="F145" t="inlineStr">
        <is>
          <t>BELLTECH</t>
        </is>
      </c>
    </row>
    <row r="146">
      <c r="A146" t="n">
        <v>6253</v>
      </c>
      <c r="B146" t="n">
        <v>337</v>
      </c>
      <c r="C146" t="n">
        <v>6253</v>
      </c>
      <c r="D146" t="inlineStr">
        <is>
          <t>Multifuncional</t>
        </is>
      </c>
      <c r="E146" t="inlineStr">
        <is>
          <t>SUC</t>
        </is>
      </c>
      <c r="F146" t="inlineStr">
        <is>
          <t>BELLTECH</t>
        </is>
      </c>
    </row>
    <row r="147">
      <c r="A147" t="n">
        <v>6336</v>
      </c>
      <c r="B147" t="n">
        <v>524</v>
      </c>
      <c r="C147" t="n">
        <v>6336</v>
      </c>
      <c r="D147" t="inlineStr">
        <is>
          <t>Multifuncional</t>
        </is>
      </c>
      <c r="E147" t="inlineStr">
        <is>
          <t>SUC</t>
        </is>
      </c>
      <c r="F147" t="inlineStr">
        <is>
          <t>BELLTECH</t>
        </is>
      </c>
    </row>
    <row r="148">
      <c r="A148" t="n">
        <v>6406</v>
      </c>
      <c r="B148" t="n">
        <v>37</v>
      </c>
      <c r="C148" t="n">
        <v>6406</v>
      </c>
      <c r="D148" t="inlineStr">
        <is>
          <t>Multifuncional</t>
        </is>
      </c>
      <c r="E148" t="inlineStr">
        <is>
          <t>SUC</t>
        </is>
      </c>
      <c r="F148" t="inlineStr">
        <is>
          <t>BELLTECH</t>
        </is>
      </c>
    </row>
    <row r="149">
      <c r="A149" t="n">
        <v>6407</v>
      </c>
      <c r="B149" t="n">
        <v>601</v>
      </c>
      <c r="C149" t="n">
        <v>6407</v>
      </c>
      <c r="D149" t="inlineStr">
        <is>
          <t>Multifuncional</t>
        </is>
      </c>
      <c r="E149" t="inlineStr">
        <is>
          <t>SUC</t>
        </is>
      </c>
      <c r="F149" t="inlineStr">
        <is>
          <t>BELLTECH</t>
        </is>
      </c>
    </row>
    <row r="150">
      <c r="A150" t="n">
        <v>6465</v>
      </c>
      <c r="B150" t="n">
        <v>379</v>
      </c>
      <c r="C150" t="n">
        <v>6465</v>
      </c>
      <c r="D150" t="inlineStr">
        <is>
          <t>Multifuncional</t>
        </is>
      </c>
      <c r="E150" t="inlineStr">
        <is>
          <t>SUC</t>
        </is>
      </c>
      <c r="F150" t="inlineStr">
        <is>
          <t>BELLTECH</t>
        </is>
      </c>
    </row>
    <row r="151">
      <c r="A151" t="n">
        <v>6466</v>
      </c>
      <c r="B151" t="n">
        <v>894</v>
      </c>
      <c r="C151" t="n">
        <v>6466</v>
      </c>
      <c r="D151" t="inlineStr">
        <is>
          <t>Multifuncional</t>
        </is>
      </c>
      <c r="E151" t="inlineStr">
        <is>
          <t>SUC</t>
        </is>
      </c>
      <c r="F151" t="inlineStr">
        <is>
          <t>BELLTECH</t>
        </is>
      </c>
    </row>
    <row r="152">
      <c r="A152" t="n">
        <v>6467</v>
      </c>
      <c r="B152" t="n">
        <v>237</v>
      </c>
      <c r="C152" t="n">
        <v>6467</v>
      </c>
      <c r="D152" t="inlineStr">
        <is>
          <t>Multifuncional</t>
        </is>
      </c>
      <c r="E152" t="inlineStr">
        <is>
          <t>SUC</t>
        </is>
      </c>
      <c r="F152" t="inlineStr">
        <is>
          <t>BELLTECH</t>
        </is>
      </c>
    </row>
    <row r="153">
      <c r="A153" t="n">
        <v>6608</v>
      </c>
      <c r="B153" t="n">
        <v>202</v>
      </c>
      <c r="C153" t="n">
        <v>6608</v>
      </c>
      <c r="D153" t="inlineStr">
        <is>
          <t>Multifuncional</t>
        </is>
      </c>
      <c r="E153" t="inlineStr">
        <is>
          <t>SUC</t>
        </is>
      </c>
      <c r="F153" t="inlineStr">
        <is>
          <t>BELLTECH</t>
        </is>
      </c>
    </row>
    <row r="154">
      <c r="A154" t="n">
        <v>6613</v>
      </c>
      <c r="B154" t="n">
        <v>317</v>
      </c>
      <c r="C154" t="n">
        <v>6613</v>
      </c>
      <c r="D154" t="inlineStr">
        <is>
          <t>Multifuncional</t>
        </is>
      </c>
      <c r="E154" t="inlineStr">
        <is>
          <t>SUC</t>
        </is>
      </c>
      <c r="F154" t="inlineStr">
        <is>
          <t>DIEBOLD</t>
        </is>
      </c>
    </row>
    <row r="155">
      <c r="A155" t="n">
        <v>6618</v>
      </c>
      <c r="B155" t="n">
        <v>352</v>
      </c>
      <c r="C155" t="n">
        <v>6618</v>
      </c>
      <c r="D155" t="inlineStr">
        <is>
          <t>Multifuncional</t>
        </is>
      </c>
      <c r="E155" t="inlineStr">
        <is>
          <t>SUC</t>
        </is>
      </c>
      <c r="F155" t="inlineStr">
        <is>
          <t>BELLTECH</t>
        </is>
      </c>
    </row>
    <row r="156">
      <c r="A156" t="n">
        <v>6628</v>
      </c>
      <c r="B156" t="n">
        <v>138</v>
      </c>
      <c r="C156" t="n">
        <v>6628</v>
      </c>
      <c r="D156" t="inlineStr">
        <is>
          <t>Multifuncional</t>
        </is>
      </c>
      <c r="E156" t="inlineStr">
        <is>
          <t>SUC</t>
        </is>
      </c>
      <c r="F156" t="inlineStr">
        <is>
          <t>BELLTECH</t>
        </is>
      </c>
    </row>
    <row r="157">
      <c r="A157" t="n">
        <v>6713</v>
      </c>
      <c r="B157" t="n">
        <v>613</v>
      </c>
      <c r="C157" t="n">
        <v>6713</v>
      </c>
      <c r="D157" t="inlineStr">
        <is>
          <t>Multifuncional</t>
        </is>
      </c>
      <c r="E157" t="inlineStr">
        <is>
          <t>SUC</t>
        </is>
      </c>
      <c r="F157" t="inlineStr">
        <is>
          <t>DIEBOLD</t>
        </is>
      </c>
    </row>
    <row r="158">
      <c r="A158" t="n">
        <v>6715</v>
      </c>
      <c r="B158" t="n">
        <v>764</v>
      </c>
      <c r="C158" t="n">
        <v>6715</v>
      </c>
      <c r="D158" t="inlineStr">
        <is>
          <t>Multifuncional</t>
        </is>
      </c>
      <c r="E158" t="inlineStr">
        <is>
          <t>SUC</t>
        </is>
      </c>
      <c r="F158" t="inlineStr">
        <is>
          <t>BELLTECH</t>
        </is>
      </c>
    </row>
    <row r="159">
      <c r="A159" t="n">
        <v>6716</v>
      </c>
      <c r="B159" t="n">
        <v>843</v>
      </c>
      <c r="C159" t="n">
        <v>6716</v>
      </c>
      <c r="D159" t="inlineStr">
        <is>
          <t>Multifuncional</t>
        </is>
      </c>
      <c r="E159" t="inlineStr">
        <is>
          <t>SUC</t>
        </is>
      </c>
      <c r="F159" t="inlineStr">
        <is>
          <t>BELLTECH</t>
        </is>
      </c>
    </row>
    <row r="160">
      <c r="A160" t="n">
        <v>6718</v>
      </c>
      <c r="B160" t="n">
        <v>371</v>
      </c>
      <c r="C160" t="n">
        <v>6718</v>
      </c>
      <c r="D160" t="inlineStr">
        <is>
          <t>Multifuncional</t>
        </is>
      </c>
      <c r="E160" t="inlineStr">
        <is>
          <t>SUC</t>
        </is>
      </c>
      <c r="F160" t="inlineStr">
        <is>
          <t>BELLTECH</t>
        </is>
      </c>
    </row>
    <row r="161">
      <c r="A161" t="n">
        <v>6724</v>
      </c>
      <c r="B161" t="n">
        <v>348</v>
      </c>
      <c r="C161" t="n">
        <v>6724</v>
      </c>
      <c r="D161" t="inlineStr">
        <is>
          <t>Multifuncional</t>
        </is>
      </c>
      <c r="E161" t="inlineStr">
        <is>
          <t>SUC</t>
        </is>
      </c>
      <c r="F161" t="inlineStr">
        <is>
          <t>DIEBOLD</t>
        </is>
      </c>
    </row>
    <row r="162">
      <c r="A162" t="n">
        <v>6735</v>
      </c>
      <c r="B162" t="n">
        <v>96</v>
      </c>
      <c r="C162" t="n">
        <v>6735</v>
      </c>
      <c r="D162" t="inlineStr">
        <is>
          <t>Multifuncional</t>
        </is>
      </c>
      <c r="E162" t="inlineStr">
        <is>
          <t>SUC</t>
        </is>
      </c>
      <c r="F162" t="inlineStr">
        <is>
          <t>BELLTECH</t>
        </is>
      </c>
    </row>
    <row r="163">
      <c r="A163" t="n">
        <v>6818</v>
      </c>
      <c r="B163" t="n">
        <v>888</v>
      </c>
      <c r="C163" t="n">
        <v>6818</v>
      </c>
      <c r="D163" t="inlineStr">
        <is>
          <t>Multifuncional</t>
        </is>
      </c>
      <c r="E163" t="inlineStr">
        <is>
          <t>SUC</t>
        </is>
      </c>
      <c r="F163" t="inlineStr">
        <is>
          <t>BELLTECH</t>
        </is>
      </c>
    </row>
    <row r="164">
      <c r="A164" t="n">
        <v>6839</v>
      </c>
      <c r="B164" t="n">
        <v>20</v>
      </c>
      <c r="C164" t="n">
        <v>6839</v>
      </c>
      <c r="D164" t="inlineStr">
        <is>
          <t>Multifuncional</t>
        </is>
      </c>
      <c r="E164" t="inlineStr">
        <is>
          <t>SUC</t>
        </is>
      </c>
      <c r="F164" t="inlineStr">
        <is>
          <t>BELLTECH</t>
        </is>
      </c>
    </row>
    <row r="165">
      <c r="A165" t="n">
        <v>6843</v>
      </c>
      <c r="B165" t="n">
        <v>741</v>
      </c>
      <c r="C165" t="n">
        <v>6843</v>
      </c>
      <c r="D165" t="inlineStr">
        <is>
          <t>Multifuncional</t>
        </is>
      </c>
      <c r="E165" t="inlineStr">
        <is>
          <t>SUC</t>
        </is>
      </c>
      <c r="F165" t="inlineStr">
        <is>
          <t>DIEBOLD</t>
        </is>
      </c>
    </row>
    <row r="166">
      <c r="A166" t="n">
        <v>6911</v>
      </c>
      <c r="B166" t="n">
        <v>796</v>
      </c>
      <c r="C166" t="n">
        <v>6911</v>
      </c>
      <c r="D166" t="inlineStr">
        <is>
          <t>Multifuncional</t>
        </is>
      </c>
      <c r="E166" t="inlineStr">
        <is>
          <t>SUC</t>
        </is>
      </c>
      <c r="F166" t="inlineStr">
        <is>
          <t>BELLTECH</t>
        </is>
      </c>
    </row>
    <row r="167">
      <c r="A167" t="n">
        <v>6927</v>
      </c>
      <c r="B167" t="n">
        <v>536</v>
      </c>
      <c r="C167" t="n">
        <v>6927</v>
      </c>
      <c r="D167" t="inlineStr">
        <is>
          <t>Multifuncional</t>
        </is>
      </c>
      <c r="E167" t="inlineStr">
        <is>
          <t>SUC</t>
        </is>
      </c>
      <c r="F167" t="inlineStr">
        <is>
          <t>BELLTECH</t>
        </is>
      </c>
    </row>
    <row r="168">
      <c r="A168" t="n">
        <v>7074</v>
      </c>
      <c r="B168" t="n">
        <v>658</v>
      </c>
      <c r="C168" t="n">
        <v>7074</v>
      </c>
      <c r="D168" t="inlineStr">
        <is>
          <t>Multifuncional</t>
        </is>
      </c>
      <c r="E168" t="inlineStr">
        <is>
          <t>SUC</t>
        </is>
      </c>
      <c r="F168" t="inlineStr">
        <is>
          <t>BELLTECH</t>
        </is>
      </c>
    </row>
    <row r="169">
      <c r="A169" t="n">
        <v>7123</v>
      </c>
      <c r="B169" t="n">
        <v>549</v>
      </c>
      <c r="C169" t="n">
        <v>7123</v>
      </c>
      <c r="D169" t="inlineStr">
        <is>
          <t>Multifuncional</t>
        </is>
      </c>
      <c r="E169" t="inlineStr">
        <is>
          <t>SUC</t>
        </is>
      </c>
      <c r="F169" t="inlineStr">
        <is>
          <t>BELLTECH</t>
        </is>
      </c>
    </row>
    <row r="170">
      <c r="A170" t="n">
        <v>7124</v>
      </c>
      <c r="B170" t="n">
        <v>677</v>
      </c>
      <c r="C170" t="n">
        <v>7124</v>
      </c>
      <c r="D170" t="inlineStr">
        <is>
          <t>Multifuncional</t>
        </is>
      </c>
      <c r="E170" t="inlineStr">
        <is>
          <t>SUC</t>
        </is>
      </c>
      <c r="F170" t="inlineStr">
        <is>
          <t>BELLTECH</t>
        </is>
      </c>
    </row>
    <row r="171">
      <c r="A171" t="n">
        <v>7125</v>
      </c>
      <c r="B171" t="n">
        <v>484</v>
      </c>
      <c r="C171" t="n">
        <v>7125</v>
      </c>
      <c r="D171" t="inlineStr">
        <is>
          <t>Multifuncional</t>
        </is>
      </c>
      <c r="E171" t="inlineStr">
        <is>
          <t>SUC</t>
        </is>
      </c>
      <c r="F171" t="inlineStr">
        <is>
          <t>BELLTECH</t>
        </is>
      </c>
    </row>
    <row r="172">
      <c r="A172" t="n">
        <v>7126</v>
      </c>
      <c r="B172" t="n">
        <v>93</v>
      </c>
      <c r="C172" t="n">
        <v>7126</v>
      </c>
      <c r="D172" t="inlineStr">
        <is>
          <t>Multifuncional</t>
        </is>
      </c>
      <c r="E172" t="inlineStr">
        <is>
          <t>SUC</t>
        </is>
      </c>
      <c r="F172" t="inlineStr">
        <is>
          <t>BELLTECH</t>
        </is>
      </c>
    </row>
    <row r="173">
      <c r="A173" t="n">
        <v>7134</v>
      </c>
      <c r="B173" t="n">
        <v>123</v>
      </c>
      <c r="C173" t="n">
        <v>7134</v>
      </c>
      <c r="D173" t="inlineStr">
        <is>
          <t>Multifuncional</t>
        </is>
      </c>
      <c r="E173" t="inlineStr">
        <is>
          <t>SUC</t>
        </is>
      </c>
      <c r="F173" t="inlineStr">
        <is>
          <t>DIEBOLD</t>
        </is>
      </c>
    </row>
    <row r="174">
      <c r="A174" t="n">
        <v>7139</v>
      </c>
      <c r="B174" t="n">
        <v>385</v>
      </c>
      <c r="C174" t="n">
        <v>7139</v>
      </c>
      <c r="D174" t="inlineStr">
        <is>
          <t>Multifuncional</t>
        </is>
      </c>
      <c r="E174" t="inlineStr">
        <is>
          <t>SUC</t>
        </is>
      </c>
      <c r="F174" t="inlineStr">
        <is>
          <t>BELLTECH</t>
        </is>
      </c>
    </row>
    <row r="175">
      <c r="A175" t="n">
        <v>7212</v>
      </c>
      <c r="B175" t="n">
        <v>233</v>
      </c>
      <c r="C175" t="n">
        <v>7212</v>
      </c>
      <c r="D175" t="inlineStr">
        <is>
          <t>Multifuncional</t>
        </is>
      </c>
      <c r="E175" t="inlineStr">
        <is>
          <t>SUC</t>
        </is>
      </c>
      <c r="F175" t="inlineStr">
        <is>
          <t>BELLTECH</t>
        </is>
      </c>
    </row>
    <row r="176">
      <c r="A176" t="n">
        <v>7316</v>
      </c>
      <c r="B176" t="n">
        <v>506</v>
      </c>
      <c r="C176" t="n">
        <v>7316</v>
      </c>
      <c r="D176" t="inlineStr">
        <is>
          <t>Multifuncional</t>
        </is>
      </c>
      <c r="E176" t="inlineStr">
        <is>
          <t>SUC</t>
        </is>
      </c>
      <c r="F176" t="inlineStr">
        <is>
          <t>BELLTECH</t>
        </is>
      </c>
    </row>
    <row r="177">
      <c r="A177" t="n">
        <v>7318</v>
      </c>
      <c r="B177" t="n">
        <v>651</v>
      </c>
      <c r="C177" t="n">
        <v>7318</v>
      </c>
      <c r="D177" t="inlineStr">
        <is>
          <t>Multifuncional</t>
        </is>
      </c>
      <c r="E177" t="inlineStr">
        <is>
          <t>SUC</t>
        </is>
      </c>
      <c r="F177" t="inlineStr">
        <is>
          <t>BELLTECH</t>
        </is>
      </c>
    </row>
    <row r="178">
      <c r="A178" t="n">
        <v>7327</v>
      </c>
      <c r="B178" t="n">
        <v>389</v>
      </c>
      <c r="C178" t="n">
        <v>7327</v>
      </c>
      <c r="D178" t="inlineStr">
        <is>
          <t>Multifuncional</t>
        </is>
      </c>
      <c r="E178" t="inlineStr">
        <is>
          <t>SUC</t>
        </is>
      </c>
      <c r="F178" t="inlineStr">
        <is>
          <t>BELLTECH</t>
        </is>
      </c>
    </row>
    <row r="179">
      <c r="A179" t="n">
        <v>7341</v>
      </c>
      <c r="B179" t="n">
        <v>41</v>
      </c>
      <c r="C179" t="n">
        <v>7341</v>
      </c>
      <c r="D179" t="inlineStr">
        <is>
          <t>Multifuncional</t>
        </is>
      </c>
      <c r="E179" t="inlineStr">
        <is>
          <t>SUC</t>
        </is>
      </c>
      <c r="F179" t="inlineStr">
        <is>
          <t>BELLTECH</t>
        </is>
      </c>
    </row>
    <row r="180">
      <c r="A180" t="n">
        <v>7374</v>
      </c>
      <c r="B180" t="n">
        <v>848</v>
      </c>
      <c r="C180" t="n">
        <v>7374</v>
      </c>
      <c r="D180" t="inlineStr">
        <is>
          <t>Multifuncional</t>
        </is>
      </c>
      <c r="E180" t="inlineStr">
        <is>
          <t>SUC</t>
        </is>
      </c>
      <c r="F180" t="inlineStr">
        <is>
          <t>DIEBOLD</t>
        </is>
      </c>
    </row>
    <row r="181">
      <c r="A181" t="n">
        <v>7375</v>
      </c>
      <c r="B181" t="n">
        <v>623</v>
      </c>
      <c r="C181" t="n">
        <v>7375</v>
      </c>
      <c r="D181" t="inlineStr">
        <is>
          <t>Multifuncional</t>
        </is>
      </c>
      <c r="E181" t="inlineStr">
        <is>
          <t>SUC</t>
        </is>
      </c>
      <c r="F181" t="inlineStr">
        <is>
          <t>BELLTECH</t>
        </is>
      </c>
    </row>
    <row r="182">
      <c r="A182" t="n">
        <v>7429</v>
      </c>
      <c r="B182" t="n">
        <v>172</v>
      </c>
      <c r="C182" t="n">
        <v>7429</v>
      </c>
      <c r="D182" t="inlineStr">
        <is>
          <t>Multifuncional</t>
        </is>
      </c>
      <c r="E182" t="inlineStr">
        <is>
          <t>SUC</t>
        </is>
      </c>
      <c r="F182" t="inlineStr">
        <is>
          <t>BELLTECH</t>
        </is>
      </c>
    </row>
    <row r="183">
      <c r="A183" t="n">
        <v>7569</v>
      </c>
      <c r="B183" t="n">
        <v>332</v>
      </c>
      <c r="C183" t="n">
        <v>7569</v>
      </c>
      <c r="D183" t="inlineStr">
        <is>
          <t>Multifuncional</t>
        </is>
      </c>
      <c r="E183" t="inlineStr">
        <is>
          <t>SUC</t>
        </is>
      </c>
      <c r="F183" t="inlineStr">
        <is>
          <t>BELLTECH</t>
        </is>
      </c>
    </row>
    <row r="184">
      <c r="A184" t="n">
        <v>7613</v>
      </c>
      <c r="B184" t="n">
        <v>812</v>
      </c>
      <c r="C184" t="n">
        <v>7613</v>
      </c>
      <c r="D184" t="inlineStr">
        <is>
          <t>Multifuncional</t>
        </is>
      </c>
      <c r="E184" t="inlineStr">
        <is>
          <t>SUC</t>
        </is>
      </c>
      <c r="F184" t="inlineStr">
        <is>
          <t>DIEBOLD</t>
        </is>
      </c>
    </row>
    <row r="185">
      <c r="A185" t="n">
        <v>7614</v>
      </c>
      <c r="B185" t="n">
        <v>812</v>
      </c>
      <c r="C185" t="n">
        <v>7614</v>
      </c>
      <c r="D185" t="inlineStr">
        <is>
          <t>Multifuncional</t>
        </is>
      </c>
      <c r="E185" t="inlineStr">
        <is>
          <t>SUC</t>
        </is>
      </c>
      <c r="F185" t="inlineStr">
        <is>
          <t>DIEBOLD</t>
        </is>
      </c>
    </row>
    <row r="186">
      <c r="A186" t="n">
        <v>7680</v>
      </c>
      <c r="B186" t="n">
        <v>318</v>
      </c>
      <c r="C186" t="n">
        <v>7680</v>
      </c>
      <c r="D186" t="inlineStr">
        <is>
          <t>Multifuncional</t>
        </is>
      </c>
      <c r="E186" t="inlineStr">
        <is>
          <t>SUC</t>
        </is>
      </c>
      <c r="F186" t="inlineStr">
        <is>
          <t>BELLTECH</t>
        </is>
      </c>
    </row>
    <row r="187">
      <c r="A187" t="n">
        <v>7759</v>
      </c>
      <c r="B187" t="n">
        <v>476</v>
      </c>
      <c r="C187" t="n">
        <v>7759</v>
      </c>
      <c r="D187" t="inlineStr">
        <is>
          <t>Multifuncional</t>
        </is>
      </c>
      <c r="E187" t="inlineStr">
        <is>
          <t>SUC</t>
        </is>
      </c>
      <c r="F187" t="inlineStr">
        <is>
          <t>DIEBOLD</t>
        </is>
      </c>
    </row>
    <row r="188">
      <c r="A188" t="n">
        <v>7812</v>
      </c>
      <c r="B188" t="n">
        <v>7</v>
      </c>
      <c r="C188" t="n">
        <v>7812</v>
      </c>
      <c r="D188" t="inlineStr">
        <is>
          <t>Multifuncional</t>
        </is>
      </c>
      <c r="E188" t="inlineStr">
        <is>
          <t>SUC</t>
        </is>
      </c>
      <c r="F188" t="inlineStr">
        <is>
          <t>DIEBOLD</t>
        </is>
      </c>
    </row>
    <row r="189">
      <c r="A189" t="n">
        <v>7875</v>
      </c>
      <c r="B189" t="n">
        <v>609</v>
      </c>
      <c r="C189" t="n">
        <v>7875</v>
      </c>
      <c r="D189" t="inlineStr">
        <is>
          <t>Multifuncional</t>
        </is>
      </c>
      <c r="E189" t="inlineStr">
        <is>
          <t>SUC</t>
        </is>
      </c>
      <c r="F189" t="inlineStr">
        <is>
          <t>BELLTECH</t>
        </is>
      </c>
    </row>
    <row r="190">
      <c r="A190" t="n">
        <v>7888</v>
      </c>
      <c r="B190" t="n">
        <v>609</v>
      </c>
      <c r="C190" t="n">
        <v>7888</v>
      </c>
      <c r="D190" t="inlineStr">
        <is>
          <t>Multifuncional</t>
        </is>
      </c>
      <c r="E190" t="inlineStr">
        <is>
          <t>SUC</t>
        </is>
      </c>
      <c r="F190" t="inlineStr">
        <is>
          <t>BELLTECH</t>
        </is>
      </c>
    </row>
    <row r="191">
      <c r="A191" t="n">
        <v>7939</v>
      </c>
      <c r="B191" t="n">
        <v>166</v>
      </c>
      <c r="C191" t="n">
        <v>7939</v>
      </c>
      <c r="D191" t="inlineStr">
        <is>
          <t>Multifuncional</t>
        </is>
      </c>
      <c r="E191" t="inlineStr">
        <is>
          <t>SUC</t>
        </is>
      </c>
      <c r="F191" t="inlineStr">
        <is>
          <t>BELLTECH</t>
        </is>
      </c>
    </row>
    <row r="192">
      <c r="A192" t="n">
        <v>7940</v>
      </c>
      <c r="B192" t="n">
        <v>166</v>
      </c>
      <c r="C192" t="n">
        <v>7940</v>
      </c>
      <c r="D192" t="inlineStr">
        <is>
          <t>Multifuncional</t>
        </is>
      </c>
      <c r="E192" t="inlineStr">
        <is>
          <t>SUC</t>
        </is>
      </c>
      <c r="F192" t="inlineStr">
        <is>
          <t>BELLTECH</t>
        </is>
      </c>
    </row>
    <row r="193">
      <c r="A193" t="n">
        <v>7943</v>
      </c>
      <c r="B193" t="n">
        <v>91</v>
      </c>
      <c r="C193" t="n">
        <v>7943</v>
      </c>
      <c r="D193" t="inlineStr">
        <is>
          <t>Multifuncional</t>
        </is>
      </c>
      <c r="E193" t="inlineStr">
        <is>
          <t>SUC</t>
        </is>
      </c>
      <c r="F193" t="inlineStr">
        <is>
          <t>DIEBOLD</t>
        </is>
      </c>
    </row>
    <row r="194">
      <c r="A194" t="n">
        <v>7979</v>
      </c>
      <c r="B194" t="n">
        <v>693</v>
      </c>
      <c r="C194" t="n">
        <v>7979</v>
      </c>
      <c r="D194" t="inlineStr">
        <is>
          <t>Multifuncional</t>
        </is>
      </c>
      <c r="E194" t="inlineStr">
        <is>
          <t>SUC</t>
        </is>
      </c>
      <c r="F194" t="inlineStr">
        <is>
          <t>BELLTECH</t>
        </is>
      </c>
    </row>
    <row r="195">
      <c r="A195" t="n">
        <v>7980</v>
      </c>
      <c r="B195" t="n">
        <v>419</v>
      </c>
      <c r="C195" t="n">
        <v>7980</v>
      </c>
      <c r="D195" t="inlineStr">
        <is>
          <t>Multifuncional</t>
        </is>
      </c>
      <c r="E195" t="inlineStr">
        <is>
          <t>SUC</t>
        </is>
      </c>
      <c r="F195" t="inlineStr">
        <is>
          <t>BELLTECH</t>
        </is>
      </c>
    </row>
    <row r="196">
      <c r="A196" t="n">
        <v>8018</v>
      </c>
      <c r="B196" t="n">
        <v>453</v>
      </c>
      <c r="C196" t="n">
        <v>8018</v>
      </c>
      <c r="D196" t="inlineStr">
        <is>
          <t>Multifuncional</t>
        </is>
      </c>
      <c r="E196" t="inlineStr">
        <is>
          <t>SUC</t>
        </is>
      </c>
      <c r="F196" t="inlineStr">
        <is>
          <t>BELLTECH</t>
        </is>
      </c>
    </row>
    <row r="197">
      <c r="A197" t="n">
        <v>8019</v>
      </c>
      <c r="B197" t="n">
        <v>453</v>
      </c>
      <c r="C197" t="n">
        <v>8019</v>
      </c>
      <c r="D197" t="inlineStr">
        <is>
          <t>Multifuncional</t>
        </is>
      </c>
      <c r="E197" t="inlineStr">
        <is>
          <t>SUC</t>
        </is>
      </c>
      <c r="F197" t="inlineStr">
        <is>
          <t>BELLTECH</t>
        </is>
      </c>
    </row>
    <row r="198">
      <c r="A198" t="n">
        <v>8090</v>
      </c>
      <c r="B198" t="n">
        <v>725</v>
      </c>
      <c r="C198" t="n">
        <v>8090</v>
      </c>
      <c r="D198" t="inlineStr">
        <is>
          <t>Multifuncional</t>
        </is>
      </c>
      <c r="E198" t="inlineStr">
        <is>
          <t>SUC</t>
        </is>
      </c>
      <c r="F198" t="inlineStr">
        <is>
          <t>BELLTECH</t>
        </is>
      </c>
    </row>
    <row r="199">
      <c r="A199" t="n">
        <v>8129</v>
      </c>
      <c r="B199" t="n">
        <v>569</v>
      </c>
      <c r="C199" t="n">
        <v>8129</v>
      </c>
      <c r="D199" t="inlineStr">
        <is>
          <t>Multifuncional</t>
        </is>
      </c>
      <c r="E199" t="inlineStr">
        <is>
          <t>SUC</t>
        </is>
      </c>
      <c r="F199" t="inlineStr">
        <is>
          <t>DIEBOLD</t>
        </is>
      </c>
    </row>
    <row r="200">
      <c r="A200" t="n">
        <v>8139</v>
      </c>
      <c r="B200" t="n">
        <v>291</v>
      </c>
      <c r="C200" t="n">
        <v>8139</v>
      </c>
      <c r="D200" t="inlineStr">
        <is>
          <t>Multifuncional</t>
        </is>
      </c>
      <c r="E200" t="inlineStr">
        <is>
          <t>SUC</t>
        </is>
      </c>
      <c r="F200" t="inlineStr">
        <is>
          <t>DIEBOLD</t>
        </is>
      </c>
    </row>
    <row r="201">
      <c r="A201" t="n">
        <v>8204</v>
      </c>
      <c r="B201" t="n">
        <v>810</v>
      </c>
      <c r="C201" t="n">
        <v>8204</v>
      </c>
      <c r="D201" t="inlineStr">
        <is>
          <t>Multifuncional</t>
        </is>
      </c>
      <c r="E201" t="inlineStr">
        <is>
          <t>SUC</t>
        </is>
      </c>
      <c r="F201" t="inlineStr">
        <is>
          <t>BELLTECH</t>
        </is>
      </c>
    </row>
    <row r="202">
      <c r="A202" t="n">
        <v>8294</v>
      </c>
      <c r="B202" t="n">
        <v>554</v>
      </c>
      <c r="C202" t="n">
        <v>8294</v>
      </c>
      <c r="D202" t="inlineStr">
        <is>
          <t>Multifuncional</t>
        </is>
      </c>
      <c r="E202" t="inlineStr">
        <is>
          <t>SUC</t>
        </is>
      </c>
      <c r="F202" t="inlineStr">
        <is>
          <t>BELLTECH</t>
        </is>
      </c>
    </row>
    <row r="203">
      <c r="A203" t="n">
        <v>8295</v>
      </c>
      <c r="B203" t="n">
        <v>554</v>
      </c>
      <c r="C203" t="n">
        <v>8295</v>
      </c>
      <c r="D203" t="inlineStr">
        <is>
          <t>Multifuncional</t>
        </is>
      </c>
      <c r="E203" t="inlineStr">
        <is>
          <t>SUC</t>
        </is>
      </c>
      <c r="F203" t="inlineStr">
        <is>
          <t>BELLTECH</t>
        </is>
      </c>
    </row>
    <row r="204">
      <c r="A204" t="n">
        <v>8313</v>
      </c>
      <c r="B204" t="n">
        <v>915</v>
      </c>
      <c r="C204" t="n">
        <v>8313</v>
      </c>
      <c r="D204" t="inlineStr">
        <is>
          <t>Multifuncional</t>
        </is>
      </c>
      <c r="E204" t="inlineStr">
        <is>
          <t>SUC</t>
        </is>
      </c>
      <c r="F204" t="inlineStr">
        <is>
          <t>BELLTECH</t>
        </is>
      </c>
    </row>
    <row r="205">
      <c r="A205" t="n">
        <v>8314</v>
      </c>
      <c r="B205" t="n">
        <v>915</v>
      </c>
      <c r="C205" t="n">
        <v>8314</v>
      </c>
      <c r="D205" t="inlineStr">
        <is>
          <t>Multifuncional</t>
        </is>
      </c>
      <c r="E205" t="inlineStr">
        <is>
          <t>SUC</t>
        </is>
      </c>
      <c r="F205" t="inlineStr">
        <is>
          <t>BELLTECH</t>
        </is>
      </c>
    </row>
    <row r="206">
      <c r="A206" t="n">
        <v>8333</v>
      </c>
      <c r="B206" t="n">
        <v>556</v>
      </c>
      <c r="C206" t="n">
        <v>8333</v>
      </c>
      <c r="D206" t="inlineStr">
        <is>
          <t>Multifuncional</t>
        </is>
      </c>
      <c r="E206" t="inlineStr">
        <is>
          <t>SUC</t>
        </is>
      </c>
      <c r="F206" t="inlineStr">
        <is>
          <t>BELLTECH</t>
        </is>
      </c>
    </row>
    <row r="207">
      <c r="A207" t="n">
        <v>8353</v>
      </c>
      <c r="B207" t="n">
        <v>944</v>
      </c>
      <c r="C207" t="n">
        <v>8353</v>
      </c>
      <c r="D207" t="inlineStr">
        <is>
          <t>Multifuncional</t>
        </is>
      </c>
      <c r="E207" t="inlineStr">
        <is>
          <t>SUC</t>
        </is>
      </c>
      <c r="F207" t="inlineStr">
        <is>
          <t>BELLTECH</t>
        </is>
      </c>
    </row>
    <row r="208">
      <c r="A208" t="n">
        <v>8354</v>
      </c>
      <c r="B208" t="n">
        <v>944</v>
      </c>
      <c r="C208" t="n">
        <v>8354</v>
      </c>
      <c r="D208" t="inlineStr">
        <is>
          <t>Multifuncional</t>
        </is>
      </c>
      <c r="E208" t="inlineStr">
        <is>
          <t>SUC</t>
        </is>
      </c>
      <c r="F208" t="inlineStr">
        <is>
          <t>BELLTECH</t>
        </is>
      </c>
    </row>
    <row r="209">
      <c r="A209" t="n">
        <v>8482</v>
      </c>
      <c r="B209" t="n">
        <v>495</v>
      </c>
      <c r="C209" t="n">
        <v>8482</v>
      </c>
      <c r="D209" t="inlineStr">
        <is>
          <t>Multifuncional</t>
        </is>
      </c>
      <c r="E209" t="inlineStr">
        <is>
          <t>SUC</t>
        </is>
      </c>
      <c r="F209" t="inlineStr">
        <is>
          <t>BELLTECH</t>
        </is>
      </c>
    </row>
    <row r="210">
      <c r="A210" t="n">
        <v>8497</v>
      </c>
      <c r="B210" t="n">
        <v>236</v>
      </c>
      <c r="C210" t="n">
        <v>8497</v>
      </c>
      <c r="D210" t="inlineStr">
        <is>
          <t>Multifuncional</t>
        </is>
      </c>
      <c r="E210" t="inlineStr">
        <is>
          <t>SUC</t>
        </is>
      </c>
      <c r="F210" t="inlineStr">
        <is>
          <t>BELLTECH</t>
        </is>
      </c>
    </row>
    <row r="211">
      <c r="A211" t="n">
        <v>8537</v>
      </c>
      <c r="B211" t="n">
        <v>193</v>
      </c>
      <c r="C211" t="n">
        <v>8537</v>
      </c>
      <c r="D211" t="inlineStr">
        <is>
          <t>Multifuncional</t>
        </is>
      </c>
      <c r="E211" t="inlineStr">
        <is>
          <t>SUC</t>
        </is>
      </c>
      <c r="F211" t="inlineStr">
        <is>
          <t>BELLTECH</t>
        </is>
      </c>
    </row>
    <row r="212">
      <c r="A212" t="n">
        <v>8576</v>
      </c>
      <c r="B212" t="n">
        <v>15</v>
      </c>
      <c r="C212" t="n">
        <v>8576</v>
      </c>
      <c r="D212" t="inlineStr">
        <is>
          <t>Multifuncional</t>
        </is>
      </c>
      <c r="E212" t="inlineStr">
        <is>
          <t>SUC</t>
        </is>
      </c>
      <c r="F212" t="inlineStr">
        <is>
          <t>BELLTECH</t>
        </is>
      </c>
    </row>
    <row r="213">
      <c r="A213" t="n">
        <v>8577</v>
      </c>
      <c r="B213" t="n">
        <v>15</v>
      </c>
      <c r="C213" t="n">
        <v>8577</v>
      </c>
      <c r="D213" t="inlineStr">
        <is>
          <t>Multifuncional</t>
        </is>
      </c>
      <c r="E213" t="inlineStr">
        <is>
          <t>SUC</t>
        </is>
      </c>
      <c r="F213" t="inlineStr">
        <is>
          <t>BELLTECH</t>
        </is>
      </c>
    </row>
    <row r="214">
      <c r="A214" t="n">
        <v>8578</v>
      </c>
      <c r="B214" t="n">
        <v>15</v>
      </c>
      <c r="C214" t="n">
        <v>8578</v>
      </c>
      <c r="D214" t="inlineStr">
        <is>
          <t>Multifuncional</t>
        </is>
      </c>
      <c r="E214" t="inlineStr">
        <is>
          <t>SUC</t>
        </is>
      </c>
      <c r="F214" t="inlineStr">
        <is>
          <t>BELLTECH</t>
        </is>
      </c>
    </row>
    <row r="215">
      <c r="A215" t="n">
        <v>8586</v>
      </c>
      <c r="B215" t="n">
        <v>728</v>
      </c>
      <c r="C215" t="n">
        <v>8586</v>
      </c>
      <c r="D215" t="inlineStr">
        <is>
          <t>Multifuncional</t>
        </is>
      </c>
      <c r="E215" t="inlineStr">
        <is>
          <t>SUC</t>
        </is>
      </c>
      <c r="F215" t="inlineStr">
        <is>
          <t>BELLTECH</t>
        </is>
      </c>
    </row>
    <row r="216">
      <c r="A216" t="n">
        <v>8587</v>
      </c>
      <c r="B216" t="n">
        <v>728</v>
      </c>
      <c r="C216" t="n">
        <v>8587</v>
      </c>
      <c r="D216" t="inlineStr">
        <is>
          <t>Multifuncional</t>
        </is>
      </c>
      <c r="E216" t="inlineStr">
        <is>
          <t>SUC</t>
        </is>
      </c>
      <c r="F216" t="inlineStr">
        <is>
          <t>BELLTECH</t>
        </is>
      </c>
    </row>
    <row r="217">
      <c r="A217" t="n">
        <v>8594</v>
      </c>
      <c r="B217" t="n">
        <v>78</v>
      </c>
      <c r="C217" t="n">
        <v>8594</v>
      </c>
      <c r="D217" t="inlineStr">
        <is>
          <t>Multifuncional</t>
        </is>
      </c>
      <c r="E217" t="inlineStr">
        <is>
          <t>SUC</t>
        </is>
      </c>
      <c r="F217" t="inlineStr">
        <is>
          <t>BELLTECH</t>
        </is>
      </c>
    </row>
    <row r="218">
      <c r="A218" t="n">
        <v>8630</v>
      </c>
      <c r="B218" t="n">
        <v>4</v>
      </c>
      <c r="C218" t="n">
        <v>8630</v>
      </c>
      <c r="D218" t="inlineStr">
        <is>
          <t>Multifuncional</t>
        </is>
      </c>
      <c r="E218" t="inlineStr">
        <is>
          <t>SUC</t>
        </is>
      </c>
      <c r="F218" t="inlineStr">
        <is>
          <t>BELLTECH</t>
        </is>
      </c>
    </row>
    <row r="219">
      <c r="A219" t="n">
        <v>8631</v>
      </c>
      <c r="B219" t="n">
        <v>4</v>
      </c>
      <c r="C219" t="n">
        <v>8631</v>
      </c>
      <c r="D219" t="inlineStr">
        <is>
          <t>Multifuncional</t>
        </is>
      </c>
      <c r="E219" t="inlineStr">
        <is>
          <t>SUC</t>
        </is>
      </c>
      <c r="F219" t="inlineStr">
        <is>
          <t>BELLTECH</t>
        </is>
      </c>
    </row>
    <row r="220">
      <c r="A220" t="n">
        <v>8660</v>
      </c>
      <c r="B220" t="n">
        <v>541</v>
      </c>
      <c r="C220" t="n">
        <v>8660</v>
      </c>
      <c r="D220" t="inlineStr">
        <is>
          <t>Multifuncional</t>
        </is>
      </c>
      <c r="E220" t="inlineStr">
        <is>
          <t>SUC</t>
        </is>
      </c>
      <c r="F220" t="inlineStr">
        <is>
          <t>BELLTECH</t>
        </is>
      </c>
    </row>
    <row r="221">
      <c r="A221" t="n">
        <v>8662</v>
      </c>
      <c r="B221" t="n">
        <v>866</v>
      </c>
      <c r="C221" t="n">
        <v>8662</v>
      </c>
      <c r="D221" t="inlineStr">
        <is>
          <t>Multifuncional</t>
        </is>
      </c>
      <c r="E221" t="inlineStr">
        <is>
          <t>SUC</t>
        </is>
      </c>
      <c r="F221" t="inlineStr">
        <is>
          <t>BELLTECH</t>
        </is>
      </c>
    </row>
    <row r="222">
      <c r="A222" t="n">
        <v>8679</v>
      </c>
      <c r="B222" t="n">
        <v>769</v>
      </c>
      <c r="C222" t="n">
        <v>8679</v>
      </c>
      <c r="D222" t="inlineStr">
        <is>
          <t>Multifuncional</t>
        </is>
      </c>
      <c r="E222" t="inlineStr">
        <is>
          <t>SUC</t>
        </is>
      </c>
      <c r="F222" t="inlineStr">
        <is>
          <t>BELLTECH</t>
        </is>
      </c>
    </row>
    <row r="223">
      <c r="A223" t="n">
        <v>8684</v>
      </c>
      <c r="B223" t="n">
        <v>779</v>
      </c>
      <c r="C223" t="n">
        <v>8684</v>
      </c>
      <c r="D223" t="inlineStr">
        <is>
          <t>Multifuncional</t>
        </is>
      </c>
      <c r="E223" t="inlineStr">
        <is>
          <t>SUC</t>
        </is>
      </c>
      <c r="F223" t="inlineStr">
        <is>
          <t>DIEBOLD</t>
        </is>
      </c>
    </row>
    <row r="224">
      <c r="A224" t="n">
        <v>8685</v>
      </c>
      <c r="B224" t="n">
        <v>779</v>
      </c>
      <c r="C224" t="n">
        <v>8685</v>
      </c>
      <c r="D224" t="inlineStr">
        <is>
          <t>Multifuncional</t>
        </is>
      </c>
      <c r="E224" t="inlineStr">
        <is>
          <t>SUC</t>
        </is>
      </c>
      <c r="F224" t="inlineStr">
        <is>
          <t>BELLTECH</t>
        </is>
      </c>
    </row>
    <row r="225">
      <c r="A225" t="n">
        <v>8727</v>
      </c>
      <c r="B225" t="n">
        <v>60</v>
      </c>
      <c r="C225" t="n">
        <v>8727</v>
      </c>
      <c r="D225" t="inlineStr">
        <is>
          <t>Multifuncional</t>
        </is>
      </c>
      <c r="E225" t="inlineStr">
        <is>
          <t>SUC</t>
        </is>
      </c>
      <c r="F225" t="inlineStr">
        <is>
          <t>BELLTECH</t>
        </is>
      </c>
    </row>
    <row r="226">
      <c r="A226" t="n">
        <v>8728</v>
      </c>
      <c r="B226" t="n">
        <v>60</v>
      </c>
      <c r="C226" t="n">
        <v>8728</v>
      </c>
      <c r="D226" t="inlineStr">
        <is>
          <t>Multifuncional</t>
        </is>
      </c>
      <c r="E226" t="inlineStr">
        <is>
          <t>SUC</t>
        </is>
      </c>
      <c r="F226" t="inlineStr">
        <is>
          <t>DIEBOLD</t>
        </is>
      </c>
    </row>
    <row r="227">
      <c r="A227" t="n">
        <v>8729</v>
      </c>
      <c r="B227" t="n">
        <v>60</v>
      </c>
      <c r="C227" t="n">
        <v>8729</v>
      </c>
      <c r="D227" t="inlineStr">
        <is>
          <t>Multifuncional</t>
        </is>
      </c>
      <c r="E227" t="inlineStr">
        <is>
          <t>SUC</t>
        </is>
      </c>
      <c r="F227" t="inlineStr">
        <is>
          <t>BELLTECH</t>
        </is>
      </c>
    </row>
    <row r="228">
      <c r="A228" t="n">
        <v>8737</v>
      </c>
      <c r="B228" t="n">
        <v>31</v>
      </c>
      <c r="C228" t="n">
        <v>8737</v>
      </c>
      <c r="D228" t="inlineStr">
        <is>
          <t>Multifuncional</t>
        </is>
      </c>
      <c r="E228" t="inlineStr">
        <is>
          <t>SUC</t>
        </is>
      </c>
      <c r="F228" t="inlineStr">
        <is>
          <t>BELLTECH</t>
        </is>
      </c>
    </row>
    <row r="229">
      <c r="A229" t="n">
        <v>8835</v>
      </c>
      <c r="B229" t="n">
        <v>509</v>
      </c>
      <c r="C229" t="n">
        <v>8835</v>
      </c>
      <c r="D229" t="inlineStr">
        <is>
          <t>Multifuncional</t>
        </is>
      </c>
      <c r="E229" t="inlineStr">
        <is>
          <t>SUC</t>
        </is>
      </c>
      <c r="F229" t="inlineStr">
        <is>
          <t>BELLTECH</t>
        </is>
      </c>
    </row>
    <row r="230">
      <c r="A230" t="n">
        <v>8861</v>
      </c>
      <c r="B230" t="n">
        <v>33</v>
      </c>
      <c r="C230" t="n">
        <v>8861</v>
      </c>
      <c r="D230" t="inlineStr">
        <is>
          <t>Multifuncional</t>
        </is>
      </c>
      <c r="E230" t="inlineStr">
        <is>
          <t>SUC</t>
        </is>
      </c>
      <c r="F230" t="inlineStr">
        <is>
          <t>BELLTECH</t>
        </is>
      </c>
    </row>
    <row r="231">
      <c r="A231" t="n">
        <v>8868</v>
      </c>
      <c r="B231" t="n">
        <v>225</v>
      </c>
      <c r="C231" t="n">
        <v>8868</v>
      </c>
      <c r="D231" t="inlineStr">
        <is>
          <t>Multifuncional</t>
        </is>
      </c>
      <c r="E231" t="inlineStr">
        <is>
          <t>SUC</t>
        </is>
      </c>
      <c r="F231" t="inlineStr">
        <is>
          <t>BELLTECH</t>
        </is>
      </c>
    </row>
    <row r="232">
      <c r="A232" t="n">
        <v>8869</v>
      </c>
      <c r="B232" t="n">
        <v>225</v>
      </c>
      <c r="C232" t="n">
        <v>8869</v>
      </c>
      <c r="D232" t="inlineStr">
        <is>
          <t>Multifuncional</t>
        </is>
      </c>
      <c r="E232" t="inlineStr">
        <is>
          <t>SUC</t>
        </is>
      </c>
      <c r="F232" t="inlineStr">
        <is>
          <t>BELLTECH</t>
        </is>
      </c>
    </row>
    <row r="233">
      <c r="A233" t="n">
        <v>8887</v>
      </c>
      <c r="B233" t="n">
        <v>442</v>
      </c>
      <c r="C233" t="n">
        <v>8887</v>
      </c>
      <c r="D233" t="inlineStr">
        <is>
          <t>Multifuncional</t>
        </is>
      </c>
      <c r="E233" t="inlineStr">
        <is>
          <t>SUC</t>
        </is>
      </c>
      <c r="F233" t="inlineStr">
        <is>
          <t>BELLTECH</t>
        </is>
      </c>
    </row>
    <row r="234">
      <c r="A234" t="n">
        <v>8888</v>
      </c>
      <c r="B234" t="n">
        <v>442</v>
      </c>
      <c r="C234" t="n">
        <v>8888</v>
      </c>
      <c r="D234" t="inlineStr">
        <is>
          <t>Multifuncional</t>
        </is>
      </c>
      <c r="E234" t="inlineStr">
        <is>
          <t>SUC</t>
        </is>
      </c>
      <c r="F234" t="inlineStr">
        <is>
          <t>BELLTECH</t>
        </is>
      </c>
    </row>
    <row r="235">
      <c r="A235" t="n">
        <v>8896</v>
      </c>
      <c r="B235" t="n">
        <v>721</v>
      </c>
      <c r="C235" t="n">
        <v>8896</v>
      </c>
      <c r="D235" t="inlineStr">
        <is>
          <t>Multifuncional</t>
        </is>
      </c>
      <c r="E235" t="inlineStr">
        <is>
          <t>SUC</t>
        </is>
      </c>
      <c r="F235" t="inlineStr">
        <is>
          <t>BELLTECH</t>
        </is>
      </c>
    </row>
    <row r="236">
      <c r="A236" t="n">
        <v>8897</v>
      </c>
      <c r="B236" t="n">
        <v>721</v>
      </c>
      <c r="C236" t="n">
        <v>8897</v>
      </c>
      <c r="D236" t="inlineStr">
        <is>
          <t>Multifuncional</t>
        </is>
      </c>
      <c r="E236" t="inlineStr">
        <is>
          <t>SUC</t>
        </is>
      </c>
      <c r="F236" t="inlineStr">
        <is>
          <t>DIEBOLD</t>
        </is>
      </c>
    </row>
    <row r="237">
      <c r="A237" t="n">
        <v>8927</v>
      </c>
      <c r="B237" t="n">
        <v>20</v>
      </c>
      <c r="C237" t="n">
        <v>8927</v>
      </c>
      <c r="D237" t="inlineStr">
        <is>
          <t>Multifuncional</t>
        </is>
      </c>
      <c r="E237" t="inlineStr">
        <is>
          <t>SUC</t>
        </is>
      </c>
      <c r="F237" t="inlineStr">
        <is>
          <t>BELLTECH</t>
        </is>
      </c>
    </row>
    <row r="238">
      <c r="A238" t="n">
        <v>8974</v>
      </c>
      <c r="B238" t="n">
        <v>85</v>
      </c>
      <c r="C238" t="n">
        <v>8974</v>
      </c>
      <c r="D238" t="inlineStr">
        <is>
          <t>Multifuncional</t>
        </is>
      </c>
      <c r="E238" t="inlineStr">
        <is>
          <t>SUC</t>
        </is>
      </c>
      <c r="F238" t="inlineStr">
        <is>
          <t>BELLTECH</t>
        </is>
      </c>
    </row>
    <row r="239">
      <c r="A239" t="n">
        <v>8988</v>
      </c>
      <c r="B239" t="n">
        <v>536</v>
      </c>
      <c r="C239" t="n">
        <v>8988</v>
      </c>
      <c r="D239" t="inlineStr">
        <is>
          <t>Multifuncional</t>
        </is>
      </c>
      <c r="E239" t="inlineStr">
        <is>
          <t>SUC</t>
        </is>
      </c>
      <c r="F239" t="inlineStr">
        <is>
          <t>DIEBOLD</t>
        </is>
      </c>
    </row>
    <row r="240">
      <c r="A240" t="n">
        <v>9004</v>
      </c>
      <c r="B240" t="n">
        <v>457</v>
      </c>
      <c r="C240" t="n">
        <v>9004</v>
      </c>
      <c r="D240" t="inlineStr">
        <is>
          <t>Multifuncional</t>
        </is>
      </c>
      <c r="E240" t="inlineStr">
        <is>
          <t>SUC</t>
        </is>
      </c>
      <c r="F240" t="inlineStr">
        <is>
          <t>BELLTECH</t>
        </is>
      </c>
    </row>
    <row r="241">
      <c r="A241" t="n">
        <v>9009</v>
      </c>
      <c r="B241" t="n">
        <v>348</v>
      </c>
      <c r="C241" t="n">
        <v>9009</v>
      </c>
      <c r="D241" t="inlineStr">
        <is>
          <t>Multifuncional</t>
        </is>
      </c>
      <c r="E241" t="inlineStr">
        <is>
          <t>SUC</t>
        </is>
      </c>
      <c r="F241" t="inlineStr">
        <is>
          <t>BELLTECH</t>
        </is>
      </c>
    </row>
    <row r="242">
      <c r="A242" t="n">
        <v>9051</v>
      </c>
      <c r="B242" t="n">
        <v>467</v>
      </c>
      <c r="C242" t="n">
        <v>9051</v>
      </c>
      <c r="D242" t="inlineStr">
        <is>
          <t>Multifuncional</t>
        </is>
      </c>
      <c r="E242" t="inlineStr">
        <is>
          <t>SUC</t>
        </is>
      </c>
      <c r="F242" t="inlineStr">
        <is>
          <t>BELLTECH</t>
        </is>
      </c>
    </row>
    <row r="243">
      <c r="A243" t="n">
        <v>9052</v>
      </c>
      <c r="B243" t="n">
        <v>467</v>
      </c>
      <c r="C243" t="n">
        <v>9052</v>
      </c>
      <c r="D243" t="inlineStr">
        <is>
          <t>Multifuncional</t>
        </is>
      </c>
      <c r="E243" t="inlineStr">
        <is>
          <t>SUC</t>
        </is>
      </c>
      <c r="F243" t="inlineStr">
        <is>
          <t>BELLTECH</t>
        </is>
      </c>
    </row>
    <row r="244">
      <c r="A244" t="n">
        <v>9204</v>
      </c>
      <c r="B244" t="n">
        <v>20</v>
      </c>
      <c r="C244" t="n">
        <v>9204</v>
      </c>
      <c r="D244" t="inlineStr">
        <is>
          <t>Multifuncional</t>
        </is>
      </c>
      <c r="E244" t="inlineStr">
        <is>
          <t>SUC</t>
        </is>
      </c>
      <c r="F244" t="inlineStr">
        <is>
          <t>BELLTECH</t>
        </is>
      </c>
    </row>
    <row r="245">
      <c r="A245" t="n">
        <v>9232</v>
      </c>
      <c r="B245" t="n">
        <v>845</v>
      </c>
      <c r="C245" t="n">
        <v>9232</v>
      </c>
      <c r="D245" t="inlineStr">
        <is>
          <t>Multifuncional</t>
        </is>
      </c>
      <c r="E245" t="inlineStr">
        <is>
          <t>SUC</t>
        </is>
      </c>
      <c r="F245" t="inlineStr">
        <is>
          <t>BELLTECH</t>
        </is>
      </c>
    </row>
    <row r="246">
      <c r="A246" t="n">
        <v>9306</v>
      </c>
      <c r="B246" t="n">
        <v>64</v>
      </c>
      <c r="C246" t="n">
        <v>9306</v>
      </c>
      <c r="D246" t="inlineStr">
        <is>
          <t>Multifuncional</t>
        </is>
      </c>
      <c r="E246" t="inlineStr">
        <is>
          <t>SUC</t>
        </is>
      </c>
      <c r="F246" t="inlineStr">
        <is>
          <t>BELLTECH</t>
        </is>
      </c>
    </row>
    <row r="247">
      <c r="A247" t="n">
        <v>9434</v>
      </c>
      <c r="B247" t="n">
        <v>451</v>
      </c>
      <c r="C247" t="n">
        <v>9434</v>
      </c>
      <c r="D247" t="inlineStr">
        <is>
          <t>Multifuncional</t>
        </is>
      </c>
      <c r="E247" t="inlineStr">
        <is>
          <t>SUC</t>
        </is>
      </c>
      <c r="F247" t="inlineStr">
        <is>
          <t>BELLTECH</t>
        </is>
      </c>
    </row>
    <row r="248">
      <c r="A248" t="n">
        <v>9512</v>
      </c>
      <c r="B248" t="n">
        <v>957</v>
      </c>
      <c r="C248" t="n">
        <v>9512</v>
      </c>
      <c r="D248" t="inlineStr">
        <is>
          <t>Multifuncional</t>
        </is>
      </c>
      <c r="E248" t="inlineStr">
        <is>
          <t>SUC</t>
        </is>
      </c>
      <c r="F248" t="inlineStr">
        <is>
          <t>BELLTECH</t>
        </is>
      </c>
    </row>
    <row r="249">
      <c r="A249" t="n">
        <v>9513</v>
      </c>
      <c r="B249" t="n">
        <v>957</v>
      </c>
      <c r="C249" t="n">
        <v>9513</v>
      </c>
      <c r="D249" t="inlineStr">
        <is>
          <t>Multifuncional</t>
        </is>
      </c>
      <c r="E249" t="inlineStr">
        <is>
          <t>SUC</t>
        </is>
      </c>
      <c r="F249" t="inlineStr">
        <is>
          <t>BELLTECH</t>
        </is>
      </c>
    </row>
    <row r="250">
      <c r="A250" t="n">
        <v>9580</v>
      </c>
      <c r="B250" t="n">
        <v>367</v>
      </c>
      <c r="C250" t="n">
        <v>9580</v>
      </c>
      <c r="D250" t="inlineStr">
        <is>
          <t>Multifuncional</t>
        </is>
      </c>
      <c r="E250" t="inlineStr">
        <is>
          <t>SUC</t>
        </is>
      </c>
      <c r="F250" t="inlineStr">
        <is>
          <t>BELLTECH</t>
        </is>
      </c>
    </row>
    <row r="251">
      <c r="A251" t="n">
        <v>9584</v>
      </c>
      <c r="B251" t="n">
        <v>890</v>
      </c>
      <c r="C251" t="n">
        <v>9584</v>
      </c>
      <c r="D251" t="inlineStr">
        <is>
          <t>Multifuncional</t>
        </is>
      </c>
      <c r="E251" t="inlineStr">
        <is>
          <t>SUC</t>
        </is>
      </c>
      <c r="F251" t="inlineStr">
        <is>
          <t>BELLTECH</t>
        </is>
      </c>
    </row>
    <row r="252">
      <c r="A252" t="n">
        <v>9604</v>
      </c>
      <c r="B252" t="n">
        <v>229</v>
      </c>
      <c r="C252" t="n">
        <v>9604</v>
      </c>
      <c r="D252" t="inlineStr">
        <is>
          <t>Multifuncional</t>
        </is>
      </c>
      <c r="E252" t="inlineStr">
        <is>
          <t>SUC</t>
        </is>
      </c>
      <c r="F252" t="inlineStr">
        <is>
          <t>BELLTECH</t>
        </is>
      </c>
    </row>
    <row r="253">
      <c r="A253" t="n">
        <v>9605</v>
      </c>
      <c r="B253" t="n">
        <v>229</v>
      </c>
      <c r="C253" t="n">
        <v>9605</v>
      </c>
      <c r="D253" t="inlineStr">
        <is>
          <t>Multifuncional</t>
        </is>
      </c>
      <c r="E253" t="inlineStr">
        <is>
          <t>SUC</t>
        </is>
      </c>
      <c r="F253" t="inlineStr">
        <is>
          <t>BELLTECH</t>
        </is>
      </c>
    </row>
    <row r="254">
      <c r="A254" t="n">
        <v>9643</v>
      </c>
      <c r="B254" t="n">
        <v>551</v>
      </c>
      <c r="C254" t="n">
        <v>9643</v>
      </c>
      <c r="D254" t="inlineStr">
        <is>
          <t>Multifuncional</t>
        </is>
      </c>
      <c r="E254" t="inlineStr">
        <is>
          <t>SUC</t>
        </is>
      </c>
      <c r="F254" t="inlineStr">
        <is>
          <t>BELLTECH</t>
        </is>
      </c>
    </row>
    <row r="255">
      <c r="A255" t="n">
        <v>9644</v>
      </c>
      <c r="B255" t="n">
        <v>551</v>
      </c>
      <c r="C255" t="n">
        <v>9644</v>
      </c>
      <c r="D255" t="inlineStr">
        <is>
          <t>Multifuncional</t>
        </is>
      </c>
      <c r="E255" t="inlineStr">
        <is>
          <t>SUC</t>
        </is>
      </c>
      <c r="F255" t="inlineStr">
        <is>
          <t>BELLTECH</t>
        </is>
      </c>
    </row>
    <row r="256">
      <c r="A256" t="n">
        <v>9682</v>
      </c>
      <c r="B256" t="n">
        <v>876</v>
      </c>
      <c r="C256" t="n">
        <v>9682</v>
      </c>
      <c r="D256" t="inlineStr">
        <is>
          <t>Multifuncional</t>
        </is>
      </c>
      <c r="E256" t="inlineStr">
        <is>
          <t>SUC</t>
        </is>
      </c>
      <c r="F256" t="inlineStr">
        <is>
          <t>BELLTECH</t>
        </is>
      </c>
    </row>
    <row r="257">
      <c r="A257" t="n">
        <v>9724</v>
      </c>
      <c r="B257" t="n">
        <v>849</v>
      </c>
      <c r="C257" t="n">
        <v>9724</v>
      </c>
      <c r="D257" t="inlineStr">
        <is>
          <t>Multifuncional</t>
        </is>
      </c>
      <c r="E257" t="inlineStr">
        <is>
          <t>SUC</t>
        </is>
      </c>
      <c r="F257" t="inlineStr">
        <is>
          <t>BELLTECH</t>
        </is>
      </c>
    </row>
    <row r="258">
      <c r="A258" t="n">
        <v>9725</v>
      </c>
      <c r="B258" t="n">
        <v>849</v>
      </c>
      <c r="C258" t="n">
        <v>9725</v>
      </c>
      <c r="D258" t="inlineStr">
        <is>
          <t>Multifuncional</t>
        </is>
      </c>
      <c r="E258" t="inlineStr">
        <is>
          <t>SUC</t>
        </is>
      </c>
      <c r="F258" t="inlineStr">
        <is>
          <t>BELLTECH</t>
        </is>
      </c>
    </row>
    <row r="259">
      <c r="A259" t="n">
        <v>9729</v>
      </c>
      <c r="B259" t="n">
        <v>516</v>
      </c>
      <c r="C259" t="n">
        <v>9729</v>
      </c>
      <c r="D259" t="inlineStr">
        <is>
          <t>Multifuncional</t>
        </is>
      </c>
      <c r="E259" t="inlineStr">
        <is>
          <t>SUC</t>
        </is>
      </c>
      <c r="F259" t="inlineStr">
        <is>
          <t>BELLTECH</t>
        </is>
      </c>
    </row>
    <row r="260">
      <c r="A260" t="n">
        <v>9810</v>
      </c>
      <c r="B260" t="n">
        <v>499</v>
      </c>
      <c r="C260" t="n">
        <v>9810</v>
      </c>
      <c r="D260" t="inlineStr">
        <is>
          <t>Multifuncional</t>
        </is>
      </c>
      <c r="E260" t="inlineStr">
        <is>
          <t>SUC</t>
        </is>
      </c>
      <c r="F260" t="inlineStr">
        <is>
          <t>BELLTECH</t>
        </is>
      </c>
    </row>
    <row r="261">
      <c r="A261" t="n">
        <v>9811</v>
      </c>
      <c r="B261" t="n">
        <v>499</v>
      </c>
      <c r="C261" t="n">
        <v>9811</v>
      </c>
      <c r="D261" t="inlineStr">
        <is>
          <t>Multifuncional</t>
        </is>
      </c>
      <c r="E261" t="inlineStr">
        <is>
          <t>SUC</t>
        </is>
      </c>
      <c r="F261" t="inlineStr">
        <is>
          <t>BELLTECH</t>
        </is>
      </c>
    </row>
    <row r="262">
      <c r="A262" t="n">
        <v>9906</v>
      </c>
      <c r="B262" t="n">
        <v>264</v>
      </c>
      <c r="C262" t="n">
        <v>9906</v>
      </c>
      <c r="D262" t="inlineStr">
        <is>
          <t>Multifuncional</t>
        </is>
      </c>
      <c r="E262" t="inlineStr">
        <is>
          <t>SUC</t>
        </is>
      </c>
      <c r="F262" t="inlineStr">
        <is>
          <t>BELLTECH</t>
        </is>
      </c>
    </row>
    <row r="263">
      <c r="A263" t="n">
        <v>9963</v>
      </c>
      <c r="B263" t="n">
        <v>57</v>
      </c>
      <c r="C263" t="n">
        <v>9963</v>
      </c>
      <c r="D263" t="inlineStr">
        <is>
          <t>Multifuncional</t>
        </is>
      </c>
      <c r="E263" t="inlineStr">
        <is>
          <t>SUC</t>
        </is>
      </c>
      <c r="F263" t="inlineStr">
        <is>
          <t>BELLTECH</t>
        </is>
      </c>
    </row>
    <row r="264">
      <c r="A264" t="n">
        <v>9265</v>
      </c>
      <c r="B264" t="n">
        <v>959</v>
      </c>
      <c r="C264" t="n">
        <v>9265</v>
      </c>
      <c r="D264" t="inlineStr">
        <is>
          <t>Multifuncional</t>
        </is>
      </c>
      <c r="E264" t="inlineStr">
        <is>
          <t>SUC</t>
        </is>
      </c>
      <c r="F264" t="inlineStr">
        <is>
          <t>DIEBOLD</t>
        </is>
      </c>
    </row>
    <row r="265">
      <c r="A265" t="n">
        <v>4830</v>
      </c>
      <c r="B265" t="n">
        <v>907</v>
      </c>
      <c r="C265" t="n">
        <v>4830</v>
      </c>
      <c r="D265" t="inlineStr">
        <is>
          <t>Multifuncional</t>
        </is>
      </c>
      <c r="E265" t="inlineStr">
        <is>
          <t>SUC</t>
        </is>
      </c>
      <c r="F265" t="inlineStr">
        <is>
          <t>BELLTECH</t>
        </is>
      </c>
    </row>
    <row r="266">
      <c r="A266" t="n">
        <v>2228</v>
      </c>
      <c r="B266" t="n">
        <v>944</v>
      </c>
      <c r="C266" t="n">
        <v>2228</v>
      </c>
      <c r="D266" t="inlineStr">
        <is>
          <t>Multifuncional</t>
        </is>
      </c>
      <c r="E266" t="inlineStr">
        <is>
          <t>SUC</t>
        </is>
      </c>
      <c r="F266" t="inlineStr">
        <is>
          <t>BELLTECH</t>
        </is>
      </c>
    </row>
    <row r="267">
      <c r="A267" t="n">
        <v>4868</v>
      </c>
      <c r="B267" t="n">
        <v>777</v>
      </c>
      <c r="C267" t="n">
        <v>4868</v>
      </c>
      <c r="D267" t="inlineStr">
        <is>
          <t>Multifuncional</t>
        </is>
      </c>
      <c r="E267" t="inlineStr">
        <is>
          <t>SUC</t>
        </is>
      </c>
      <c r="F267" t="inlineStr">
        <is>
          <t>DIEBOLD</t>
        </is>
      </c>
    </row>
    <row r="268">
      <c r="A268" t="n">
        <v>4866</v>
      </c>
      <c r="B268" t="n">
        <v>5</v>
      </c>
      <c r="C268" t="n">
        <v>4866</v>
      </c>
      <c r="D268" t="inlineStr">
        <is>
          <t>MULTIFUNCIONAL</t>
        </is>
      </c>
      <c r="E268" t="inlineStr">
        <is>
          <t>SUC</t>
        </is>
      </c>
      <c r="F268" t="inlineStr">
        <is>
          <t>DIEBOLD</t>
        </is>
      </c>
    </row>
    <row r="269">
      <c r="A269" t="n">
        <v>192</v>
      </c>
      <c r="B269" t="n">
        <v>348</v>
      </c>
      <c r="C269" t="n">
        <v>192</v>
      </c>
      <c r="D269" t="inlineStr">
        <is>
          <t>MULTIFUNCIONAL</t>
        </is>
      </c>
      <c r="E269" t="inlineStr">
        <is>
          <t>SUC</t>
        </is>
      </c>
      <c r="F269" t="inlineStr">
        <is>
          <t>BELLTECH</t>
        </is>
      </c>
    </row>
    <row r="270">
      <c r="A270" t="n">
        <v>316</v>
      </c>
      <c r="B270" t="n">
        <v>4</v>
      </c>
      <c r="C270" t="n">
        <v>316</v>
      </c>
      <c r="D270" t="inlineStr">
        <is>
          <t>MULTIFUNCIONAL</t>
        </is>
      </c>
      <c r="E270" t="inlineStr">
        <is>
          <t>SUC</t>
        </is>
      </c>
      <c r="F270" t="inlineStr">
        <is>
          <t>BELLTECH</t>
        </is>
      </c>
    </row>
    <row r="271">
      <c r="A271" t="n">
        <v>442</v>
      </c>
      <c r="B271" t="n">
        <v>333</v>
      </c>
      <c r="C271" t="n">
        <v>442</v>
      </c>
      <c r="D271" t="inlineStr">
        <is>
          <t>MULTIFUNCIONAL</t>
        </is>
      </c>
      <c r="E271" t="inlineStr">
        <is>
          <t>SUC</t>
        </is>
      </c>
      <c r="F271" t="inlineStr">
        <is>
          <t>DIEBOLD</t>
        </is>
      </c>
    </row>
    <row r="272">
      <c r="A272" t="n">
        <v>278</v>
      </c>
      <c r="B272" t="n">
        <v>292</v>
      </c>
      <c r="C272" t="n">
        <v>278</v>
      </c>
      <c r="D272" t="inlineStr">
        <is>
          <t>MULTIFUNCIONAL</t>
        </is>
      </c>
      <c r="E272" t="inlineStr">
        <is>
          <t>SUC</t>
        </is>
      </c>
      <c r="F272" t="inlineStr">
        <is>
          <t>BELLTECH</t>
        </is>
      </c>
    </row>
    <row r="273">
      <c r="A273" t="n">
        <v>172</v>
      </c>
      <c r="B273" t="n">
        <v>499</v>
      </c>
      <c r="C273" t="n">
        <v>172</v>
      </c>
      <c r="D273" t="inlineStr">
        <is>
          <t>MULTIFUNCIONAL</t>
        </is>
      </c>
      <c r="E273" t="inlineStr">
        <is>
          <t>SUC</t>
        </is>
      </c>
      <c r="F273" t="inlineStr">
        <is>
          <t>BELLTECH</t>
        </is>
      </c>
    </row>
    <row r="274">
      <c r="A274" t="n">
        <v>428</v>
      </c>
      <c r="B274" t="n">
        <v>306</v>
      </c>
      <c r="C274" t="n">
        <v>428</v>
      </c>
      <c r="D274" t="inlineStr">
        <is>
          <t>MULTIFUNCIONAL</t>
        </is>
      </c>
      <c r="E274" t="inlineStr">
        <is>
          <t>SUC</t>
        </is>
      </c>
      <c r="F274" t="inlineStr">
        <is>
          <t>DIEBOLD</t>
        </is>
      </c>
    </row>
    <row r="275">
      <c r="A275" t="n">
        <v>2208</v>
      </c>
      <c r="B275" t="n">
        <v>185</v>
      </c>
      <c r="C275" t="n">
        <v>2208</v>
      </c>
      <c r="D275" t="inlineStr">
        <is>
          <t>MULTIFUNCIONAL</t>
        </is>
      </c>
      <c r="E275" t="inlineStr">
        <is>
          <t>SUC</t>
        </is>
      </c>
      <c r="F275" t="inlineStr">
        <is>
          <t>DIEBOLD</t>
        </is>
      </c>
    </row>
    <row r="276">
      <c r="A276" t="n">
        <v>1469</v>
      </c>
      <c r="B276" t="n">
        <v>214</v>
      </c>
      <c r="C276" t="n">
        <v>1469</v>
      </c>
      <c r="D276" t="inlineStr">
        <is>
          <t>MULTIFUNCIONAL</t>
        </is>
      </c>
      <c r="E276" t="inlineStr">
        <is>
          <t>SUC</t>
        </is>
      </c>
      <c r="F276" t="inlineStr">
        <is>
          <t>BELLTECH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Suc</t>
        </is>
      </c>
      <c r="B1" s="1" t="inlineStr">
        <is>
          <t>Cajero</t>
        </is>
      </c>
      <c r="C1" s="1" t="inlineStr">
        <is>
          <t>Marca</t>
        </is>
      </c>
      <c r="D1" s="1" t="inlineStr">
        <is>
          <t>Cajero.1</t>
        </is>
      </c>
      <c r="E1" s="1" t="inlineStr">
        <is>
          <t xml:space="preserve">Sucursal </t>
        </is>
      </c>
      <c r="F1" s="1" t="inlineStr">
        <is>
          <t>Lider de servicio</t>
        </is>
      </c>
      <c r="G1" s="1" t="inlineStr">
        <is>
          <t>SUBGERENTE</t>
        </is>
      </c>
      <c r="H1" s="1" t="inlineStr">
        <is>
          <t>FECHA ARQUEO</t>
        </is>
      </c>
      <c r="I1" s="1" t="inlineStr">
        <is>
          <t>FECHA REPROGRAMACION</t>
        </is>
      </c>
      <c r="J1" s="1" t="inlineStr">
        <is>
          <t>FECHA PROGRAMADA</t>
        </is>
      </c>
      <c r="K1" s="1" t="inlineStr">
        <is>
          <t>OBSERVACIÓN</t>
        </is>
      </c>
    </row>
    <row r="2">
      <c r="A2" t="n">
        <v>361</v>
      </c>
      <c r="B2" t="n">
        <v>5005</v>
      </c>
      <c r="C2" t="inlineStr">
        <is>
          <t>BELLTECH</t>
        </is>
      </c>
      <c r="D2" t="inlineStr">
        <is>
          <t>Multifuncional</t>
        </is>
      </c>
      <c r="E2" t="inlineStr">
        <is>
          <t>CENTRO DE PAGOS FONTIBON</t>
        </is>
      </c>
      <c r="F2" t="inlineStr">
        <is>
          <t>Fabio Orlando Bosa Poveda</t>
        </is>
      </c>
      <c r="G2" t="inlineStr">
        <is>
          <t>jaolarte</t>
        </is>
      </c>
      <c r="H2" s="3" t="n">
        <v>46070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2026-03-30T14:36:09Z</dcterms:created>
  <dcterms:modified xsi:type="dcterms:W3CDTF">2026-03-30T14:36:11Z</dcterms:modified>
</cp:coreProperties>
</file>