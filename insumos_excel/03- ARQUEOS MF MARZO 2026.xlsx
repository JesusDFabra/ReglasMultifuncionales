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dor\EUC\reglas_multifuncionales\insumos_excel\"/>
    </mc:Choice>
  </mc:AlternateContent>
  <xr:revisionPtr revIDLastSave="0" documentId="13_ncr:1_{A3F5AB88-64A3-40A7-BC1E-C3610E4E1364}" xr6:coauthVersionLast="47" xr6:coauthVersionMax="47" xr10:uidLastSave="{00000000-0000-0000-0000-000000000000}"/>
  <bookViews>
    <workbookView xWindow="28680" yWindow="3315" windowWidth="20640" windowHeight="11040" xr2:uid="{00000000-000D-0000-FFFF-FFFF00000000}"/>
  </bookViews>
  <sheets>
    <sheet name="DETALLE MF" sheetId="1" r:id="rId1"/>
    <sheet name="Lista MF" sheetId="2" r:id="rId2"/>
    <sheet name="Notas" sheetId="3" r:id="rId3"/>
    <sheet name="CP" sheetId="4" r:id="rId4"/>
    <sheet name="Hoja1" sheetId="5" r:id="rId5"/>
  </sheets>
  <definedNames>
    <definedName name="_xlnm._FilterDatabase" localSheetId="0" hidden="1">'DETALLE MF'!$A$1:$P$732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650" i="1" l="1"/>
  <c r="M650" i="1" s="1"/>
  <c r="N650" i="1" s="1"/>
  <c r="L583" i="1"/>
  <c r="M583" i="1" s="1"/>
  <c r="N583" i="1" s="1"/>
  <c r="L572" i="1"/>
  <c r="M572" i="1" s="1"/>
  <c r="N572" i="1" s="1"/>
  <c r="L548" i="1"/>
  <c r="M548" i="1" s="1"/>
  <c r="N548" i="1" s="1"/>
  <c r="L365" i="1"/>
  <c r="M365" i="1" s="1"/>
  <c r="N365" i="1" s="1"/>
  <c r="L192" i="1"/>
  <c r="M192" i="1" s="1"/>
  <c r="N192" i="1" s="1"/>
  <c r="L51" i="1"/>
  <c r="M51" i="1" s="1"/>
  <c r="N51" i="1" s="1"/>
  <c r="M38" i="1"/>
  <c r="N38" i="1" s="1"/>
  <c r="L38" i="1"/>
  <c r="L686" i="1"/>
  <c r="M686" i="1" s="1"/>
  <c r="N686" i="1" s="1"/>
  <c r="M34" i="1"/>
  <c r="N34" i="1" s="1"/>
  <c r="L34" i="1"/>
  <c r="L354" i="1"/>
  <c r="M354" i="1" s="1"/>
  <c r="N354" i="1" s="1"/>
  <c r="L455" i="1"/>
  <c r="M455" i="1" s="1"/>
  <c r="N455" i="1" s="1"/>
  <c r="L320" i="1"/>
  <c r="M320" i="1" s="1"/>
  <c r="N320" i="1" s="1"/>
  <c r="L187" i="1"/>
  <c r="M187" i="1" s="1"/>
  <c r="N187" i="1" s="1"/>
  <c r="L465" i="1"/>
  <c r="M465" i="1" s="1"/>
  <c r="N465" i="1" s="1"/>
  <c r="L308" i="1"/>
  <c r="M308" i="1" s="1"/>
  <c r="N308" i="1" s="1"/>
  <c r="L10" i="1"/>
  <c r="M10" i="1" s="1"/>
  <c r="N10" i="1" s="1"/>
  <c r="M106" i="1"/>
  <c r="N106" i="1" s="1"/>
  <c r="L106" i="1"/>
  <c r="L412" i="1"/>
  <c r="M412" i="1" s="1"/>
  <c r="N412" i="1" s="1"/>
  <c r="L229" i="1"/>
  <c r="M229" i="1" s="1"/>
  <c r="N229" i="1" s="1"/>
  <c r="L507" i="1"/>
  <c r="M507" i="1" s="1"/>
  <c r="N507" i="1" s="1"/>
  <c r="L219" i="1"/>
  <c r="M219" i="1" s="1"/>
  <c r="N219" i="1" s="1"/>
  <c r="M31" i="1"/>
  <c r="N31" i="1" s="1"/>
  <c r="L31" i="1"/>
  <c r="L372" i="1"/>
  <c r="M372" i="1" s="1"/>
  <c r="N372" i="1" s="1"/>
  <c r="L383" i="1"/>
  <c r="M383" i="1" s="1"/>
  <c r="N383" i="1" s="1"/>
  <c r="L618" i="1"/>
  <c r="M618" i="1" s="1"/>
  <c r="N618" i="1" s="1"/>
  <c r="L429" i="1"/>
  <c r="M429" i="1" s="1"/>
  <c r="N429" i="1" s="1"/>
  <c r="L58" i="1"/>
  <c r="M58" i="1" s="1"/>
  <c r="N58" i="1" s="1"/>
  <c r="L207" i="1"/>
  <c r="M207" i="1" s="1"/>
  <c r="N207" i="1" s="1"/>
  <c r="L667" i="1"/>
  <c r="M667" i="1" s="1"/>
  <c r="N667" i="1" s="1"/>
  <c r="M170" i="1"/>
  <c r="N170" i="1" s="1"/>
  <c r="L170" i="1"/>
  <c r="M732" i="1"/>
  <c r="N732" i="1" s="1"/>
  <c r="M731" i="1"/>
  <c r="N731" i="1" s="1"/>
  <c r="M730" i="1"/>
  <c r="N730" i="1" s="1"/>
  <c r="M729" i="1"/>
  <c r="N729" i="1" s="1"/>
  <c r="N728" i="1"/>
  <c r="M728" i="1"/>
  <c r="M727" i="1"/>
  <c r="N727" i="1" s="1"/>
  <c r="M726" i="1"/>
  <c r="N726" i="1" s="1"/>
  <c r="M725" i="1"/>
  <c r="N725" i="1" s="1"/>
  <c r="M724" i="1"/>
  <c r="N724" i="1" s="1"/>
  <c r="M723" i="1"/>
  <c r="N723" i="1" s="1"/>
  <c r="M722" i="1"/>
  <c r="N722" i="1" s="1"/>
  <c r="N721" i="1"/>
  <c r="M721" i="1"/>
  <c r="M720" i="1"/>
  <c r="N720" i="1" s="1"/>
  <c r="M719" i="1"/>
  <c r="N719" i="1" s="1"/>
  <c r="M718" i="1"/>
  <c r="N718" i="1" s="1"/>
  <c r="M717" i="1"/>
  <c r="N717" i="1" s="1"/>
  <c r="M716" i="1"/>
  <c r="N716" i="1" s="1"/>
  <c r="M715" i="1"/>
  <c r="N715" i="1" s="1"/>
  <c r="M714" i="1"/>
  <c r="N714" i="1" s="1"/>
  <c r="M713" i="1"/>
  <c r="N713" i="1" s="1"/>
  <c r="M712" i="1"/>
  <c r="N712" i="1" s="1"/>
  <c r="N711" i="1"/>
  <c r="M711" i="1"/>
  <c r="M710" i="1"/>
  <c r="N710" i="1" s="1"/>
  <c r="M709" i="1"/>
  <c r="N709" i="1" s="1"/>
  <c r="M708" i="1"/>
  <c r="N708" i="1" s="1"/>
  <c r="M707" i="1"/>
  <c r="N707" i="1" s="1"/>
  <c r="M706" i="1"/>
  <c r="N706" i="1" s="1"/>
  <c r="M705" i="1"/>
  <c r="N705" i="1" s="1"/>
  <c r="M704" i="1"/>
  <c r="N704" i="1" s="1"/>
  <c r="M703" i="1"/>
  <c r="N703" i="1" s="1"/>
  <c r="M702" i="1"/>
  <c r="N702" i="1" s="1"/>
  <c r="M351" i="1"/>
  <c r="N351" i="1" s="1"/>
  <c r="M90" i="1"/>
  <c r="N90" i="1" s="1"/>
  <c r="M73" i="1"/>
  <c r="N73" i="1" s="1"/>
  <c r="M441" i="1"/>
  <c r="N441" i="1" s="1"/>
  <c r="M676" i="1"/>
  <c r="N676" i="1" s="1"/>
  <c r="M595" i="1"/>
  <c r="N595" i="1" s="1"/>
  <c r="M131" i="1"/>
  <c r="N131" i="1" s="1"/>
  <c r="M685" i="1"/>
  <c r="N685" i="1" s="1"/>
  <c r="M679" i="1"/>
  <c r="N679" i="1" s="1"/>
  <c r="M450" i="1"/>
  <c r="N450" i="1" s="1"/>
  <c r="M142" i="1"/>
  <c r="N142" i="1" s="1"/>
  <c r="M582" i="1"/>
  <c r="N582" i="1" s="1"/>
  <c r="M571" i="1"/>
  <c r="N571" i="1" s="1"/>
  <c r="M521" i="1"/>
  <c r="N521" i="1" s="1"/>
  <c r="M120" i="1"/>
  <c r="N120" i="1" s="1"/>
  <c r="M300" i="1"/>
  <c r="N300" i="1" s="1"/>
  <c r="M129" i="1"/>
  <c r="N129" i="1" s="1"/>
  <c r="M275" i="1"/>
  <c r="N275" i="1" s="1"/>
  <c r="M191" i="1"/>
  <c r="N191" i="1" s="1"/>
  <c r="M472" i="1"/>
  <c r="N472" i="1" s="1"/>
  <c r="M186" i="1"/>
  <c r="N186" i="1" s="1"/>
  <c r="M425" i="1"/>
  <c r="N425" i="1" s="1"/>
  <c r="M547" i="1"/>
  <c r="N547" i="1" s="1"/>
  <c r="M534" i="1"/>
  <c r="N534" i="1" s="1"/>
  <c r="M532" i="1"/>
  <c r="N532" i="1" s="1"/>
  <c r="M177" i="1"/>
  <c r="N177" i="1" s="1"/>
  <c r="M640" i="1"/>
  <c r="N640" i="1" s="1"/>
  <c r="M333" i="1"/>
  <c r="N333" i="1" s="1"/>
  <c r="M513" i="1"/>
  <c r="N513" i="1" s="1"/>
  <c r="M57" i="1"/>
  <c r="N57" i="1" s="1"/>
  <c r="M307" i="1"/>
  <c r="N307" i="1" s="1"/>
  <c r="M435" i="1"/>
  <c r="N435" i="1" s="1"/>
  <c r="M487" i="1"/>
  <c r="N487" i="1" s="1"/>
  <c r="M71" i="1"/>
  <c r="N71" i="1" s="1"/>
  <c r="M491" i="1"/>
  <c r="N491" i="1" s="1"/>
  <c r="M234" i="1"/>
  <c r="N234" i="1" s="1"/>
  <c r="M214" i="1"/>
  <c r="N214" i="1" s="1"/>
  <c r="M213" i="1"/>
  <c r="N213" i="1" s="1"/>
  <c r="M700" i="1"/>
  <c r="N700" i="1" s="1"/>
  <c r="M257" i="1"/>
  <c r="N257" i="1" s="1"/>
  <c r="M126" i="1"/>
  <c r="N126" i="1" s="1"/>
  <c r="M556" i="1"/>
  <c r="N556" i="1" s="1"/>
  <c r="M389" i="1"/>
  <c r="N389" i="1" s="1"/>
  <c r="M346" i="1"/>
  <c r="N346" i="1" s="1"/>
  <c r="M206" i="1"/>
  <c r="N206" i="1" s="1"/>
  <c r="M65" i="1"/>
  <c r="N65" i="1" s="1"/>
  <c r="M169" i="1"/>
  <c r="N169" i="1" s="1"/>
  <c r="M327" i="1"/>
  <c r="N327" i="1" s="1"/>
  <c r="M22" i="1"/>
  <c r="N22" i="1" s="1"/>
  <c r="M609" i="1"/>
  <c r="N609" i="1" s="1"/>
  <c r="M375" i="1"/>
  <c r="N375" i="1" s="1"/>
  <c r="M617" i="1"/>
  <c r="N617" i="1" s="1"/>
  <c r="M561" i="1"/>
  <c r="N561" i="1" s="1"/>
  <c r="M495" i="1"/>
  <c r="N495" i="1" s="1"/>
  <c r="M145" i="1"/>
  <c r="N145" i="1" s="1"/>
  <c r="M75" i="1"/>
  <c r="N75" i="1" s="1"/>
  <c r="M590" i="1"/>
  <c r="N590" i="1" s="1"/>
  <c r="M588" i="1"/>
  <c r="N588" i="1" s="1"/>
  <c r="M7" i="1"/>
  <c r="N7" i="1" s="1"/>
  <c r="M350" i="1"/>
  <c r="N350" i="1" s="1"/>
  <c r="M343" i="1"/>
  <c r="N343" i="1" s="1"/>
  <c r="M216" i="1"/>
  <c r="N216" i="1" s="1"/>
  <c r="M245" i="1"/>
  <c r="N245" i="1" s="1"/>
  <c r="M93" i="1"/>
  <c r="N93" i="1" s="1"/>
  <c r="M684" i="1"/>
  <c r="N684" i="1" s="1"/>
  <c r="M30" i="1"/>
  <c r="N30" i="1" s="1"/>
  <c r="N600" i="1"/>
  <c r="M600" i="1"/>
  <c r="M88" i="1"/>
  <c r="N88" i="1" s="1"/>
  <c r="M447" i="1"/>
  <c r="N447" i="1" s="1"/>
  <c r="M581" i="1"/>
  <c r="N581" i="1" s="1"/>
  <c r="M570" i="1"/>
  <c r="N570" i="1" s="1"/>
  <c r="M44" i="1"/>
  <c r="N44" i="1" s="1"/>
  <c r="M353" i="1"/>
  <c r="N353" i="1" s="1"/>
  <c r="M319" i="1"/>
  <c r="N319" i="1" s="1"/>
  <c r="M123" i="1"/>
  <c r="N123" i="1" s="1"/>
  <c r="M359" i="1"/>
  <c r="N359" i="1" s="1"/>
  <c r="M674" i="1"/>
  <c r="N674" i="1" s="1"/>
  <c r="M405" i="1"/>
  <c r="N405" i="1" s="1"/>
  <c r="M611" i="1"/>
  <c r="N611" i="1" s="1"/>
  <c r="M516" i="1"/>
  <c r="N516" i="1" s="1"/>
  <c r="M512" i="1"/>
  <c r="N512" i="1" s="1"/>
  <c r="M195" i="1"/>
  <c r="N195" i="1" s="1"/>
  <c r="M148" i="1"/>
  <c r="N148" i="1" s="1"/>
  <c r="M17" i="1"/>
  <c r="N17" i="1" s="1"/>
  <c r="M528" i="1"/>
  <c r="N528" i="1" s="1"/>
  <c r="M468" i="1"/>
  <c r="N468" i="1" s="1"/>
  <c r="M64" i="1"/>
  <c r="N64" i="1" s="1"/>
  <c r="N505" i="1"/>
  <c r="M505" i="1"/>
  <c r="M459" i="1"/>
  <c r="N459" i="1" s="1"/>
  <c r="M79" i="1"/>
  <c r="N79" i="1" s="1"/>
  <c r="M136" i="1"/>
  <c r="N136" i="1" s="1"/>
  <c r="M541" i="1"/>
  <c r="N541" i="1" s="1"/>
  <c r="M537" i="1"/>
  <c r="N537" i="1" s="1"/>
  <c r="M666" i="1"/>
  <c r="N666" i="1" s="1"/>
  <c r="M594" i="1"/>
  <c r="N594" i="1" s="1"/>
  <c r="M683" i="1"/>
  <c r="N683" i="1" s="1"/>
  <c r="M678" i="1"/>
  <c r="N678" i="1" s="1"/>
  <c r="M363" i="1"/>
  <c r="N363" i="1" s="1"/>
  <c r="M449" i="1"/>
  <c r="N449" i="1" s="1"/>
  <c r="M37" i="1"/>
  <c r="N37" i="1" s="1"/>
  <c r="M141" i="1"/>
  <c r="N141" i="1" s="1"/>
  <c r="M291" i="1"/>
  <c r="N291" i="1" s="1"/>
  <c r="M262" i="1"/>
  <c r="N262" i="1" s="1"/>
  <c r="M299" i="1"/>
  <c r="N299" i="1" s="1"/>
  <c r="M274" i="1"/>
  <c r="N274" i="1" s="1"/>
  <c r="M482" i="1"/>
  <c r="N482" i="1" s="1"/>
  <c r="M501" i="1"/>
  <c r="N501" i="1" s="1"/>
  <c r="M498" i="1"/>
  <c r="N498" i="1" s="1"/>
  <c r="M638" i="1"/>
  <c r="N638" i="1" s="1"/>
  <c r="M176" i="1"/>
  <c r="N176" i="1" s="1"/>
  <c r="N691" i="1"/>
  <c r="M691" i="1"/>
  <c r="M698" i="1"/>
  <c r="N698" i="1" s="1"/>
  <c r="M515" i="1"/>
  <c r="N515" i="1" s="1"/>
  <c r="M655" i="1"/>
  <c r="N655" i="1" s="1"/>
  <c r="M56" i="1"/>
  <c r="N56" i="1" s="1"/>
  <c r="M50" i="1"/>
  <c r="N50" i="1" s="1"/>
  <c r="M486" i="1"/>
  <c r="N486" i="1" s="1"/>
  <c r="M70" i="1"/>
  <c r="N70" i="1" s="1"/>
  <c r="M212" i="1"/>
  <c r="N212" i="1" s="1"/>
  <c r="M248" i="1"/>
  <c r="N248" i="1" s="1"/>
  <c r="M125" i="1"/>
  <c r="N125" i="1" s="1"/>
  <c r="M183" i="1"/>
  <c r="N183" i="1" s="1"/>
  <c r="M103" i="1"/>
  <c r="N103" i="1" s="1"/>
  <c r="M68" i="1"/>
  <c r="N68" i="1" s="1"/>
  <c r="N250" i="1"/>
  <c r="M250" i="1"/>
  <c r="M636" i="1"/>
  <c r="N636" i="1" s="1"/>
  <c r="M379" i="1"/>
  <c r="N379" i="1" s="1"/>
  <c r="M200" i="1"/>
  <c r="N200" i="1" s="1"/>
  <c r="M267" i="1"/>
  <c r="N267" i="1" s="1"/>
  <c r="M21" i="1"/>
  <c r="N21" i="1" s="1"/>
  <c r="N616" i="1"/>
  <c r="M616" i="1"/>
  <c r="N615" i="1"/>
  <c r="M615" i="1"/>
  <c r="M593" i="1"/>
  <c r="N593" i="1" s="1"/>
  <c r="M475" i="1"/>
  <c r="N475" i="1" s="1"/>
  <c r="M467" i="1"/>
  <c r="N467" i="1" s="1"/>
  <c r="M452" i="1"/>
  <c r="N452" i="1" s="1"/>
  <c r="M407" i="1"/>
  <c r="N407" i="1" s="1"/>
  <c r="M358" i="1"/>
  <c r="N358" i="1" s="1"/>
  <c r="M168" i="1"/>
  <c r="N168" i="1" s="1"/>
  <c r="M147" i="1"/>
  <c r="N147" i="1" s="1"/>
  <c r="M122" i="1"/>
  <c r="N122" i="1" s="1"/>
  <c r="M669" i="1"/>
  <c r="N669" i="1" s="1"/>
  <c r="M660" i="1"/>
  <c r="N660" i="1" s="1"/>
  <c r="M642" i="1"/>
  <c r="N642" i="1" s="1"/>
  <c r="M625" i="1"/>
  <c r="N625" i="1" s="1"/>
  <c r="M623" i="1"/>
  <c r="N623" i="1" s="1"/>
  <c r="M608" i="1"/>
  <c r="N608" i="1" s="1"/>
  <c r="M605" i="1"/>
  <c r="N605" i="1" s="1"/>
  <c r="M602" i="1"/>
  <c r="N602" i="1" s="1"/>
  <c r="M586" i="1"/>
  <c r="N586" i="1" s="1"/>
  <c r="M580" i="1"/>
  <c r="N580" i="1" s="1"/>
  <c r="M569" i="1"/>
  <c r="N569" i="1" s="1"/>
  <c r="M554" i="1"/>
  <c r="N554" i="1" s="1"/>
  <c r="M551" i="1"/>
  <c r="N551" i="1" s="1"/>
  <c r="M481" i="1"/>
  <c r="N481" i="1" s="1"/>
  <c r="N477" i="1"/>
  <c r="M477" i="1"/>
  <c r="M471" i="1"/>
  <c r="N471" i="1" s="1"/>
  <c r="M446" i="1"/>
  <c r="N446" i="1" s="1"/>
  <c r="M440" i="1"/>
  <c r="N440" i="1" s="1"/>
  <c r="M433" i="1"/>
  <c r="N433" i="1" s="1"/>
  <c r="N427" i="1"/>
  <c r="M427" i="1"/>
  <c r="M421" i="1"/>
  <c r="N421" i="1" s="1"/>
  <c r="M419" i="1"/>
  <c r="N419" i="1" s="1"/>
  <c r="M415" i="1"/>
  <c r="N415" i="1" s="1"/>
  <c r="M403" i="1"/>
  <c r="N403" i="1" s="1"/>
  <c r="M397" i="1"/>
  <c r="N397" i="1" s="1"/>
  <c r="M395" i="1"/>
  <c r="N395" i="1" s="1"/>
  <c r="M391" i="1"/>
  <c r="N391" i="1" s="1"/>
  <c r="M388" i="1"/>
  <c r="N388" i="1" s="1"/>
  <c r="M382" i="1"/>
  <c r="N382" i="1" s="1"/>
  <c r="M374" i="1"/>
  <c r="N374" i="1" s="1"/>
  <c r="M342" i="1"/>
  <c r="N342" i="1" s="1"/>
  <c r="M339" i="1"/>
  <c r="N339" i="1" s="1"/>
  <c r="M325" i="1"/>
  <c r="N325" i="1" s="1"/>
  <c r="M311" i="1"/>
  <c r="N311" i="1" s="1"/>
  <c r="M287" i="1"/>
  <c r="N287" i="1" s="1"/>
  <c r="M280" i="1"/>
  <c r="N280" i="1" s="1"/>
  <c r="M255" i="1"/>
  <c r="N255" i="1" s="1"/>
  <c r="M231" i="1"/>
  <c r="N231" i="1" s="1"/>
  <c r="M225" i="1"/>
  <c r="N225" i="1" s="1"/>
  <c r="M218" i="1"/>
  <c r="N218" i="1" s="1"/>
  <c r="M215" i="1"/>
  <c r="N215" i="1" s="1"/>
  <c r="M205" i="1"/>
  <c r="N205" i="1" s="1"/>
  <c r="M197" i="1"/>
  <c r="N197" i="1" s="1"/>
  <c r="M194" i="1"/>
  <c r="N194" i="1" s="1"/>
  <c r="M185" i="1"/>
  <c r="N185" i="1" s="1"/>
  <c r="M180" i="1"/>
  <c r="N180" i="1" s="1"/>
  <c r="M175" i="1"/>
  <c r="N175" i="1" s="1"/>
  <c r="M163" i="1"/>
  <c r="N163" i="1" s="1"/>
  <c r="M160" i="1"/>
  <c r="N160" i="1" s="1"/>
  <c r="M128" i="1"/>
  <c r="N128" i="1" s="1"/>
  <c r="M105" i="1"/>
  <c r="N105" i="1" s="1"/>
  <c r="M99" i="1"/>
  <c r="N99" i="1" s="1"/>
  <c r="M96" i="1"/>
  <c r="N96" i="1" s="1"/>
  <c r="M84" i="1"/>
  <c r="N84" i="1" s="1"/>
  <c r="M78" i="1"/>
  <c r="N78" i="1" s="1"/>
  <c r="M63" i="1"/>
  <c r="N63" i="1" s="1"/>
  <c r="N49" i="1"/>
  <c r="M49" i="1"/>
  <c r="M18" i="1"/>
  <c r="N18" i="1" s="1"/>
  <c r="M16" i="1"/>
  <c r="N16" i="1" s="1"/>
  <c r="M318" i="1"/>
  <c r="N318" i="1" s="1"/>
  <c r="M294" i="1"/>
  <c r="N294" i="1" s="1"/>
  <c r="M273" i="1"/>
  <c r="N273" i="1" s="1"/>
  <c r="M241" i="1"/>
  <c r="N241" i="1" s="1"/>
  <c r="M135" i="1"/>
  <c r="N135" i="1" s="1"/>
  <c r="M697" i="1"/>
  <c r="N697" i="1" s="1"/>
  <c r="N682" i="1"/>
  <c r="M682" i="1"/>
  <c r="M635" i="1"/>
  <c r="N635" i="1" s="1"/>
  <c r="M591" i="1"/>
  <c r="N591" i="1" s="1"/>
  <c r="M579" i="1"/>
  <c r="N579" i="1" s="1"/>
  <c r="M568" i="1"/>
  <c r="N568" i="1" s="1"/>
  <c r="M546" i="1"/>
  <c r="N546" i="1" s="1"/>
  <c r="M540" i="1"/>
  <c r="N540" i="1" s="1"/>
  <c r="M536" i="1"/>
  <c r="N536" i="1" s="1"/>
  <c r="M527" i="1"/>
  <c r="N527" i="1" s="1"/>
  <c r="M503" i="1"/>
  <c r="N503" i="1" s="1"/>
  <c r="M484" i="1"/>
  <c r="N484" i="1" s="1"/>
  <c r="M438" i="1"/>
  <c r="N438" i="1" s="1"/>
  <c r="M386" i="1"/>
  <c r="N386" i="1" s="1"/>
  <c r="M362" i="1"/>
  <c r="N362" i="1" s="1"/>
  <c r="M266" i="1"/>
  <c r="N266" i="1" s="1"/>
  <c r="M237" i="1"/>
  <c r="N237" i="1" s="1"/>
  <c r="M228" i="1"/>
  <c r="N228" i="1" s="1"/>
  <c r="M224" i="1"/>
  <c r="N224" i="1" s="1"/>
  <c r="M190" i="1"/>
  <c r="N190" i="1" s="1"/>
  <c r="M182" i="1"/>
  <c r="N182" i="1" s="1"/>
  <c r="M158" i="1"/>
  <c r="N158" i="1" s="1"/>
  <c r="M62" i="1"/>
  <c r="N62" i="1" s="1"/>
  <c r="M40" i="1"/>
  <c r="N40" i="1" s="1"/>
  <c r="M14" i="1"/>
  <c r="N14" i="1" s="1"/>
  <c r="M578" i="1"/>
  <c r="N578" i="1" s="1"/>
  <c r="N567" i="1"/>
  <c r="M567" i="1"/>
  <c r="M520" i="1"/>
  <c r="N520" i="1" s="1"/>
  <c r="M179" i="1"/>
  <c r="N179" i="1" s="1"/>
  <c r="M690" i="1"/>
  <c r="N690" i="1" s="1"/>
  <c r="M665" i="1"/>
  <c r="N665" i="1" s="1"/>
  <c r="M659" i="1"/>
  <c r="N659" i="1" s="1"/>
  <c r="M654" i="1"/>
  <c r="N654" i="1" s="1"/>
  <c r="M607" i="1"/>
  <c r="N607" i="1" s="1"/>
  <c r="M604" i="1"/>
  <c r="N604" i="1" s="1"/>
  <c r="M553" i="1"/>
  <c r="N553" i="1" s="1"/>
  <c r="M545" i="1"/>
  <c r="N545" i="1" s="1"/>
  <c r="M526" i="1"/>
  <c r="N526" i="1" s="1"/>
  <c r="M524" i="1"/>
  <c r="N524" i="1" s="1"/>
  <c r="M480" i="1"/>
  <c r="N480" i="1" s="1"/>
  <c r="M464" i="1"/>
  <c r="N464" i="1" s="1"/>
  <c r="M424" i="1"/>
  <c r="N424" i="1" s="1"/>
  <c r="M399" i="1"/>
  <c r="N399" i="1" s="1"/>
  <c r="M368" i="1"/>
  <c r="N368" i="1" s="1"/>
  <c r="M361" i="1"/>
  <c r="N361" i="1" s="1"/>
  <c r="M332" i="1"/>
  <c r="N332" i="1" s="1"/>
  <c r="M306" i="1"/>
  <c r="N306" i="1" s="1"/>
  <c r="M298" i="1"/>
  <c r="N298" i="1" s="1"/>
  <c r="M293" i="1"/>
  <c r="N293" i="1" s="1"/>
  <c r="M272" i="1"/>
  <c r="N272" i="1" s="1"/>
  <c r="M269" i="1"/>
  <c r="N269" i="1" s="1"/>
  <c r="M227" i="1"/>
  <c r="N227" i="1" s="1"/>
  <c r="M211" i="1"/>
  <c r="N211" i="1" s="1"/>
  <c r="M174" i="1"/>
  <c r="N174" i="1" s="1"/>
  <c r="M167" i="1"/>
  <c r="N167" i="1" s="1"/>
  <c r="M140" i="1"/>
  <c r="N140" i="1" s="1"/>
  <c r="N138" i="1"/>
  <c r="M138" i="1"/>
  <c r="M113" i="1"/>
  <c r="N113" i="1" s="1"/>
  <c r="M55" i="1"/>
  <c r="N55" i="1" s="1"/>
  <c r="M48" i="1"/>
  <c r="N48" i="1" s="1"/>
  <c r="M470" i="1"/>
  <c r="N470" i="1" s="1"/>
  <c r="M439" i="1"/>
  <c r="N439" i="1" s="1"/>
  <c r="M240" i="1"/>
  <c r="N240" i="1" s="1"/>
  <c r="M223" i="1"/>
  <c r="N223" i="1" s="1"/>
  <c r="M95" i="1"/>
  <c r="N95" i="1" s="1"/>
  <c r="N20" i="1"/>
  <c r="M20" i="1"/>
  <c r="M699" i="1"/>
  <c r="N699" i="1" s="1"/>
  <c r="M696" i="1"/>
  <c r="N696" i="1" s="1"/>
  <c r="M681" i="1"/>
  <c r="N681" i="1" s="1"/>
  <c r="M677" i="1"/>
  <c r="N677" i="1" s="1"/>
  <c r="M671" i="1"/>
  <c r="N671" i="1" s="1"/>
  <c r="M668" i="1"/>
  <c r="N668" i="1" s="1"/>
  <c r="M664" i="1"/>
  <c r="N664" i="1" s="1"/>
  <c r="M630" i="1"/>
  <c r="N630" i="1" s="1"/>
  <c r="M627" i="1"/>
  <c r="N627" i="1" s="1"/>
  <c r="M622" i="1"/>
  <c r="N622" i="1" s="1"/>
  <c r="M614" i="1"/>
  <c r="N614" i="1" s="1"/>
  <c r="M557" i="1"/>
  <c r="N557" i="1" s="1"/>
  <c r="M552" i="1"/>
  <c r="N552" i="1" s="1"/>
  <c r="M539" i="1"/>
  <c r="N539" i="1" s="1"/>
  <c r="M529" i="1"/>
  <c r="N529" i="1" s="1"/>
  <c r="M510" i="1"/>
  <c r="N510" i="1" s="1"/>
  <c r="M504" i="1"/>
  <c r="N504" i="1" s="1"/>
  <c r="M502" i="1"/>
  <c r="N502" i="1" s="1"/>
  <c r="M500" i="1"/>
  <c r="N500" i="1" s="1"/>
  <c r="M497" i="1"/>
  <c r="N497" i="1" s="1"/>
  <c r="M494" i="1"/>
  <c r="N494" i="1" s="1"/>
  <c r="M492" i="1"/>
  <c r="N492" i="1" s="1"/>
  <c r="M489" i="1"/>
  <c r="N489" i="1" s="1"/>
  <c r="M488" i="1"/>
  <c r="N488" i="1" s="1"/>
  <c r="M469" i="1"/>
  <c r="N469" i="1" s="1"/>
  <c r="M432" i="1"/>
  <c r="N432" i="1" s="1"/>
  <c r="M428" i="1"/>
  <c r="N428" i="1" s="1"/>
  <c r="M418" i="1"/>
  <c r="N418" i="1" s="1"/>
  <c r="M357" i="1"/>
  <c r="N357" i="1" s="1"/>
  <c r="M324" i="1"/>
  <c r="N324" i="1" s="1"/>
  <c r="M317" i="1"/>
  <c r="N317" i="1" s="1"/>
  <c r="M302" i="1"/>
  <c r="N302" i="1" s="1"/>
  <c r="M286" i="1"/>
  <c r="N286" i="1" s="1"/>
  <c r="N282" i="1"/>
  <c r="M282" i="1"/>
  <c r="M278" i="1"/>
  <c r="N278" i="1" s="1"/>
  <c r="M265" i="1"/>
  <c r="N265" i="1" s="1"/>
  <c r="M254" i="1"/>
  <c r="N254" i="1" s="1"/>
  <c r="M246" i="1"/>
  <c r="N246" i="1" s="1"/>
  <c r="M243" i="1"/>
  <c r="N243" i="1" s="1"/>
  <c r="M221" i="1"/>
  <c r="N221" i="1" s="1"/>
  <c r="M204" i="1"/>
  <c r="N204" i="1" s="1"/>
  <c r="M189" i="1"/>
  <c r="N189" i="1" s="1"/>
  <c r="M173" i="1"/>
  <c r="N173" i="1" s="1"/>
  <c r="M159" i="1"/>
  <c r="N159" i="1" s="1"/>
  <c r="N157" i="1"/>
  <c r="M157" i="1"/>
  <c r="M144" i="1"/>
  <c r="N144" i="1" s="1"/>
  <c r="M130" i="1"/>
  <c r="N130" i="1" s="1"/>
  <c r="M111" i="1"/>
  <c r="N111" i="1" s="1"/>
  <c r="M107" i="1"/>
  <c r="N107" i="1" s="1"/>
  <c r="M102" i="1"/>
  <c r="N102" i="1" s="1"/>
  <c r="M54" i="1"/>
  <c r="N54" i="1" s="1"/>
  <c r="M47" i="1"/>
  <c r="N47" i="1" s="1"/>
  <c r="M45" i="1"/>
  <c r="N45" i="1" s="1"/>
  <c r="M43" i="1"/>
  <c r="N43" i="1" s="1"/>
  <c r="M39" i="1"/>
  <c r="N39" i="1" s="1"/>
  <c r="M13" i="1"/>
  <c r="N13" i="1" s="1"/>
  <c r="M544" i="1"/>
  <c r="N544" i="1" s="1"/>
  <c r="M519" i="1"/>
  <c r="N519" i="1" s="1"/>
  <c r="M458" i="1"/>
  <c r="N458" i="1" s="1"/>
  <c r="M281" i="1"/>
  <c r="N281" i="1" s="1"/>
  <c r="M268" i="1"/>
  <c r="N268" i="1" s="1"/>
  <c r="M233" i="1"/>
  <c r="N233" i="1" s="1"/>
  <c r="M166" i="1"/>
  <c r="N166" i="1" s="1"/>
  <c r="M137" i="1"/>
  <c r="N137" i="1" s="1"/>
  <c r="M98" i="1"/>
  <c r="N98" i="1" s="1"/>
  <c r="M36" i="1"/>
  <c r="N36" i="1" s="1"/>
  <c r="M26" i="1"/>
  <c r="N26" i="1" s="1"/>
  <c r="M689" i="1"/>
  <c r="N689" i="1" s="1"/>
  <c r="M657" i="1"/>
  <c r="N657" i="1" s="1"/>
  <c r="M656" i="1"/>
  <c r="N656" i="1" s="1"/>
  <c r="M634" i="1"/>
  <c r="N634" i="1" s="1"/>
  <c r="M597" i="1"/>
  <c r="N597" i="1" s="1"/>
  <c r="M525" i="1"/>
  <c r="N525" i="1" s="1"/>
  <c r="M523" i="1"/>
  <c r="N523" i="1" s="1"/>
  <c r="M509" i="1"/>
  <c r="N509" i="1" s="1"/>
  <c r="M506" i="1"/>
  <c r="N506" i="1" s="1"/>
  <c r="M490" i="1"/>
  <c r="N490" i="1" s="1"/>
  <c r="M483" i="1"/>
  <c r="N483" i="1" s="1"/>
  <c r="M476" i="1"/>
  <c r="N476" i="1" s="1"/>
  <c r="M456" i="1"/>
  <c r="N456" i="1" s="1"/>
  <c r="M454" i="1"/>
  <c r="N454" i="1" s="1"/>
  <c r="M437" i="1"/>
  <c r="N437" i="1" s="1"/>
  <c r="M417" i="1"/>
  <c r="N417" i="1" s="1"/>
  <c r="M409" i="1"/>
  <c r="N409" i="1" s="1"/>
  <c r="M402" i="1"/>
  <c r="N402" i="1" s="1"/>
  <c r="M398" i="1"/>
  <c r="N398" i="1" s="1"/>
  <c r="M367" i="1"/>
  <c r="N367" i="1" s="1"/>
  <c r="M352" i="1"/>
  <c r="N352" i="1" s="1"/>
  <c r="M349" i="1"/>
  <c r="N349" i="1" s="1"/>
  <c r="M345" i="1"/>
  <c r="N345" i="1" s="1"/>
  <c r="M338" i="1"/>
  <c r="N338" i="1" s="1"/>
  <c r="M336" i="1"/>
  <c r="N336" i="1" s="1"/>
  <c r="M326" i="1"/>
  <c r="N326" i="1" s="1"/>
  <c r="M301" i="1"/>
  <c r="N301" i="1" s="1"/>
  <c r="M289" i="1"/>
  <c r="N289" i="1" s="1"/>
  <c r="M285" i="1"/>
  <c r="N285" i="1" s="1"/>
  <c r="M261" i="1"/>
  <c r="N261" i="1" s="1"/>
  <c r="M259" i="1"/>
  <c r="N259" i="1" s="1"/>
  <c r="M249" i="1"/>
  <c r="N249" i="1" s="1"/>
  <c r="M210" i="1"/>
  <c r="N210" i="1" s="1"/>
  <c r="M161" i="1"/>
  <c r="N161" i="1" s="1"/>
  <c r="M133" i="1"/>
  <c r="N133" i="1" s="1"/>
  <c r="M119" i="1"/>
  <c r="N119" i="1" s="1"/>
  <c r="M94" i="1"/>
  <c r="N94" i="1" s="1"/>
  <c r="M86" i="1"/>
  <c r="N86" i="1" s="1"/>
  <c r="M85" i="1"/>
  <c r="N85" i="1" s="1"/>
  <c r="M80" i="1"/>
  <c r="N80" i="1" s="1"/>
  <c r="M77" i="1"/>
  <c r="N77" i="1" s="1"/>
  <c r="M41" i="1"/>
  <c r="N41" i="1" s="1"/>
  <c r="M33" i="1"/>
  <c r="N33" i="1" s="1"/>
  <c r="M29" i="1"/>
  <c r="N29" i="1" s="1"/>
  <c r="M27" i="1"/>
  <c r="N27" i="1" s="1"/>
  <c r="M25" i="1"/>
  <c r="N25" i="1" s="1"/>
  <c r="M675" i="1"/>
  <c r="N675" i="1" s="1"/>
  <c r="M653" i="1"/>
  <c r="N653" i="1" s="1"/>
  <c r="M577" i="1"/>
  <c r="N577" i="1" s="1"/>
  <c r="M566" i="1"/>
  <c r="N566" i="1" s="1"/>
  <c r="M479" i="1"/>
  <c r="N479" i="1" s="1"/>
  <c r="M466" i="1"/>
  <c r="N466" i="1" s="1"/>
  <c r="M431" i="1"/>
  <c r="N431" i="1" s="1"/>
  <c r="M323" i="1"/>
  <c r="N323" i="1" s="1"/>
  <c r="M316" i="1"/>
  <c r="N316" i="1" s="1"/>
  <c r="M196" i="1"/>
  <c r="N196" i="1" s="1"/>
  <c r="M165" i="1"/>
  <c r="N165" i="1" s="1"/>
  <c r="M156" i="1"/>
  <c r="N156" i="1" s="1"/>
  <c r="M42" i="1"/>
  <c r="N42" i="1" s="1"/>
  <c r="M695" i="1"/>
  <c r="N695" i="1" s="1"/>
  <c r="M680" i="1"/>
  <c r="N680" i="1" s="1"/>
  <c r="M673" i="1"/>
  <c r="N673" i="1" s="1"/>
  <c r="M670" i="1"/>
  <c r="N670" i="1" s="1"/>
  <c r="M658" i="1"/>
  <c r="N658" i="1" s="1"/>
  <c r="M649" i="1"/>
  <c r="N649" i="1" s="1"/>
  <c r="M648" i="1"/>
  <c r="N648" i="1" s="1"/>
  <c r="M637" i="1"/>
  <c r="N637" i="1" s="1"/>
  <c r="M632" i="1"/>
  <c r="N632" i="1" s="1"/>
  <c r="M629" i="1"/>
  <c r="N629" i="1" s="1"/>
  <c r="M592" i="1"/>
  <c r="N592" i="1" s="1"/>
  <c r="M585" i="1"/>
  <c r="N585" i="1" s="1"/>
  <c r="M555" i="1"/>
  <c r="N555" i="1" s="1"/>
  <c r="M533" i="1"/>
  <c r="N533" i="1" s="1"/>
  <c r="M531" i="1"/>
  <c r="N531" i="1" s="1"/>
  <c r="M508" i="1"/>
  <c r="N508" i="1" s="1"/>
  <c r="M493" i="1"/>
  <c r="N493" i="1" s="1"/>
  <c r="M463" i="1"/>
  <c r="N463" i="1" s="1"/>
  <c r="M453" i="1"/>
  <c r="N453" i="1" s="1"/>
  <c r="M451" i="1"/>
  <c r="N451" i="1" s="1"/>
  <c r="N443" i="1"/>
  <c r="M443" i="1"/>
  <c r="M423" i="1"/>
  <c r="N423" i="1" s="1"/>
  <c r="M420" i="1"/>
  <c r="N420" i="1" s="1"/>
  <c r="M416" i="1"/>
  <c r="N416" i="1" s="1"/>
  <c r="M411" i="1"/>
  <c r="N411" i="1" s="1"/>
  <c r="M404" i="1"/>
  <c r="N404" i="1" s="1"/>
  <c r="M394" i="1"/>
  <c r="N394" i="1" s="1"/>
  <c r="M390" i="1"/>
  <c r="N390" i="1" s="1"/>
  <c r="M385" i="1"/>
  <c r="N385" i="1" s="1"/>
  <c r="M378" i="1"/>
  <c r="N378" i="1" s="1"/>
  <c r="M376" i="1"/>
  <c r="N376" i="1" s="1"/>
  <c r="M366" i="1"/>
  <c r="N366" i="1" s="1"/>
  <c r="M360" i="1"/>
  <c r="N360" i="1" s="1"/>
  <c r="M337" i="1"/>
  <c r="N337" i="1" s="1"/>
  <c r="M331" i="1"/>
  <c r="N331" i="1" s="1"/>
  <c r="M328" i="1"/>
  <c r="N328" i="1" s="1"/>
  <c r="M305" i="1"/>
  <c r="N305" i="1" s="1"/>
  <c r="M288" i="1"/>
  <c r="N288" i="1" s="1"/>
  <c r="M284" i="1"/>
  <c r="N284" i="1" s="1"/>
  <c r="N264" i="1"/>
  <c r="M264" i="1"/>
  <c r="M258" i="1"/>
  <c r="N258" i="1" s="1"/>
  <c r="M236" i="1"/>
  <c r="N236" i="1" s="1"/>
  <c r="M226" i="1"/>
  <c r="N226" i="1" s="1"/>
  <c r="M209" i="1"/>
  <c r="N209" i="1" s="1"/>
  <c r="M202" i="1"/>
  <c r="N202" i="1" s="1"/>
  <c r="M184" i="1"/>
  <c r="N184" i="1" s="1"/>
  <c r="M181" i="1"/>
  <c r="N181" i="1" s="1"/>
  <c r="M178" i="1"/>
  <c r="N178" i="1" s="1"/>
  <c r="M154" i="1"/>
  <c r="N154" i="1" s="1"/>
  <c r="M134" i="1"/>
  <c r="N134" i="1" s="1"/>
  <c r="M124" i="1"/>
  <c r="N124" i="1" s="1"/>
  <c r="M118" i="1"/>
  <c r="N118" i="1" s="1"/>
  <c r="M116" i="1"/>
  <c r="N116" i="1" s="1"/>
  <c r="M109" i="1"/>
  <c r="N109" i="1" s="1"/>
  <c r="N92" i="1"/>
  <c r="M92" i="1"/>
  <c r="M89" i="1"/>
  <c r="N89" i="1" s="1"/>
  <c r="M83" i="1"/>
  <c r="N83" i="1" s="1"/>
  <c r="M72" i="1"/>
  <c r="N72" i="1" s="1"/>
  <c r="M15" i="1"/>
  <c r="N15" i="1" s="1"/>
  <c r="M12" i="1"/>
  <c r="N12" i="1" s="1"/>
  <c r="M576" i="1"/>
  <c r="N576" i="1" s="1"/>
  <c r="M565" i="1"/>
  <c r="N565" i="1" s="1"/>
  <c r="M406" i="1"/>
  <c r="N406" i="1" s="1"/>
  <c r="M396" i="1"/>
  <c r="N396" i="1" s="1"/>
  <c r="M239" i="1"/>
  <c r="N239" i="1" s="1"/>
  <c r="M222" i="1"/>
  <c r="N222" i="1" s="1"/>
  <c r="M688" i="1"/>
  <c r="N688" i="1" s="1"/>
  <c r="M672" i="1"/>
  <c r="N672" i="1" s="1"/>
  <c r="M646" i="1"/>
  <c r="N646" i="1" s="1"/>
  <c r="M645" i="1"/>
  <c r="N645" i="1" s="1"/>
  <c r="M641" i="1"/>
  <c r="N641" i="1" s="1"/>
  <c r="M639" i="1"/>
  <c r="N639" i="1" s="1"/>
  <c r="N621" i="1"/>
  <c r="M621" i="1"/>
  <c r="M619" i="1"/>
  <c r="N619" i="1" s="1"/>
  <c r="M613" i="1"/>
  <c r="N613" i="1" s="1"/>
  <c r="M606" i="1"/>
  <c r="N606" i="1" s="1"/>
  <c r="M601" i="1"/>
  <c r="N601" i="1" s="1"/>
  <c r="M596" i="1"/>
  <c r="N596" i="1" s="1"/>
  <c r="M543" i="1"/>
  <c r="N543" i="1" s="1"/>
  <c r="M514" i="1"/>
  <c r="N514" i="1" s="1"/>
  <c r="M511" i="1"/>
  <c r="N511" i="1" s="1"/>
  <c r="M474" i="1"/>
  <c r="N474" i="1" s="1"/>
  <c r="M462" i="1"/>
  <c r="N462" i="1" s="1"/>
  <c r="M445" i="1"/>
  <c r="N445" i="1" s="1"/>
  <c r="M434" i="1"/>
  <c r="N434" i="1" s="1"/>
  <c r="N401" i="1"/>
  <c r="M401" i="1"/>
  <c r="M393" i="1"/>
  <c r="N393" i="1" s="1"/>
  <c r="M381" i="1"/>
  <c r="N381" i="1" s="1"/>
  <c r="M315" i="1"/>
  <c r="N315" i="1" s="1"/>
  <c r="M297" i="1"/>
  <c r="N297" i="1" s="1"/>
  <c r="M271" i="1"/>
  <c r="N271" i="1" s="1"/>
  <c r="M220" i="1"/>
  <c r="N220" i="1" s="1"/>
  <c r="M150" i="1"/>
  <c r="N150" i="1" s="1"/>
  <c r="M132" i="1"/>
  <c r="N132" i="1" s="1"/>
  <c r="M115" i="1"/>
  <c r="N115" i="1" s="1"/>
  <c r="M3" i="1"/>
  <c r="N3" i="1" s="1"/>
  <c r="M663" i="1"/>
  <c r="N663" i="1" s="1"/>
  <c r="M575" i="1"/>
  <c r="N575" i="1" s="1"/>
  <c r="M564" i="1"/>
  <c r="N564" i="1" s="1"/>
  <c r="M304" i="1"/>
  <c r="N304" i="1" s="1"/>
  <c r="M651" i="1"/>
  <c r="N651" i="1" s="1"/>
  <c r="M624" i="1"/>
  <c r="N624" i="1" s="1"/>
  <c r="M414" i="1"/>
  <c r="N414" i="1" s="1"/>
  <c r="M384" i="1"/>
  <c r="N384" i="1" s="1"/>
  <c r="M377" i="1"/>
  <c r="N377" i="1" s="1"/>
  <c r="M330" i="1"/>
  <c r="N330" i="1" s="1"/>
  <c r="M322" i="1"/>
  <c r="N322" i="1" s="1"/>
  <c r="M314" i="1"/>
  <c r="N314" i="1" s="1"/>
  <c r="M310" i="1"/>
  <c r="N310" i="1" s="1"/>
  <c r="M263" i="1"/>
  <c r="N263" i="1" s="1"/>
  <c r="M201" i="1"/>
  <c r="N201" i="1" s="1"/>
  <c r="M164" i="1"/>
  <c r="N164" i="1" s="1"/>
  <c r="M283" i="1"/>
  <c r="N283" i="1" s="1"/>
  <c r="M217" i="1"/>
  <c r="N217" i="1" s="1"/>
  <c r="M46" i="1"/>
  <c r="N46" i="1" s="1"/>
  <c r="M11" i="1"/>
  <c r="N11" i="1" s="1"/>
  <c r="M5" i="1"/>
  <c r="N5" i="1" s="1"/>
  <c r="M652" i="1"/>
  <c r="N652" i="1" s="1"/>
  <c r="M620" i="1"/>
  <c r="N620" i="1" s="1"/>
  <c r="M612" i="1"/>
  <c r="N612" i="1" s="1"/>
  <c r="M610" i="1"/>
  <c r="N610" i="1" s="1"/>
  <c r="M550" i="1"/>
  <c r="N550" i="1" s="1"/>
  <c r="M549" i="1"/>
  <c r="N549" i="1" s="1"/>
  <c r="M518" i="1"/>
  <c r="N518" i="1" s="1"/>
  <c r="M499" i="1"/>
  <c r="N499" i="1" s="1"/>
  <c r="M496" i="1"/>
  <c r="N496" i="1" s="1"/>
  <c r="M461" i="1"/>
  <c r="N461" i="1" s="1"/>
  <c r="M448" i="1"/>
  <c r="N448" i="1" s="1"/>
  <c r="M436" i="1"/>
  <c r="N436" i="1" s="1"/>
  <c r="M422" i="1"/>
  <c r="N422" i="1" s="1"/>
  <c r="M413" i="1"/>
  <c r="N413" i="1" s="1"/>
  <c r="M408" i="1"/>
  <c r="N408" i="1" s="1"/>
  <c r="M369" i="1"/>
  <c r="N369" i="1" s="1"/>
  <c r="M348" i="1"/>
  <c r="N348" i="1" s="1"/>
  <c r="M341" i="1"/>
  <c r="N341" i="1" s="1"/>
  <c r="M309" i="1"/>
  <c r="N309" i="1" s="1"/>
  <c r="M303" i="1"/>
  <c r="N303" i="1" s="1"/>
  <c r="M296" i="1"/>
  <c r="N296" i="1" s="1"/>
  <c r="M292" i="1"/>
  <c r="N292" i="1" s="1"/>
  <c r="M253" i="1"/>
  <c r="N253" i="1" s="1"/>
  <c r="M247" i="1"/>
  <c r="N247" i="1" s="1"/>
  <c r="M235" i="1"/>
  <c r="N235" i="1" s="1"/>
  <c r="M199" i="1"/>
  <c r="N199" i="1" s="1"/>
  <c r="M172" i="1"/>
  <c r="N172" i="1" s="1"/>
  <c r="M155" i="1"/>
  <c r="N155" i="1" s="1"/>
  <c r="M153" i="1"/>
  <c r="N153" i="1" s="1"/>
  <c r="M149" i="1"/>
  <c r="N149" i="1" s="1"/>
  <c r="M127" i="1"/>
  <c r="N127" i="1" s="1"/>
  <c r="M117" i="1"/>
  <c r="N117" i="1" s="1"/>
  <c r="M66" i="1"/>
  <c r="N66" i="1" s="1"/>
  <c r="M60" i="1"/>
  <c r="N60" i="1" s="1"/>
  <c r="M53" i="1"/>
  <c r="N53" i="1" s="1"/>
  <c r="M24" i="1"/>
  <c r="N24" i="1" s="1"/>
  <c r="M19" i="1"/>
  <c r="N19" i="1" s="1"/>
  <c r="M662" i="1"/>
  <c r="N662" i="1" s="1"/>
  <c r="M574" i="1"/>
  <c r="N574" i="1" s="1"/>
  <c r="M563" i="1"/>
  <c r="N563" i="1" s="1"/>
  <c r="M542" i="1"/>
  <c r="N542" i="1" s="1"/>
  <c r="M478" i="1"/>
  <c r="N478" i="1" s="1"/>
  <c r="M457" i="1"/>
  <c r="N457" i="1" s="1"/>
  <c r="M444" i="1"/>
  <c r="N444" i="1" s="1"/>
  <c r="M380" i="1"/>
  <c r="N380" i="1" s="1"/>
  <c r="M364" i="1"/>
  <c r="N364" i="1" s="1"/>
  <c r="M260" i="1"/>
  <c r="N260" i="1" s="1"/>
  <c r="M203" i="1"/>
  <c r="N203" i="1" s="1"/>
  <c r="M162" i="1"/>
  <c r="N162" i="1" s="1"/>
  <c r="M35" i="1"/>
  <c r="N35" i="1" s="1"/>
  <c r="M694" i="1"/>
  <c r="N694" i="1" s="1"/>
  <c r="M693" i="1"/>
  <c r="N693" i="1" s="1"/>
  <c r="M687" i="1"/>
  <c r="N687" i="1" s="1"/>
  <c r="M644" i="1"/>
  <c r="N644" i="1" s="1"/>
  <c r="M530" i="1"/>
  <c r="N530" i="1" s="1"/>
  <c r="M522" i="1"/>
  <c r="N522" i="1" s="1"/>
  <c r="M473" i="1"/>
  <c r="N473" i="1" s="1"/>
  <c r="M460" i="1"/>
  <c r="N460" i="1" s="1"/>
  <c r="M430" i="1"/>
  <c r="N430" i="1" s="1"/>
  <c r="M400" i="1"/>
  <c r="N400" i="1" s="1"/>
  <c r="M373" i="1"/>
  <c r="N373" i="1" s="1"/>
  <c r="M370" i="1"/>
  <c r="N370" i="1" s="1"/>
  <c r="M347" i="1"/>
  <c r="N347" i="1" s="1"/>
  <c r="M344" i="1"/>
  <c r="N344" i="1" s="1"/>
  <c r="M340" i="1"/>
  <c r="N340" i="1" s="1"/>
  <c r="M329" i="1"/>
  <c r="N329" i="1" s="1"/>
  <c r="M321" i="1"/>
  <c r="N321" i="1" s="1"/>
  <c r="M295" i="1"/>
  <c r="N295" i="1" s="1"/>
  <c r="M290" i="1"/>
  <c r="N290" i="1" s="1"/>
  <c r="M279" i="1"/>
  <c r="N279" i="1" s="1"/>
  <c r="M277" i="1"/>
  <c r="N277" i="1" s="1"/>
  <c r="M252" i="1"/>
  <c r="N252" i="1" s="1"/>
  <c r="M244" i="1"/>
  <c r="N244" i="1" s="1"/>
  <c r="M242" i="1"/>
  <c r="N242" i="1" s="1"/>
  <c r="M238" i="1"/>
  <c r="N238" i="1" s="1"/>
  <c r="M230" i="1"/>
  <c r="N230" i="1" s="1"/>
  <c r="M208" i="1"/>
  <c r="N208" i="1" s="1"/>
  <c r="M152" i="1"/>
  <c r="N152" i="1" s="1"/>
  <c r="M143" i="1"/>
  <c r="N143" i="1" s="1"/>
  <c r="M121" i="1"/>
  <c r="N121" i="1" s="1"/>
  <c r="M114" i="1"/>
  <c r="N114" i="1" s="1"/>
  <c r="M112" i="1"/>
  <c r="N112" i="1" s="1"/>
  <c r="M110" i="1"/>
  <c r="N110" i="1" s="1"/>
  <c r="M108" i="1"/>
  <c r="N108" i="1" s="1"/>
  <c r="M104" i="1"/>
  <c r="N104" i="1" s="1"/>
  <c r="M101" i="1"/>
  <c r="N101" i="1" s="1"/>
  <c r="M82" i="1"/>
  <c r="N82" i="1" s="1"/>
  <c r="M69" i="1"/>
  <c r="N69" i="1" s="1"/>
  <c r="M67" i="1"/>
  <c r="N67" i="1" s="1"/>
  <c r="M59" i="1"/>
  <c r="N59" i="1" s="1"/>
  <c r="M32" i="1"/>
  <c r="N32" i="1" s="1"/>
  <c r="M28" i="1"/>
  <c r="N28" i="1" s="1"/>
  <c r="M9" i="1"/>
  <c r="N9" i="1" s="1"/>
  <c r="M6" i="1"/>
  <c r="N6" i="1" s="1"/>
  <c r="M2" i="1"/>
  <c r="N2" i="1" s="1"/>
  <c r="M631" i="1"/>
  <c r="N631" i="1" s="1"/>
  <c r="N442" i="1"/>
  <c r="M442" i="1"/>
  <c r="M392" i="1"/>
  <c r="N392" i="1" s="1"/>
  <c r="M387" i="1"/>
  <c r="N387" i="1" s="1"/>
  <c r="M198" i="1"/>
  <c r="N198" i="1" s="1"/>
  <c r="M23" i="1"/>
  <c r="N23" i="1" s="1"/>
  <c r="M4" i="1"/>
  <c r="N4" i="1" s="1"/>
  <c r="M701" i="1"/>
  <c r="N701" i="1" s="1"/>
  <c r="N692" i="1"/>
  <c r="M692" i="1"/>
  <c r="M647" i="1"/>
  <c r="N647" i="1" s="1"/>
  <c r="M633" i="1"/>
  <c r="N633" i="1" s="1"/>
  <c r="M599" i="1"/>
  <c r="N599" i="1" s="1"/>
  <c r="M598" i="1"/>
  <c r="N598" i="1" s="1"/>
  <c r="M589" i="1"/>
  <c r="N589" i="1" s="1"/>
  <c r="M587" i="1"/>
  <c r="N587" i="1" s="1"/>
  <c r="M584" i="1"/>
  <c r="N584" i="1" s="1"/>
  <c r="M560" i="1"/>
  <c r="N560" i="1" s="1"/>
  <c r="M559" i="1"/>
  <c r="N559" i="1" s="1"/>
  <c r="M558" i="1"/>
  <c r="N558" i="1" s="1"/>
  <c r="M538" i="1"/>
  <c r="N538" i="1" s="1"/>
  <c r="M535" i="1"/>
  <c r="N535" i="1" s="1"/>
  <c r="M517" i="1"/>
  <c r="N517" i="1" s="1"/>
  <c r="M485" i="1"/>
  <c r="N485" i="1" s="1"/>
  <c r="M426" i="1"/>
  <c r="N426" i="1" s="1"/>
  <c r="M371" i="1"/>
  <c r="N371" i="1" s="1"/>
  <c r="M355" i="1"/>
  <c r="N355" i="1" s="1"/>
  <c r="M334" i="1"/>
  <c r="N334" i="1" s="1"/>
  <c r="M313" i="1"/>
  <c r="N313" i="1" s="1"/>
  <c r="M312" i="1"/>
  <c r="N312" i="1" s="1"/>
  <c r="M276" i="1"/>
  <c r="N276" i="1" s="1"/>
  <c r="M270" i="1"/>
  <c r="N270" i="1" s="1"/>
  <c r="M256" i="1"/>
  <c r="N256" i="1" s="1"/>
  <c r="M232" i="1"/>
  <c r="N232" i="1" s="1"/>
  <c r="M193" i="1"/>
  <c r="N193" i="1" s="1"/>
  <c r="M188" i="1"/>
  <c r="N188" i="1" s="1"/>
  <c r="M151" i="1"/>
  <c r="N151" i="1" s="1"/>
  <c r="M146" i="1"/>
  <c r="N146" i="1" s="1"/>
  <c r="M139" i="1"/>
  <c r="N139" i="1" s="1"/>
  <c r="M100" i="1"/>
  <c r="N100" i="1" s="1"/>
  <c r="M97" i="1"/>
  <c r="N97" i="1" s="1"/>
  <c r="M91" i="1"/>
  <c r="N91" i="1" s="1"/>
  <c r="M87" i="1"/>
  <c r="N87" i="1" s="1"/>
  <c r="M81" i="1"/>
  <c r="N81" i="1" s="1"/>
  <c r="M74" i="1"/>
  <c r="N74" i="1" s="1"/>
  <c r="M52" i="1"/>
  <c r="N52" i="1" s="1"/>
  <c r="M562" i="1"/>
  <c r="N562" i="1" s="1"/>
  <c r="M661" i="1"/>
  <c r="N661" i="1" s="1"/>
  <c r="M643" i="1"/>
  <c r="N643" i="1" s="1"/>
  <c r="M628" i="1"/>
  <c r="N628" i="1" s="1"/>
  <c r="M626" i="1"/>
  <c r="N626" i="1" s="1"/>
  <c r="M603" i="1"/>
  <c r="N603" i="1" s="1"/>
  <c r="M573" i="1"/>
  <c r="N573" i="1" s="1"/>
  <c r="M410" i="1"/>
  <c r="N410" i="1" s="1"/>
  <c r="M356" i="1"/>
  <c r="N356" i="1" s="1"/>
  <c r="M335" i="1"/>
  <c r="N335" i="1" s="1"/>
  <c r="M251" i="1"/>
  <c r="N251" i="1" s="1"/>
  <c r="M171" i="1"/>
  <c r="N171" i="1" s="1"/>
  <c r="M76" i="1"/>
  <c r="N76" i="1" s="1"/>
  <c r="M61" i="1"/>
  <c r="N61" i="1" s="1"/>
  <c r="M8" i="1"/>
  <c r="N8" i="1" s="1"/>
</calcChain>
</file>

<file path=xl/sharedStrings.xml><?xml version="1.0" encoding="utf-8"?>
<sst xmlns="http://schemas.openxmlformats.org/spreadsheetml/2006/main" count="5151" uniqueCount="1071">
  <si>
    <t>Sucursal</t>
  </si>
  <si>
    <t>Cajero</t>
  </si>
  <si>
    <t>Marca</t>
  </si>
  <si>
    <t>Marca herramienta</t>
  </si>
  <si>
    <t>Fecha descarga arqueo</t>
  </si>
  <si>
    <t xml:space="preserve">Fecha Arqueo </t>
  </si>
  <si>
    <t>Hora Arqueo</t>
  </si>
  <si>
    <t>Efectivo Arqueado /Arqueo fisico saldo contadores</t>
  </si>
  <si>
    <t xml:space="preserve">Saldo Contable </t>
  </si>
  <si>
    <t>dispensado_corte_arqueo</t>
  </si>
  <si>
    <t>recibido_corte_arqueo</t>
  </si>
  <si>
    <t>Remanente /Provisión /Ajustes</t>
  </si>
  <si>
    <t>Diferencia</t>
  </si>
  <si>
    <t>Naturaleza</t>
  </si>
  <si>
    <t>Gestión a Realizar</t>
  </si>
  <si>
    <t>Documento responsable</t>
  </si>
  <si>
    <t>DIEBOLD</t>
  </si>
  <si>
    <t>16:45:00</t>
  </si>
  <si>
    <t>Gestión manual - Revisar por el personal encargado</t>
  </si>
  <si>
    <t>BELLTECH</t>
  </si>
  <si>
    <t>18:12:23</t>
  </si>
  <si>
    <t>La diferencia es contabilizada por la Gerencia De Autoservicios y Efectivo de manera centralizada a la cuenta de sobrantes 279510020 el 24/03/2026</t>
  </si>
  <si>
    <t>14:07:00</t>
  </si>
  <si>
    <t>09:28:00</t>
  </si>
  <si>
    <t>16:31:00</t>
  </si>
  <si>
    <t>11:14:00</t>
  </si>
  <si>
    <t>09:44:00</t>
  </si>
  <si>
    <t>10:15:00</t>
  </si>
  <si>
    <t>El faltante $7.337.500 es cruzado con sobrante contabilizado el día 05/02/2026 ($2.900.000), el día 05/02/2026 ($4.437.500) el cual es reversado por la seccion el día 24/03/2026</t>
  </si>
  <si>
    <t>14:24:00</t>
  </si>
  <si>
    <t>09:36:00</t>
  </si>
  <si>
    <t>14:12:00</t>
  </si>
  <si>
    <t>10:49:00</t>
  </si>
  <si>
    <t>El faltante $259.950 es cruzado con sobrante contabilizado el día 19/03/2026 ($60.000), el día 20/03/2026 ($199.950) el cual es reversado por la seccion el día 24/03/2026</t>
  </si>
  <si>
    <t>11:23:00</t>
  </si>
  <si>
    <t>08:54:00</t>
  </si>
  <si>
    <t>13:59:00</t>
  </si>
  <si>
    <t>Cajero cuadrado, sin observación por parte de la sucursal</t>
  </si>
  <si>
    <t>09:08:00</t>
  </si>
  <si>
    <t>La diferencia es contabilizada por la Gerencia De Autoservicios y Efectivo de manera centralizada a la cuenta de sobrantes 279510020 el 20/03/2026</t>
  </si>
  <si>
    <t>09:25:00</t>
  </si>
  <si>
    <t>El faltante $90.050 es cruzado con sobrante contabilizado el día 03/03/2026 ($90.050) el cual es reversado por la seccion el día 20/03/2026</t>
  </si>
  <si>
    <t>10:24:00</t>
  </si>
  <si>
    <t>El faltante $90.000 es cruzado con sobrante contabilizado el día 19/03/2026 ($90.000) el cual es reversado por la seccion el día 20/03/2026</t>
  </si>
  <si>
    <t>11:10:00</t>
  </si>
  <si>
    <t>09:03:00</t>
  </si>
  <si>
    <t>El faltante $10.400 es cruzado con sobrante contabilizado el día 13/03/2026 ($10.400) el cual es reversado por la seccion el día 20/03/2026</t>
  </si>
  <si>
    <t>10:51:00</t>
  </si>
  <si>
    <t>09:20:00</t>
  </si>
  <si>
    <t>La diferencia es contabilizada por la Gerencia De Autoservicios y Efectivo de manera centralizada a la cuenta de faltantes 168710093 el 20/03/2026, esta diferencia ingresa a proceso de investigación en el área para identificar a que corresponde.</t>
  </si>
  <si>
    <t>15:01:00</t>
  </si>
  <si>
    <t>09:43:00</t>
  </si>
  <si>
    <t>El faltante $1.960.000 es cruzado con sobrante contabilizado el día 11/03/2026 ($1.960.000) el cual es reversado por la seccion el día 20/03/2026</t>
  </si>
  <si>
    <t>10:40:00</t>
  </si>
  <si>
    <t>10:54:00</t>
  </si>
  <si>
    <t>11:02:00</t>
  </si>
  <si>
    <t>14:45:00</t>
  </si>
  <si>
    <t>09:41:00</t>
  </si>
  <si>
    <t>09:24:00</t>
  </si>
  <si>
    <t>ACLARAR DIFERENCIA Y REPETIR EL ARQUEO</t>
  </si>
  <si>
    <t>09:56:00</t>
  </si>
  <si>
    <t>El faltante $1.357.500 es cruzado con sobrante contabilizado el día 05/02/2026 ($120.000), el día 05/02/2026 ($215.000), el día 05/02/2026 ($472.000), el día 05/02/2026 ($2.600), el día 05/02/2026 ($400.000), el día 04/03/2026 ($73.700), el día 06/03/2026 ($26.800), el día 11/03/2026 ($47.400) el cual es reversado por la seccion el día 20/03/2026</t>
  </si>
  <si>
    <t>El faltante $29.950 es cruzado con sobrante contabilizado el día 18/03/2026 ($29.950) el cual es reversado por la seccion el día 20/03/2026</t>
  </si>
  <si>
    <t>13:42:00</t>
  </si>
  <si>
    <t>09:10:00</t>
  </si>
  <si>
    <t>11:37:00</t>
  </si>
  <si>
    <t>15:21:00</t>
  </si>
  <si>
    <t>El faltante $3.823.000 es cruzado con sobrante contabilizado el día 13/03/2026 ($3.120.000), el día 16/03/2026 ($703.000) el cual es reversado por la seccion el día 20/03/2026</t>
  </si>
  <si>
    <t>10:18:00</t>
  </si>
  <si>
    <t>El faltante $40.000 es cruzado con sobrante contabilizado el día 10/03/2026 ($40.000) el cual es reversado por la seccion el día 20/03/2026</t>
  </si>
  <si>
    <t>15:42:00</t>
  </si>
  <si>
    <t>09:13:00</t>
  </si>
  <si>
    <t>10:14:00</t>
  </si>
  <si>
    <t>15:46:00</t>
  </si>
  <si>
    <t>15:27:00</t>
  </si>
  <si>
    <t>15:10:00</t>
  </si>
  <si>
    <t>El faltante $1.291.700 es cruzado con sobrante contabilizado el día 13/03/2026 ($1.291.700) el cual es reversado por la seccion el día 20/03/2026</t>
  </si>
  <si>
    <t>08:53:00</t>
  </si>
  <si>
    <t>10:10:00</t>
  </si>
  <si>
    <t>10:38:00</t>
  </si>
  <si>
    <t>08:58:00</t>
  </si>
  <si>
    <t>08:13:00</t>
  </si>
  <si>
    <t>16:34:00</t>
  </si>
  <si>
    <t>14:28:00</t>
  </si>
  <si>
    <t>El faltante $1.730.000 es cruzado con sobrante contabilizado el día 10/03/2026 ($1.730.000) el cual es reversado por la seccion el día 20/03/2026</t>
  </si>
  <si>
    <t>09:07:00</t>
  </si>
  <si>
    <t>07:47:00</t>
  </si>
  <si>
    <t>08:45:29</t>
  </si>
  <si>
    <t>08:11:00</t>
  </si>
  <si>
    <t>08:38:00</t>
  </si>
  <si>
    <t>El faltante $2.250.000 es cruzado con sobrante contabilizado el día 19/03/2026 ($2.250.000) el cual es reversado por la seccion el día 20/03/2026</t>
  </si>
  <si>
    <t>08:02:00</t>
  </si>
  <si>
    <t>El faltante $3.560.000 es cruzado con sobrante contabilizado el día 17/03/2026 ($2.280.000), el día 19/03/2026 ($1.280.000) el cual es reversado por la seccion el día 20/03/2026</t>
  </si>
  <si>
    <t>08:23:00</t>
  </si>
  <si>
    <t>12:06:00</t>
  </si>
  <si>
    <t>La diferencia es contabilizada por la Gerencia De Autoservicios y Efectivo de manera centralizada a la cuenta de sobrantes 279510020 el 19/03/2026</t>
  </si>
  <si>
    <t>11:41:00</t>
  </si>
  <si>
    <t>09:05:00</t>
  </si>
  <si>
    <t xml:space="preserve"> -   </t>
  </si>
  <si>
    <t>09:54:00</t>
  </si>
  <si>
    <t>08:36:00</t>
  </si>
  <si>
    <t>El faltante $785.800 es cruzado con sobrante contabilizado el día 12/03/2026 el cual es reversado por la seccion el día 19/03/2026</t>
  </si>
  <si>
    <t>09:22:00</t>
  </si>
  <si>
    <t>09:57:00</t>
  </si>
  <si>
    <t>15:12:00</t>
  </si>
  <si>
    <t>08:50:00</t>
  </si>
  <si>
    <t>15:25:00</t>
  </si>
  <si>
    <t>13:17:00</t>
  </si>
  <si>
    <t>10:32:00</t>
  </si>
  <si>
    <t>El faltante $1.337.000 es cruzado con sobrante contabilizado el día 11/03/2026 $200.000 y sobrante contabilizado el día 13/03/2026 $1.137.000 el cual es reversado por la seccion el día 19/03/2026</t>
  </si>
  <si>
    <t>08:47:00</t>
  </si>
  <si>
    <t>09:38:00</t>
  </si>
  <si>
    <t>11:12:00</t>
  </si>
  <si>
    <t>El faltante $495.050 es cruzado con sobrante contabilizado el día 04/03/2026 el cual es reversado por la seccion el día 19/03/2026</t>
  </si>
  <si>
    <t>12:19:00</t>
  </si>
  <si>
    <t>09:16:00</t>
  </si>
  <si>
    <t>14:05:00</t>
  </si>
  <si>
    <t>09:46:00</t>
  </si>
  <si>
    <t>El faltante $387.000 es cruzado con sobrante contabilizado el día 10/03/2026 $340.000 y sobrante contabilizado el día 12/03/2026 $47.000 el cual es reversado por la seccion el día 19/03/2026</t>
  </si>
  <si>
    <t>08:43:34</t>
  </si>
  <si>
    <t>09:27:00</t>
  </si>
  <si>
    <t>El faltante $1.600.000 es cruzado con sobrante contabilizado el día 18/03/2026 el cual es reversado por la seccion el día 19/03/2026</t>
  </si>
  <si>
    <t>16:49:00</t>
  </si>
  <si>
    <t>La diferencia es contabilizada por la Gerencia De Autoservicios y Efectivo de manera centralizada a la cuenta de faltantes 168710093 el 19/03/2026, esta diferencia ingresa a proceso de investigación en el área para identificar a que corresponde.</t>
  </si>
  <si>
    <t>08:49:00</t>
  </si>
  <si>
    <t>08:57:00</t>
  </si>
  <si>
    <t>El faltante $450 es cruzado con sobrante contabilizado el día 18/03/2026 el cual es reversado por la seccion el día 19/03/2026</t>
  </si>
  <si>
    <t>09:11:00</t>
  </si>
  <si>
    <t>08:37:00</t>
  </si>
  <si>
    <t>El faltante $670.000 es cruzado con sobrante contabilizado el día 04/03/2026 el cual es reversado por la seccion el día 19/03/2026</t>
  </si>
  <si>
    <t>10:22:00</t>
  </si>
  <si>
    <t>11:11:00</t>
  </si>
  <si>
    <t>El faltante $130.000 es cruzado con sobrante contabilizado el día 10/03/2026 $111.950 y sobrante contabilizado el día 17/03/2026 $18.050 el cual es reversado por la seccion el día 19/03/2026</t>
  </si>
  <si>
    <t>13:47:00</t>
  </si>
  <si>
    <t>09:29:00</t>
  </si>
  <si>
    <t>10:59:00</t>
  </si>
  <si>
    <t>10:11:00</t>
  </si>
  <si>
    <t>10:12:00</t>
  </si>
  <si>
    <t>El faltante $2.958.500 es cruzado con sobrante contabilizado el día 17/03/2026 $2.880.000 y sobrante contabilizado el día 18/03/2026 $78.500 el cual es reversado por la seccion el día 19/03/2026</t>
  </si>
  <si>
    <t>11:04:00</t>
  </si>
  <si>
    <t>11:48:00</t>
  </si>
  <si>
    <t>10:44:00</t>
  </si>
  <si>
    <t>10:04:00</t>
  </si>
  <si>
    <t>14:38:00</t>
  </si>
  <si>
    <t>08:28:33</t>
  </si>
  <si>
    <t>10:25:00</t>
  </si>
  <si>
    <t>14:18:00</t>
  </si>
  <si>
    <t>El faltante $40.000 es cruzado con sobrante contabilizado el día 18/03/2026 el cual es reversado por la seccion el día 19/03/2026</t>
  </si>
  <si>
    <t>09:42:00</t>
  </si>
  <si>
    <t>09:17:00</t>
  </si>
  <si>
    <t>15:19:00</t>
  </si>
  <si>
    <t>09:51:00</t>
  </si>
  <si>
    <t>14:17:00</t>
  </si>
  <si>
    <t>14:01:00</t>
  </si>
  <si>
    <t>10:00:00</t>
  </si>
  <si>
    <t>11:20:00</t>
  </si>
  <si>
    <t>La diferencia es contabilizada por la Gerencia De Autoservicios y Efectivo de manera centralizada a la cuenta de sobrantes 279510020 el 18/03/2026</t>
  </si>
  <si>
    <t>15:06:00</t>
  </si>
  <si>
    <t>09:45:00</t>
  </si>
  <si>
    <t>11:19:00</t>
  </si>
  <si>
    <t>15:50:00</t>
  </si>
  <si>
    <t>09:19:00</t>
  </si>
  <si>
    <t>07:10:00</t>
  </si>
  <si>
    <t>El faltante $3.771.250 es cruzado con sobrante contabilizado el día 17/03/2026 ($3.771.250) el cual es reversado por la seccion el día 18/03/2026</t>
  </si>
  <si>
    <t>La diferencia es contabilizada por la Gerencia De Autoservicios y Efectivo de manera centralizada a la cuenta de faltantes 168710093 el 18/03/2026, esta diferencia ingresa a proceso de investigación en el área para identificar a que corresponde.</t>
  </si>
  <si>
    <t>13:33:00</t>
  </si>
  <si>
    <t>08:55:00</t>
  </si>
  <si>
    <t>08:46:23</t>
  </si>
  <si>
    <t>08:40:00</t>
  </si>
  <si>
    <t>10:21:00</t>
  </si>
  <si>
    <t>10:03:00</t>
  </si>
  <si>
    <t>10:16:00</t>
  </si>
  <si>
    <t>El faltante $3.373.950 es cruzado con sobrante contabilizado el día 11/03/2026 ($399.900), el día 12/03/2026 ($1.800.000), el día 13/03/2026 ($1.174.050) el cual es reversado por la seccion el día 18/03/2026</t>
  </si>
  <si>
    <t>11:30:00</t>
  </si>
  <si>
    <t>09:37:51</t>
  </si>
  <si>
    <t>14:04:00</t>
  </si>
  <si>
    <t>08:48:00</t>
  </si>
  <si>
    <t>11:38:00</t>
  </si>
  <si>
    <t>12:10:00</t>
  </si>
  <si>
    <t>El faltante $490.000 es cruzado con sobrante contabilizado el día 04/03/2026 ($490.000) el cual es reversado por la seccion el día 18/03/2026</t>
  </si>
  <si>
    <t>11:28:00</t>
  </si>
  <si>
    <t>11:16:00</t>
  </si>
  <si>
    <t>14:30:00</t>
  </si>
  <si>
    <t>10:55:00</t>
  </si>
  <si>
    <t>El faltante $1.812.000 es cruzado con sobrante contabilizado el día 13/03/2026 ($992.000), el día 16/03/2026 ($820.000) el cual es reversado por la seccion el día 18/03/2026</t>
  </si>
  <si>
    <t>El faltante $590.000 es cruzado con sobrante contabilizado el día 05/03/2026 ($590.000) el cual es reversado por la seccion el día 18/03/2026</t>
  </si>
  <si>
    <t>15:30:00</t>
  </si>
  <si>
    <t>10:07:00</t>
  </si>
  <si>
    <t>El faltante $967.000 es cruzado con sobrante contabilizado el día 11/03/2026 ($967.000) el cual es reversado por la seccion el día 18/03/2026</t>
  </si>
  <si>
    <t>El faltante $3.691.000 es cruzado con sobrante contabilizado el día 11/03/2026 ($3.691.000) el cual es reversado por la seccion el día 18/03/2026</t>
  </si>
  <si>
    <t>14:54:00</t>
  </si>
  <si>
    <t>El faltante $2.889.600 es cruzado con sobrante contabilizado el día 12/03/2026 ($2.080.000), el día 17/03/2026 ($809.600) el cual es reversado por la seccion el día 18/03/2026</t>
  </si>
  <si>
    <t>13:23:00</t>
  </si>
  <si>
    <t>El faltante $1.390.000 es cruzado con sobrante contabilizado el día 04/03/2026 ($310.000), el día 06/03/2026 ($880.000), el día 10/03/2026 ($190.000), el día 11/03/2026 ($10.000) el cual es reversado por la seccion el día 18/03/2026</t>
  </si>
  <si>
    <t>12:12:00</t>
  </si>
  <si>
    <t>09:40:00</t>
  </si>
  <si>
    <t>10:41:00</t>
  </si>
  <si>
    <t>09:31:00</t>
  </si>
  <si>
    <t>10:23:00</t>
  </si>
  <si>
    <t>08:44:00</t>
  </si>
  <si>
    <t>08:49:46</t>
  </si>
  <si>
    <t>09:18:00</t>
  </si>
  <si>
    <t>El faltante $3.191.000 es cruzado con sobrante contabilizado el día 10/03/2026 ($1.290.000), el día 11/03/2026 ($1.901.000) el cual es reversado por la seccion el día 17/03/2026</t>
  </si>
  <si>
    <t>09:30:00</t>
  </si>
  <si>
    <t>09:52:00</t>
  </si>
  <si>
    <t>El faltante $1.350.000 es cruzado con sobrante contabilizado el día 12/03/2026 ($1.350.000) el cual es reversado por la seccion el día 17/03/2026</t>
  </si>
  <si>
    <t>10:37:00</t>
  </si>
  <si>
    <t>El faltante $20.090.000 es cruzado con sobrante contabilizado el día 09/03/2026 ($20.090.000) el cual es reversado por la seccion el día 17/03/2026</t>
  </si>
  <si>
    <t>08:01:00</t>
  </si>
  <si>
    <t>El faltante $2.700.000 es cruzado con sobrante contabilizado el día 16/03/2026 ($2.700.000) el cual es reversado por la seccion el día 17/03/2026</t>
  </si>
  <si>
    <t>08:59:00</t>
  </si>
  <si>
    <t>16:22:00</t>
  </si>
  <si>
    <t>15:36:00</t>
  </si>
  <si>
    <t>10:43:00</t>
  </si>
  <si>
    <t>El faltante $610.000 es cruzado con sobrante contabilizado el día 13/03/2026 ($490.000), el día 11/03/2026 ($120.000) el cual es reversado por la seccion el día 16/03/2026</t>
  </si>
  <si>
    <t>12:46:00</t>
  </si>
  <si>
    <t>08:18:00</t>
  </si>
  <si>
    <t>El faltante $220.000 es cruzado con sobrante contabilizado el día 11/03/2026 ($220.000) el cual es reversado por la seccion el día 16/03/2026</t>
  </si>
  <si>
    <t>10:31:00</t>
  </si>
  <si>
    <t>El faltante $170.000 es cruzado con sobrante contabilizado el día 13/03/2026 ($100.000), el día 11/03/2026 ($20.000), el día 10/03/2026 ($50.000) el cual es reversado por la seccion el día 16/03/2026</t>
  </si>
  <si>
    <t>13:51:00</t>
  </si>
  <si>
    <t>11:07:00</t>
  </si>
  <si>
    <t>09:59:00</t>
  </si>
  <si>
    <t>El faltante $1.798.000 es cruzado con sobrante contabilizado el día 13/03/2026 ($1.798.000) el cual es reversado por la seccion el día 16/03/2026</t>
  </si>
  <si>
    <t>15:45:00</t>
  </si>
  <si>
    <t>08:45:00</t>
  </si>
  <si>
    <t>08:06:00</t>
  </si>
  <si>
    <t>El faltante $15.150.000 es cruzado con sobrante contabilizado el día 04/03/2026 ($15.150.000) el cual es reversado por la seccion el día 16/03/2026</t>
  </si>
  <si>
    <t>08:09:00</t>
  </si>
  <si>
    <t>El faltante $3.917.500 es cruzado con sobrante contabilizado el día 10/03/2026 ($1.995.000), el día 06/03/2026 ($1.276.000), el día 05/03/2026 ($646.500) el cual es reversado por la seccion el día 16/03/2026</t>
  </si>
  <si>
    <t>10:08:00</t>
  </si>
  <si>
    <t>11:09:00</t>
  </si>
  <si>
    <t>15:04:00</t>
  </si>
  <si>
    <t>El faltante $55.000 es cruzado con sobrante contabilizado el día 11/03/2026 ($50.000), el día 10/03/2026 ($3.600), el día 06/03/2026 ($1.400) el cual es reversado por la seccion el día 16/03/2026</t>
  </si>
  <si>
    <t>14:36:00</t>
  </si>
  <si>
    <t>El faltante $12.815.000 es cruzado con sobrante contabilizado el día 11/03/2026 ($12.815.000) el cual es reversado por la seccion el día 16/03/2026</t>
  </si>
  <si>
    <t>El faltante $1.180.000 es cruzado con sobrante contabilizado el día 13/03/2026 ($880.000), el día 12/03/2026 ($300.000) el cual es reversado por la seccion el día 16/03/2026</t>
  </si>
  <si>
    <t>16:08:00</t>
  </si>
  <si>
    <t>13:27:00</t>
  </si>
  <si>
    <t>12:05:00</t>
  </si>
  <si>
    <t>11:59:00</t>
  </si>
  <si>
    <t>09:02:00</t>
  </si>
  <si>
    <t>14:40:00</t>
  </si>
  <si>
    <t>14:55:00</t>
  </si>
  <si>
    <t>La diferencia es contabilizada por la Gerencia De Autoservicios y Efectivo de manera centralizada a la cuenta de faltantes 168710093 el 13/03/2026, esta diferencia ingresa a proceso de investigación en el área para identificar a que corresponde.</t>
  </si>
  <si>
    <t>La diferencia es contabilizada por la Gerencia De Autoservicios y Efectivo de manera centralizada a la cuenta de sobrantes 279510020 el 13/03/2026</t>
  </si>
  <si>
    <t>12:15:00</t>
  </si>
  <si>
    <t>El faltante $2.300.000 es cruzado con sobrante contabilizado el día 04/03/2026 $1.170.000 y sobrante contabilizado el día 06/03/2026 $1.130.000 el cual es reversado por la seccion el día 13/03/2026</t>
  </si>
  <si>
    <t>10:46:00</t>
  </si>
  <si>
    <t>El faltante $2.949.950 es cruzado con sobrante contabilizado el día 03/03/2026 $10.000, 04/03/2026 $1.340.000 y  11/03/2026 $1.599.950 el cual es reversado por la seccion el día 13/03/2026</t>
  </si>
  <si>
    <t>09:47:00</t>
  </si>
  <si>
    <t>13:28:00</t>
  </si>
  <si>
    <t>15:53:00</t>
  </si>
  <si>
    <t>10:42:00</t>
  </si>
  <si>
    <t>15:09:00</t>
  </si>
  <si>
    <t>10:28:00</t>
  </si>
  <si>
    <t>14:58:00</t>
  </si>
  <si>
    <t>11:53:00</t>
  </si>
  <si>
    <t>El faltante $5.270.000 es cruzado con sobrante contabilizado el día 10/03/2026 $1.920.000, sobrante contabilizado el día 11/03/2026 $1.150.000 y sobrante contabilizado el día 12/03/2026 $2.200.000 el cual es reversado por la seccion el día 13/03/2026</t>
  </si>
  <si>
    <t>09:07:40</t>
  </si>
  <si>
    <t>REPITIERON ARQUEO</t>
  </si>
  <si>
    <t>15:33:00</t>
  </si>
  <si>
    <t>16:19:00</t>
  </si>
  <si>
    <t>15:17:00</t>
  </si>
  <si>
    <t>11:15:00</t>
  </si>
  <si>
    <t>El faltante $379.950 es cruzado con sobrante contabilizado el día 04/03/2026 el cual es reversado por la seccion el día 13/03/2026</t>
  </si>
  <si>
    <t>09:27:40</t>
  </si>
  <si>
    <t>09:21:00</t>
  </si>
  <si>
    <t>11:32:00</t>
  </si>
  <si>
    <t>13,905,000</t>
  </si>
  <si>
    <t>09:09:00</t>
  </si>
  <si>
    <t>16:02:00</t>
  </si>
  <si>
    <t>00:00:00</t>
  </si>
  <si>
    <t>08:08:00</t>
  </si>
  <si>
    <t>El faltante $6.820.000 es cruzado con sobrante contabilizado el día 10/03/2026 $2.590.000, sobrante contabilizado el día 11/03/2026 $2.970.000 y sobrante contabilizado el día 12/03/2026 $1.260.000 el cual es reversado por la seccion el día 13/03/2026</t>
  </si>
  <si>
    <t>14:14:00</t>
  </si>
  <si>
    <t>09:23:00</t>
  </si>
  <si>
    <t>El faltante $155.000 es cruzado con sobrante contabilizado el día 10/03/2026 $20.000  y sobrante contabilizado el día 11/03/2026 $135.000 el cual es reversado por la seccion el día 13/03/2026</t>
  </si>
  <si>
    <t>15:54:00</t>
  </si>
  <si>
    <t>11:07:38</t>
  </si>
  <si>
    <t>10:13:00</t>
  </si>
  <si>
    <t>El faltante $797.000 es cruzado con sobrante contabilizado el día 04/03/2026 el cual es reversado por la seccion el día 13/03/2026</t>
  </si>
  <si>
    <t>ACLARAR DIFERENCIA Y REPETIR EL ARQUEO
El faltante $5.720.000 es cruzado con sobrante contabilizado el día 06/03/2026 $1.770.000, sobrante contabilizado el día 10/03/2026 $700.000, sobrante contabilizado el día 11/03/2026 $290.000 y sobrante contabilizado el día 12/03/2026 $1.770.000, el cual es reversado por la seccion el día 13/03/2026</t>
  </si>
  <si>
    <t>El faltante $1.124.000 es cruzado con sobrante contabilizado el día 06/03/2026 el cual es reversado por la seccion el día 13/03/2026</t>
  </si>
  <si>
    <t>14:40:24</t>
  </si>
  <si>
    <t>El faltante $13.715.000 es cruzado con sobrante contabilizado el día 10/03/2026 el cual es reversado por la seccion el día 13/03/2026</t>
  </si>
  <si>
    <t>13:45:00</t>
  </si>
  <si>
    <t>9,750,000</t>
  </si>
  <si>
    <t>14:22:00</t>
  </si>
  <si>
    <t>El faltante $3.470.500 es cruzado con sobrante contabilizado el día 04/03/2026 $1.140.000 y sobrante contabilizado el día 10/03/2026 $2.330.500 el cual es reversado por la seccion el día 13/03/2026</t>
  </si>
  <si>
    <t>14:16:00</t>
  </si>
  <si>
    <t>El faltante $2.409.950 es cruzado con sobrante contabilizado el día 10/03/2026 $2.202.000 y sobrante contabilizado el día 12/03/2026 $207.950 el cual es reversado por la seccion el día 13/03/2026</t>
  </si>
  <si>
    <t>14:09:00</t>
  </si>
  <si>
    <t>10:34:00</t>
  </si>
  <si>
    <t>15:40:00</t>
  </si>
  <si>
    <t>10:30:00</t>
  </si>
  <si>
    <t>16:25:00</t>
  </si>
  <si>
    <t>16:13:00</t>
  </si>
  <si>
    <t>08:35:00</t>
  </si>
  <si>
    <t>15:24:00</t>
  </si>
  <si>
    <t>15:37:00</t>
  </si>
  <si>
    <t>08:46:00</t>
  </si>
  <si>
    <t>10:56:00</t>
  </si>
  <si>
    <t>El faltante $710.000 es cruzado con sobrante contabilizado el día 12/03/2026 el cual es reversado por la seccion el día 13/03/2026</t>
  </si>
  <si>
    <t>El faltante $3.180.000 es cruzado con sobrante contabilizado el día 12/03/2026 el cual es reversado por la seccion el día 13/03/2026</t>
  </si>
  <si>
    <t>12:49:00</t>
  </si>
  <si>
    <t>09:49:00</t>
  </si>
  <si>
    <t>08:34:00</t>
  </si>
  <si>
    <t>11:29:00</t>
  </si>
  <si>
    <t>EN ESPERA DE ACLARAR, HOY SE GRABA DOS REMANENTES DEL 23 DE FEB</t>
  </si>
  <si>
    <t>10:09:00</t>
  </si>
  <si>
    <t>La diferencia es contabilizada por la Gerencia De Autoservicios y Efectivo de manera centralizada a la cuenta de sobrantes 279510020 el 12/03/2026</t>
  </si>
  <si>
    <t>09:21:36</t>
  </si>
  <si>
    <t>14:53:00</t>
  </si>
  <si>
    <t>10:20:00</t>
  </si>
  <si>
    <t>11:22:00</t>
  </si>
  <si>
    <t>17:29:00</t>
  </si>
  <si>
    <t>10:33:00</t>
  </si>
  <si>
    <t>11:00:00</t>
  </si>
  <si>
    <t>13:06:00</t>
  </si>
  <si>
    <t>08:22:50</t>
  </si>
  <si>
    <t>La diferencia es contabilizada por la Gerencia De Autoservicios y Efectivo de manera centralizada a la cuenta de faltantes 168710093 el 12/03/2026, esta diferencia ingresa a proceso de investigación en el área para identificar a que corresponde.
El faltante $1.929.550 es cruzado con sobrante contabilizado el día 10/03/2026 el cual es reversado por la seccion el día 12/03/2026</t>
  </si>
  <si>
    <t>08:43:00</t>
  </si>
  <si>
    <t>El faltante $5.875.000 es cruzado con sobrante contabilizado el día 04/03/2026 el cual es reversado por la seccion el día 12/03/2026</t>
  </si>
  <si>
    <t>El faltante $13.101.150 es cruzado con sobrante contabilizado el día 06/03/2026 el cual es reversado por la seccion el día 12/03/2026</t>
  </si>
  <si>
    <t>12:26:00</t>
  </si>
  <si>
    <t>18:16:00</t>
  </si>
  <si>
    <t>15:13:00</t>
  </si>
  <si>
    <t>EN ESPERA DE ACLARAR, HOY SE GRABA UN REMANENTE DEL 23 DE FEB</t>
  </si>
  <si>
    <t>El faltante $100.500 es cruzado con sobrante contabilizado el día 10/03/2026 el cual es reversado por la seccion el día 12/03/2026</t>
  </si>
  <si>
    <t>11:31:00</t>
  </si>
  <si>
    <t>09:37:00</t>
  </si>
  <si>
    <t>La diferencia es contabilizada por la Gerencia De Autoservicios y Efectivo de manera centralizada a la cuenta de faltantes 168710093 el 12/03/2026, esta diferencia ingresa a proceso de investigación en el área para identificar a que corresponde.</t>
  </si>
  <si>
    <t>09:00:00</t>
  </si>
  <si>
    <t>09:37:03</t>
  </si>
  <si>
    <t>La diferencia es contabilizada por la Gerencia De Autoservicios y Efectivo de manera centralizada a la cuenta de faltantes 168710093 el 12/03/2026, esta diferencia ingresa a proceso de investigación en el área para identificar a que corresponde.
El faltante $1.488.550 es cruzado con sobrante contabilizado el día 04/03/2026 el cual es reversado por la seccion el día 12/03/2026</t>
  </si>
  <si>
    <t>08:24:00</t>
  </si>
  <si>
    <t>81,220,000</t>
  </si>
  <si>
    <t>09:48:00</t>
  </si>
  <si>
    <t>El faltante $2.280.000 es cruzado con sobrante contabilizado el día 04/03/2026 el cual es reversado por la seccion el día 12/03/2026</t>
  </si>
  <si>
    <t>09:33:00</t>
  </si>
  <si>
    <t>09:58:00</t>
  </si>
  <si>
    <t>09:26:00</t>
  </si>
  <si>
    <t>17:19:00</t>
  </si>
  <si>
    <t>10:06:00</t>
  </si>
  <si>
    <t>09:15:00</t>
  </si>
  <si>
    <t>09:04:00</t>
  </si>
  <si>
    <t>09:14:00</t>
  </si>
  <si>
    <t>El faltante $40.000 es cruzado con sobrante contabilizado el día 11/03/2026 el cual es reversado por la seccion el día 12/03/2026</t>
  </si>
  <si>
    <t>14:08:00</t>
  </si>
  <si>
    <t>14:26:00</t>
  </si>
  <si>
    <t>La diferencia es contabilizada por la Gerencia De Autoservicios y Efectivo de manera centralizada a la cuenta de faltantes 168710093 el 11/03/2026, esta diferencia ingresa a proceso de investigación en el área para identificar a que corresponde.
El faltante $1.181.000 es cruzado con sobrante contabilizado el día 10/03/2026 el cual es reversado por la seccion el día 11/03/2026</t>
  </si>
  <si>
    <t>La diferencia es contabilizada por la Gerencia De Autoservicios y Efectivo de manera centralizada a la cuenta de faltantes 168710093 el 11/03/2026, esta diferencia ingresa a proceso de investigación en el área para identificar a que corresponde.</t>
  </si>
  <si>
    <t>10:39:00</t>
  </si>
  <si>
    <t>09:12:00</t>
  </si>
  <si>
    <t>El faltante $1.300 es cruzado con sobrante contabilizado el día 10/03/2026 el cual es reversado por la seccion el día 11/03/2026</t>
  </si>
  <si>
    <t>10:01:00</t>
  </si>
  <si>
    <t>La diferencia es contabilizada por la Gerencia De Autoservicios y Efectivo de manera centralizada a la cuenta de sobrantes 279510020 el 11/03/2026</t>
  </si>
  <si>
    <t>10:02:00</t>
  </si>
  <si>
    <t>El faltante $200.000 es cruzado con sobrante contabilizado el día 04/03/2026 el cual es reversado por la seccion el día 11/03/2026</t>
  </si>
  <si>
    <t>El faltante $217.800 es cruzado con sobrante contabilizado el día 10/03/2026 el cual es reversado por la seccion el día 11/03/2026</t>
  </si>
  <si>
    <t>08:56:00</t>
  </si>
  <si>
    <t>225,743,000</t>
  </si>
  <si>
    <t>11:06:00</t>
  </si>
  <si>
    <t>El faltante $22.400.000 es cruzado con sobrante contabilizado el día 06/03/2026 el cual es reversado por la seccion el día 11/03/2026</t>
  </si>
  <si>
    <t>10:17:00</t>
  </si>
  <si>
    <t>09:06:00</t>
  </si>
  <si>
    <t>09:53:00</t>
  </si>
  <si>
    <t>El faltante $639.950 es cruzado con sobrante contabilizado el día 04/03/2026 el cual es reversado por la seccion el día 11/03/2026</t>
  </si>
  <si>
    <t>14:00:00</t>
  </si>
  <si>
    <t>181,539,000</t>
  </si>
  <si>
    <t>09:55:00</t>
  </si>
  <si>
    <t>10:05:00</t>
  </si>
  <si>
    <t>El faltante $345.050 es cruzado con sobrante contabilizado el día 06/03/2026 el cual es reversado por la seccion el día 11/03/2026</t>
  </si>
  <si>
    <t>10:29:00</t>
  </si>
  <si>
    <t>16:17:00</t>
  </si>
  <si>
    <t>REPITIERON ARQUEO, CON SALDO EN ROJO AL 10 MARZO</t>
  </si>
  <si>
    <t>10:50:00</t>
  </si>
  <si>
    <t>El faltante $1.910.000 es cruzado con sobrante contabilizado el día 10/03/2026 el cual es reversado por la seccion el día 11/03/2026</t>
  </si>
  <si>
    <t>16:12:00</t>
  </si>
  <si>
    <t>10:27:00</t>
  </si>
  <si>
    <t>El faltante $1.040.000 es cruzado con sobrante contabilizado el día 10/03/2026 el cual es reversado por la seccion el día 11/03/2026</t>
  </si>
  <si>
    <t>09:32:00</t>
  </si>
  <si>
    <t>La diferencia es contabilizada por la Gerencia De Autoservicios y Efectivo de manera centralizada a la cuenta de sobrantes 279510020 el 10/03/2026</t>
  </si>
  <si>
    <t>09:50:00</t>
  </si>
  <si>
    <t>14:19:00</t>
  </si>
  <si>
    <t>El faltante $5.600 es cruzado con sobrante contabilizado el día 05/03/2026 el cual es reversado por la seccion el día 10/03/2026</t>
  </si>
  <si>
    <t>08:52:00</t>
  </si>
  <si>
    <t>El faltante $775.000 es cruzado con sobrante contabilizado el día 06/03/2026 el cual es reversado por la seccion el día 10/03/2026</t>
  </si>
  <si>
    <t>El faltante $320.000 es cruzado con sobrante contabilizado el día 06/03/2026 el cual es reversado por la seccion el día 10/03/2026</t>
  </si>
  <si>
    <t>15:47:00</t>
  </si>
  <si>
    <t>16:24:00</t>
  </si>
  <si>
    <t>14:29:00</t>
  </si>
  <si>
    <t>El faltante $691.050 es cruzado con sobrante contabilizado el día 06/03/2026 el cual es reversado por la seccion el día 10/03/2026</t>
  </si>
  <si>
    <t>10:52:00</t>
  </si>
  <si>
    <t>10:45:00</t>
  </si>
  <si>
    <t>El faltante $57.000 es cruzado con sobrante contabilizado el día 09/03/2026 el cual es reversado por la seccion el día 10/03/2026</t>
  </si>
  <si>
    <t>La diferencia es contabilizada por la Gerencia De Autoservicios y Efectivo de manera centralizada a la cuenta de faltantes 168710093 el 01003/2026, esta diferencia ingresa a proceso de investigación en el área para identificar a que corresponde.</t>
  </si>
  <si>
    <t>El faltante $10.000 es cruzado con sobrante contabilizado el día 05/03/2026 el cual es reversado por la seccion el día 10/03/2026</t>
  </si>
  <si>
    <t>El faltante $90.000 es cruzado con sobrante contabilizado el día 06/03/2026 el cual es reversado por la seccion el día 10/03/2026</t>
  </si>
  <si>
    <t>10:57:00</t>
  </si>
  <si>
    <t>08:51:00</t>
  </si>
  <si>
    <t>15:11:00</t>
  </si>
  <si>
    <t xml:space="preserve"> El faltante $2.350.700 es cruzado con sobrante contabilizado el día 04/03/2026 el cual es reversado por la seccion el día 09/03/2026
REPITIERON ARQUEO</t>
  </si>
  <si>
    <t>08:42:57</t>
  </si>
  <si>
    <t>ACLARAR DIFERENCIA Y REPETIR EL ARQUEO El faltante $7.060.000 es cruzado con sobrante contabilizado el día 04/03/2026 y sobrante contabilizado el día 06/03/2026 $40.000 el cual es reversado por la seccion el día 09/03/2026</t>
  </si>
  <si>
    <t>La diferencia es contabilizada por la Gerencia De Autoservicios y Efectivo de manera centralizada a la cuenta de sobrantes 279510020 el 09/03/2026</t>
  </si>
  <si>
    <t>La diferencia es contabilizada por la Gerencia De Autoservicios y Efectivo de manera centralizada a la cuenta de faltantes 168710093 el 09/03/2026, esta diferencia ingresa a proceso de investigación en el área para identificar a que corresponde.</t>
  </si>
  <si>
    <t>14:50:00</t>
  </si>
  <si>
    <t>El faltante $3.465.000 es cruzado con sobrante contabilizado el día 05/03/2026 el cual es reversado por la seccion el día 09/03/2026</t>
  </si>
  <si>
    <t>16:26:00</t>
  </si>
  <si>
    <t>15:39:00</t>
  </si>
  <si>
    <t>09:35:00</t>
  </si>
  <si>
    <t>15:00:00</t>
  </si>
  <si>
    <t>14:33:00</t>
  </si>
  <si>
    <t>16:05:00</t>
  </si>
  <si>
    <t>16:27:00</t>
  </si>
  <si>
    <t>El faltante $126.000 es cruzado con sobrante contabilizado el día 05/03/2026 el cual es reversado por la seccion el día 09/03/2026</t>
  </si>
  <si>
    <t>12:04:00</t>
  </si>
  <si>
    <t>15:23:00</t>
  </si>
  <si>
    <t>El faltante $2.880.000 es cruzado con sobrante contabilizado el día 06/03/2026 el cual es reversado por la seccion el día 09/03/2026</t>
  </si>
  <si>
    <t xml:space="preserve">ACLARAR DIFERENCIA Y REPETIR EL ARQUEO </t>
  </si>
  <si>
    <t>08:30:00</t>
  </si>
  <si>
    <t>La diferencia es contabilizada por la Gerencia De Autoservicios y Efectivo de manera centralizada a la cuenta de sobrantes 279510020 el 06/03/2026</t>
  </si>
  <si>
    <t>07:50:00</t>
  </si>
  <si>
    <t>14:11:00</t>
  </si>
  <si>
    <t>11:01:00</t>
  </si>
  <si>
    <t>El faltante $4.900 es cruzado con sobrante contabilizado el día 03/03/2026 el cual es reversado por la seccion el día 06/03/2026</t>
  </si>
  <si>
    <t>08:28:00</t>
  </si>
  <si>
    <t>El faltante $5.895.000 es cruzado con sobrante contabilizado el día 04/03/2026 el cual es reversado por la seccion el día 06/03/2026</t>
  </si>
  <si>
    <t>10:35:00</t>
  </si>
  <si>
    <t>16:21:00</t>
  </si>
  <si>
    <t>10:48:00</t>
  </si>
  <si>
    <t>El faltante $1.100 es cruzado con sobrante contabilizado el día 04/03/2026 el cual es reversado por la seccion el día 06/03/2026</t>
  </si>
  <si>
    <t>El faltante $5.426.600 es cruzado con sobrante contabilizado el día 04/03/2026 el cual es reversado por la seccion el día 06/03/2026</t>
  </si>
  <si>
    <t>11:54:00</t>
  </si>
  <si>
    <t>08:00:00</t>
  </si>
  <si>
    <t>09:34:00</t>
  </si>
  <si>
    <t>El faltante $507.000 es cruzado con sobrante contabilizado el día 04/03/2026 el cual es reversado por la seccion el día 06/03/2026</t>
  </si>
  <si>
    <t>14:59:00</t>
  </si>
  <si>
    <t>El faltante $5.854.000 es cruzado con sobrante contabilizado el día 04/03/2026 el cual es reversado por la seccion el día 06/03/2026</t>
  </si>
  <si>
    <t>11:47:00</t>
  </si>
  <si>
    <t>El faltante $5.130.000 es cruzado con sobrante contabilizado el día 04/03/2026 el cual es reversado por la seccion el día 06/03/2026</t>
  </si>
  <si>
    <t>02:41:00</t>
  </si>
  <si>
    <t>07:38:00</t>
  </si>
  <si>
    <t>La diferencia es contabilizada por la Gerencia De Autoservicios y Efectivo de manera centralizada a la cuenta de faltantes 168710093 el 06/03/2026, esta diferencia ingresa a proceso de investigación en el área para identificar a que corresponde.</t>
  </si>
  <si>
    <t>El faltante $88.600 es cruzado con sobrante contabilizado el día 03/03/2026 el cual es reversado por la seccion el día 06/03/2026</t>
  </si>
  <si>
    <t>El faltante $50.000 es cruzado con sobrante contabilizado el día 04/03/2026 el cual es reversado por la seccion el día 06/03/2026</t>
  </si>
  <si>
    <t>El faltante $5.250.000 es cruzado con sobrante contabilizado el día 04/03/2026 el cual es reversado por la seccion el día 06/03/2026</t>
  </si>
  <si>
    <t>El faltante $2.510.000 es cruzado con sobrante contabilizado el día 04/03/2026 el cual es reversado por la seccion el día 06/03/2026</t>
  </si>
  <si>
    <t>10:35:58</t>
  </si>
  <si>
    <t>El faltante $9.960.550 es cruzado con sobrante contabilizado el día 04/03/2026 el cual es reversado por la seccion el día 06/03/2026</t>
  </si>
  <si>
    <t>El faltante $5.355.000 es cruzado con sobrante contabilizado el día 04/03/2026 el cual es reversado por la seccion el día 06/03/2026</t>
  </si>
  <si>
    <t>08:07:00</t>
  </si>
  <si>
    <t>El faltante $2.945.000 es cruzado con sobrante contabilizado el día 04/03/2026 el cual es reversado por la seccion el día 06/03/2026</t>
  </si>
  <si>
    <t>08:21:00</t>
  </si>
  <si>
    <t>07:58:00</t>
  </si>
  <si>
    <t>08:33:00</t>
  </si>
  <si>
    <t>El faltante $5.410.000 es cruzado con sobrante contabilizado el día 04/03/2026 el cual es reversado por la seccion el día 06/03/2026</t>
  </si>
  <si>
    <t>El faltante $1.310.000 es cruzado con sobrante contabilizado el día 04/03/2026 el cual es reversado por la seccion el día 06/03/2026</t>
  </si>
  <si>
    <t>15:03:00</t>
  </si>
  <si>
    <t>El faltante $2.374.000 es cruzado con sobrante contabilizado el día 04/03/2026 el cual es reversado por la seccion el día 06/03/2026</t>
  </si>
  <si>
    <t>11:46:00</t>
  </si>
  <si>
    <t>08:42:00</t>
  </si>
  <si>
    <t>11:21:00</t>
  </si>
  <si>
    <t>12:22:00</t>
  </si>
  <si>
    <t>07:51:00</t>
  </si>
  <si>
    <t>La diferencia es contabilizada por la Gerencia De Autoservicios y Efectivo de manera centralizada a la cuenta de sobrantes 279510020 el 05/03/2026</t>
  </si>
  <si>
    <t>10:19:00</t>
  </si>
  <si>
    <t>09:28:33</t>
  </si>
  <si>
    <t>16:57:00</t>
  </si>
  <si>
    <t>11:34:00</t>
  </si>
  <si>
    <t>09:14:30</t>
  </si>
  <si>
    <t>08:05:00</t>
  </si>
  <si>
    <t>15:52:00</t>
  </si>
  <si>
    <t>17:18:00</t>
  </si>
  <si>
    <t>La diferencia es contabilizada por la Gerencia De Autoservicios y Efectivo de manera centralizada a la cuenta de faltantes 168710093 el 05/03/2026, esta diferencia ingresa a proceso de investigación en el área para identificar a que corresponde.</t>
  </si>
  <si>
    <t>14:37:00</t>
  </si>
  <si>
    <t>El faltante  de $3.600.000 es cruzado con sobrante contabilizado el día 03/03/2026 el cual es reversado por la seccion el día 05/03/2026</t>
  </si>
  <si>
    <t>16:36:00</t>
  </si>
  <si>
    <t>ACLARAR DIFERENCIA Y REPETIR EL ARQUEO ( SE ESCRIBE A LA SUC - SE ENCONTRO REMANENTE GRABADO EN LA CUENTA DE CAJA)</t>
  </si>
  <si>
    <t>17:31:00</t>
  </si>
  <si>
    <t>15:02:00</t>
  </si>
  <si>
    <t>El faltante  de $89.900 es cruzado con sobrante contabilizado el día 03/03/2026 el cual es reversado por la seccion el día 05/03/2026</t>
  </si>
  <si>
    <t>08:27:17</t>
  </si>
  <si>
    <t>09:26:40</t>
  </si>
  <si>
    <t>13:49:00</t>
  </si>
  <si>
    <t>16:33:00</t>
  </si>
  <si>
    <t>11:40:00</t>
  </si>
  <si>
    <t>La diferencia es contabilizada por la Gerencia De Autoservicios y Efectivo de manera centralizada a la cuenta de sobrantes 279510020 el 04/03/2026</t>
  </si>
  <si>
    <t>14:51:00</t>
  </si>
  <si>
    <t>11:03:00</t>
  </si>
  <si>
    <t>La diferencia es contabilizada por la Gerencia De Autoservicios y Efectivo de manera centralizada a la cuenta de faltantes 168710093 el 04/03/2026, esta diferencia ingresa a proceso de investigación en el área para identificar a que corresponde.</t>
  </si>
  <si>
    <t>El faltante de $19.300 es cruzado con sobrante contabilizado el día 23/02/2026 el cual es reversado por la seccion el día 04/03/2026</t>
  </si>
  <si>
    <t>14:47:00</t>
  </si>
  <si>
    <t>El faltante de $1.127.000 es cruzado con sobrante contabilizado el día 17/02/2026 el cual es reversado por la seccion el día 04/03/2026</t>
  </si>
  <si>
    <t>15:57:29</t>
  </si>
  <si>
    <t>El faltante  de $50 es cruzado con sobrante contabilizado el día 27/02/2026 el cual es reversado por la seccion el día 04/03/2026</t>
  </si>
  <si>
    <t>11:36:00</t>
  </si>
  <si>
    <t>14:49:00</t>
  </si>
  <si>
    <t>14:44:00</t>
  </si>
  <si>
    <t>08:22:00</t>
  </si>
  <si>
    <t>16:44:00</t>
  </si>
  <si>
    <t>15:26:24</t>
  </si>
  <si>
    <t>La diferencia es contabilizada por la Gerencia De Autoservicios y Efectivo de manera centralizada a la cuenta de sobrantes 279510020 el 03/03/2026</t>
  </si>
  <si>
    <t>15:28:00</t>
  </si>
  <si>
    <t>La diferencia es contabilizada por la Gerencia De Autoservicios y Efectivo de manera centralizada a la cuenta de faltantes 168710093 el 03/03/2026, esta diferencia ingresa a proceso de investigación en el área para identificar a que corresponde.</t>
  </si>
  <si>
    <t>10:53:00</t>
  </si>
  <si>
    <t>08:41:00</t>
  </si>
  <si>
    <t>12:28:41</t>
  </si>
  <si>
    <t>13:43:00</t>
  </si>
  <si>
    <t>13:02:00</t>
  </si>
  <si>
    <t>15:49:00</t>
  </si>
  <si>
    <t>El faltante $2.539.000 es cruzado con sobrante contabilizado el día 06/02/2026 el cual es reversado por la seccion el día 03/03/2026</t>
  </si>
  <si>
    <t>15:31:00</t>
  </si>
  <si>
    <t>La diferencia es contabilizada por la Gerencia De Autoservicios y Efectivo de manera centralizada a la cuenta de sobrantes 279510020 el 25/03/2026</t>
  </si>
  <si>
    <t>15:32:00</t>
  </si>
  <si>
    <t>El faltante $1.020.000 es cruzado con sobrante contabilizado el día 24/03/2026 ($1.020.000) el cual es reversado por la seccion el día 25/03/2026</t>
  </si>
  <si>
    <t>15:29:00</t>
  </si>
  <si>
    <t>El faltante $260.000 es cruzado con sobrante contabilizado el día 16/03/2026 ($260.000) el cual es reversado por la seccion el día 25/03/2026</t>
  </si>
  <si>
    <t>11:27:00</t>
  </si>
  <si>
    <t>El faltante $3.070.000 es cruzado con sobrante contabilizado el día 19/03/2026 ($1.650.000), el día 20/03/2026 ($1.420.000) el cual es reversado por la seccion el día 25/03/2026</t>
  </si>
  <si>
    <t>15:20:00</t>
  </si>
  <si>
    <t>El faltante $2.170.000 es cruzado con sobrante contabilizado el día 16/03/2026 ($2.021.000), el día 19/03/2026 ($149.000) el cual es reversado por la seccion el día 25/03/2026</t>
  </si>
  <si>
    <t>La diferencia es contabilizada por la Gerencia De Autoservicios y Efectivo de manera centralizada a la cuenta de faltantes 168710093 el 25/03/2026, esta diferencia ingresa a proceso de investigación en el área para identificar a que corresponde.</t>
  </si>
  <si>
    <t>10:01:23</t>
  </si>
  <si>
    <t>El faltante $1.282.300 es cruzado con sobrante contabilizado el día 13/03/2026 ($700.000), el día 19/03/2026 ($582.300) el cual es reversado por la seccion el día 25/03/2026</t>
  </si>
  <si>
    <t>El faltante $4.783.300 es cruzado con sobrante contabilizado el día 17/03/2026 ($15.000), el día 18/03/2026 ($2.635.000), el día 20/03/2026 ($2.133.300) el cual es reversado por la seccion el día 25/03/2026</t>
  </si>
  <si>
    <t>08:31:00</t>
  </si>
  <si>
    <t>15:15:00</t>
  </si>
  <si>
    <t>El faltante $50 es cruzado con sobrante contabilizado el día 24/03/2026 ($50) el cual es reversado por la seccion el día 25/03/2026</t>
  </si>
  <si>
    <t>Cod Suc</t>
  </si>
  <si>
    <t>Cajero.1</t>
  </si>
  <si>
    <t xml:space="preserve">Sucursal </t>
  </si>
  <si>
    <t>Lider de servicio</t>
  </si>
  <si>
    <t>SUBGERENTE</t>
  </si>
  <si>
    <t>FECHA ARQUEO</t>
  </si>
  <si>
    <t>FECHA REPROGRAMACION</t>
  </si>
  <si>
    <t>FECHA PROGRAMADA</t>
  </si>
  <si>
    <t>OBSERVACIÓN</t>
  </si>
  <si>
    <t>Multifuncional</t>
  </si>
  <si>
    <t>SAN ANDRES</t>
  </si>
  <si>
    <t>Didi Alejandra Pareja Medina</t>
  </si>
  <si>
    <t>PPOLO</t>
  </si>
  <si>
    <t>Nuevo 31 Julio, Sin servicio</t>
  </si>
  <si>
    <t>SABANETA AVES MARIA</t>
  </si>
  <si>
    <t>Sandra Milena Cardona Franco</t>
  </si>
  <si>
    <t>LUCRAMIR</t>
  </si>
  <si>
    <t>ARKADIA</t>
  </si>
  <si>
    <t>Ana Maria Echavarria Gonzalez</t>
  </si>
  <si>
    <t>NDUQUE</t>
  </si>
  <si>
    <t>CENTRO COMERCIAL LA ESTACIÓN CALI</t>
  </si>
  <si>
    <t>Hector Mario Rendon Ocampo</t>
  </si>
  <si>
    <t>MOCANO</t>
  </si>
  <si>
    <t>09 de Sep inicia a ser de suc</t>
  </si>
  <si>
    <t>CENTRAL DE ABASTOS B/MANGA</t>
  </si>
  <si>
    <t>Yenis Meybi Fernandez Marin</t>
  </si>
  <si>
    <t>LMPINILL</t>
  </si>
  <si>
    <t>instalan cajero 20 de enero</t>
  </si>
  <si>
    <t>SOLEDAD</t>
  </si>
  <si>
    <t>German Alcides Hernandez Vivero</t>
  </si>
  <si>
    <t>VAESTRAD</t>
  </si>
  <si>
    <t>CAÑAVERAL</t>
  </si>
  <si>
    <t>CEAUARIA</t>
  </si>
  <si>
    <t>2 Días</t>
  </si>
  <si>
    <t>MALLPLAZA CALI</t>
  </si>
  <si>
    <t>MCORRALE</t>
  </si>
  <si>
    <t>AVENTURA CENTRO COMERCIAL</t>
  </si>
  <si>
    <t>Katherine Zapata Cano</t>
  </si>
  <si>
    <t>CAALJARA</t>
  </si>
  <si>
    <t>ALTO PRADO</t>
  </si>
  <si>
    <t>Maria Teresa Chaves Ahumada</t>
  </si>
  <si>
    <t>FLOZANO</t>
  </si>
  <si>
    <t>NUEVO, DESDE EL 7 DE ENERO</t>
  </si>
  <si>
    <t>VIVA VILLAVICENCIO</t>
  </si>
  <si>
    <t>Juan Felipe Russi Gamboa</t>
  </si>
  <si>
    <t>LJROMERO</t>
  </si>
  <si>
    <t>MERCANTIL</t>
  </si>
  <si>
    <t>Victoria Eugenia Guaqueta Murcia</t>
  </si>
  <si>
    <t>DICARDEN</t>
  </si>
  <si>
    <t>ANDES</t>
  </si>
  <si>
    <t>JOGRESTR</t>
  </si>
  <si>
    <t>CENTRO COMERCIAL SANTAFE</t>
  </si>
  <si>
    <t>Nidya Marcela Poveda Sanchez</t>
  </si>
  <si>
    <t>SBOHORQU</t>
  </si>
  <si>
    <t>9 Julio consola</t>
  </si>
  <si>
    <t>PLAZA DE LAS AMERICAS</t>
  </si>
  <si>
    <t>Samuel Alexander Mendez Suarez</t>
  </si>
  <si>
    <t>SMALVARA</t>
  </si>
  <si>
    <t>SAN GIL</t>
  </si>
  <si>
    <t>Frank William Castillo Leal</t>
  </si>
  <si>
    <t>CARLBALL</t>
  </si>
  <si>
    <t>LA FRONTERA</t>
  </si>
  <si>
    <t>Natalia Zuluaga Rodriguez</t>
  </si>
  <si>
    <t>MARIADAG</t>
  </si>
  <si>
    <t>Nuevo 24 Junio</t>
  </si>
  <si>
    <t>ATM MF SUCAVENIDA EL POBLADO 1</t>
  </si>
  <si>
    <t>PCVARGAS</t>
  </si>
  <si>
    <t>Nuevo 26 de agosto, Sin servicio</t>
  </si>
  <si>
    <t>PARQUE WASHINGTON</t>
  </si>
  <si>
    <t>FRICAURT</t>
  </si>
  <si>
    <t>Provisionar con 9 millones y el cajero no funcionó</t>
  </si>
  <si>
    <t>CARABOBO</t>
  </si>
  <si>
    <t>FLLOPEZ</t>
  </si>
  <si>
    <t>AVENIDA JUNIN</t>
  </si>
  <si>
    <t>DJMONTOY</t>
  </si>
  <si>
    <t>AVENIDA SANTANDER</t>
  </si>
  <si>
    <t>Sergio Arias Pelaez</t>
  </si>
  <si>
    <t>CVALASQU</t>
  </si>
  <si>
    <t>CENTRO DE PAGOS FONTIBON</t>
  </si>
  <si>
    <t>Fabio Orlando Bosa Poveda</t>
  </si>
  <si>
    <t>jaolarte</t>
  </si>
  <si>
    <t>BUENAVISTA SANTA MARTA</t>
  </si>
  <si>
    <t>Alicia Minerva Fontalvo Reales</t>
  </si>
  <si>
    <t>MAVERGAR</t>
  </si>
  <si>
    <t>LIBERTADORES</t>
  </si>
  <si>
    <t>Yury Yaquelin Daza Congo</t>
  </si>
  <si>
    <t>YPARRA</t>
  </si>
  <si>
    <t>CENTRO COMERCIAL MAYORCA</t>
  </si>
  <si>
    <t>LMCALZAT</t>
  </si>
  <si>
    <t>ASTROCENTRO</t>
  </si>
  <si>
    <t>JHAMAYA</t>
  </si>
  <si>
    <t>ANTIGUO COUNTRY</t>
  </si>
  <si>
    <t>Kirsys Nadyra Robelto Sanchez</t>
  </si>
  <si>
    <t>SANDGARC</t>
  </si>
  <si>
    <t>AVENIDA 82</t>
  </si>
  <si>
    <t>MARIMOSQ</t>
  </si>
  <si>
    <t>BOULEVAR ENVIGADO</t>
  </si>
  <si>
    <t>DIBLANDO</t>
  </si>
  <si>
    <t>AVENIDA KENNEDY</t>
  </si>
  <si>
    <t>JAMESA</t>
  </si>
  <si>
    <t>VENTURA PLAZA</t>
  </si>
  <si>
    <t>Adriana Maritza Angulo Mora</t>
  </si>
  <si>
    <t>MABAEZ</t>
  </si>
  <si>
    <t>CENTRO MAYOR</t>
  </si>
  <si>
    <t>JBOGOTA</t>
  </si>
  <si>
    <t>UNICENTRO ARMENIA</t>
  </si>
  <si>
    <t>John Didier Villegas Martinez</t>
  </si>
  <si>
    <t>DIOSPINA</t>
  </si>
  <si>
    <t>UNICENTRO PASTO</t>
  </si>
  <si>
    <t>Norma Constanza Barrera Pabon</t>
  </si>
  <si>
    <t>AGUEVARA</t>
  </si>
  <si>
    <t>PARQUE ARBOLEDA</t>
  </si>
  <si>
    <t>LECADAVI</t>
  </si>
  <si>
    <t>FUNDADORES MANIZALES</t>
  </si>
  <si>
    <t>ELIZLOND</t>
  </si>
  <si>
    <t>CAMPANARIO POPAYAN</t>
  </si>
  <si>
    <t>DLASSO</t>
  </si>
  <si>
    <t>CENTRO COMERCIAL FONTANAR</t>
  </si>
  <si>
    <t>ANMARODR</t>
  </si>
  <si>
    <t>VICTORIA PLAZA</t>
  </si>
  <si>
    <t>FJESPINO</t>
  </si>
  <si>
    <t>PORTAL DEL PRADO</t>
  </si>
  <si>
    <t>CAGUAS</t>
  </si>
  <si>
    <t>OCEAN MALL</t>
  </si>
  <si>
    <t>SDELOS</t>
  </si>
  <si>
    <t>EL RODADERO</t>
  </si>
  <si>
    <t>JFONTALV</t>
  </si>
  <si>
    <t>PRADO PLAZA</t>
  </si>
  <si>
    <t>ANACAMAC</t>
  </si>
  <si>
    <t>LOS MOLINOS</t>
  </si>
  <si>
    <t>PATOBONO</t>
  </si>
  <si>
    <t>LA DORADA</t>
  </si>
  <si>
    <t>Juan Fernando Alzate Valencia</t>
  </si>
  <si>
    <t>ADMMARRO</t>
  </si>
  <si>
    <t>RIONEGRO</t>
  </si>
  <si>
    <t>GCARMONA</t>
  </si>
  <si>
    <t>CENTRO INDUSTRIAL</t>
  </si>
  <si>
    <t>XNORTIZ</t>
  </si>
  <si>
    <t>CHICO 94</t>
  </si>
  <si>
    <t>OBARRERO</t>
  </si>
  <si>
    <t>CENTRO DE PAGOS UNICENTRO BOGOTA</t>
  </si>
  <si>
    <t>Camilo Andres Mila Jimenez</t>
  </si>
  <si>
    <t>MAMPENA</t>
  </si>
  <si>
    <t>ENVIGADO</t>
  </si>
  <si>
    <t>NILSIERR</t>
  </si>
  <si>
    <t>LA PLAYA</t>
  </si>
  <si>
    <t>OGUARDO</t>
  </si>
  <si>
    <t>CIRCUNVALAR PEREIRA</t>
  </si>
  <si>
    <t>LUAGIRAL</t>
  </si>
  <si>
    <t>SAN NICOLAS BARRANQUILLA</t>
  </si>
  <si>
    <t>JULOROZC</t>
  </si>
  <si>
    <t>El cajero esta fuera de servicio, la oficina estuvo siendo remodelada SIN SERVICIO FEB</t>
  </si>
  <si>
    <t>OLIMPICA</t>
  </si>
  <si>
    <t>ACUJIA</t>
  </si>
  <si>
    <t>VALLE DEL LILI</t>
  </si>
  <si>
    <t>MADHERNA</t>
  </si>
  <si>
    <t>GUATAPURI</t>
  </si>
  <si>
    <t>MCAMACHO</t>
  </si>
  <si>
    <t>AVENIDA 127</t>
  </si>
  <si>
    <t>AMSCABEZ</t>
  </si>
  <si>
    <t>GIRARDOT</t>
  </si>
  <si>
    <t>Edwin Andres Lievano Orjuela</t>
  </si>
  <si>
    <t>JCANTOR</t>
  </si>
  <si>
    <t>MAYALES PLAZA</t>
  </si>
  <si>
    <t>DVILLARR</t>
  </si>
  <si>
    <t>ZONA ROSA</t>
  </si>
  <si>
    <t>MARIROME</t>
  </si>
  <si>
    <t>NORTH POINT</t>
  </si>
  <si>
    <t>EMMARINO</t>
  </si>
  <si>
    <t>PEREIRA</t>
  </si>
  <si>
    <t>LUFSANCH</t>
  </si>
  <si>
    <t>CUCUTA</t>
  </si>
  <si>
    <t>DRAREVAL</t>
  </si>
  <si>
    <t>AVENIDA 19</t>
  </si>
  <si>
    <t>LFRAMIRE</t>
  </si>
  <si>
    <t>LAS PALMAS</t>
  </si>
  <si>
    <t>FVASQUEZ</t>
  </si>
  <si>
    <t>MODELO POPAYAN</t>
  </si>
  <si>
    <t>CAEDMART</t>
  </si>
  <si>
    <t>CENTRO DE LA CONFECCION</t>
  </si>
  <si>
    <t>CLFERNAN</t>
  </si>
  <si>
    <t>MANGA</t>
  </si>
  <si>
    <t>RVARELA</t>
  </si>
  <si>
    <t>PUNTO CLAVE</t>
  </si>
  <si>
    <t>MAAREIZA</t>
  </si>
  <si>
    <t>NEIVA</t>
  </si>
  <si>
    <t>Astrid Alexandra Quintero Arciniegas</t>
  </si>
  <si>
    <t>YENGONZA</t>
  </si>
  <si>
    <t>MULTIPLAZA DRIVE</t>
  </si>
  <si>
    <t>AGUTIERR</t>
  </si>
  <si>
    <t>TRINIDAD GALAN</t>
  </si>
  <si>
    <t>JBALLEN</t>
  </si>
  <si>
    <t>TERMINAL DE TRANSPORTE NORTE</t>
  </si>
  <si>
    <t>Julian Alejandro Rodriguez Escobar</t>
  </si>
  <si>
    <t>DCCARTAG</t>
  </si>
  <si>
    <t>IBAGUE</t>
  </si>
  <si>
    <t>REGUZMAN</t>
  </si>
  <si>
    <t>OCAÑA</t>
  </si>
  <si>
    <t>CYALVARE</t>
  </si>
  <si>
    <t>UNICENTRO CALI</t>
  </si>
  <si>
    <t>SMBEDOYA</t>
  </si>
  <si>
    <t>AUTOPISTA 98</t>
  </si>
  <si>
    <t>HDSANCHE</t>
  </si>
  <si>
    <t>CARRERA DECIMA</t>
  </si>
  <si>
    <t>IMARTINE</t>
  </si>
  <si>
    <t>CENTRO 93</t>
  </si>
  <si>
    <t>EPIRAGAU</t>
  </si>
  <si>
    <t>MOCOA</t>
  </si>
  <si>
    <t>DMOTTA</t>
  </si>
  <si>
    <t>CHIPICHAPE</t>
  </si>
  <si>
    <t>DRRAMIRE</t>
  </si>
  <si>
    <t>ITAGUI PARQUE</t>
  </si>
  <si>
    <t>LUDLOPEZ</t>
  </si>
  <si>
    <t>MONTERIA</t>
  </si>
  <si>
    <t>Magaly Del Socorro Cabrales Isaac</t>
  </si>
  <si>
    <t>DRDIAZ</t>
  </si>
  <si>
    <t>SOGAMOSO</t>
  </si>
  <si>
    <t>LILMARTI</t>
  </si>
  <si>
    <t>DUITAMA</t>
  </si>
  <si>
    <t>LMCASTAN</t>
  </si>
  <si>
    <t>TUNJA</t>
  </si>
  <si>
    <t>MIROMERO</t>
  </si>
  <si>
    <t>BAZAR ALSACIA</t>
  </si>
  <si>
    <t>JTRIANA</t>
  </si>
  <si>
    <t>AVENIDA ROOSEVELT</t>
  </si>
  <si>
    <t>EBUENO</t>
  </si>
  <si>
    <t>MANIZALES</t>
  </si>
  <si>
    <t>CARLGOME</t>
  </si>
  <si>
    <t>DOSQUEBRADAS</t>
  </si>
  <si>
    <t>JOLOAIZA</t>
  </si>
  <si>
    <t>VALVANERA</t>
  </si>
  <si>
    <t>ADIAZ</t>
  </si>
  <si>
    <t>YOPAL</t>
  </si>
  <si>
    <t>CAMARTIN</t>
  </si>
  <si>
    <t>CENTRO COMERCIAL HAYUELOS</t>
  </si>
  <si>
    <t>KRODRIGU</t>
  </si>
  <si>
    <t>QUEBRADA SECA</t>
  </si>
  <si>
    <t>LUDACEVE</t>
  </si>
  <si>
    <t>TEATRO AVENIDA</t>
  </si>
  <si>
    <t>DEBEDOYA</t>
  </si>
  <si>
    <t>PUERTA DEL NORTE</t>
  </si>
  <si>
    <t>ISALOPEZ</t>
  </si>
  <si>
    <t>CENTRO SUBA</t>
  </si>
  <si>
    <t>ECROJAS</t>
  </si>
  <si>
    <t>LA HERRADURA</t>
  </si>
  <si>
    <t>FGUEVARA</t>
  </si>
  <si>
    <t>ARMENIA NORTE</t>
  </si>
  <si>
    <t>MARMAGON</t>
  </si>
  <si>
    <t>CALDAS PARQUE</t>
  </si>
  <si>
    <t>NEGARCIC</t>
  </si>
  <si>
    <t>CALLE 79</t>
  </si>
  <si>
    <t>ADRIGARC</t>
  </si>
  <si>
    <t>CENTRO DE PAGOS CORABASTOS</t>
  </si>
  <si>
    <t>EESERRAT</t>
  </si>
  <si>
    <t>AVENIDA CAÑAS GORDAS</t>
  </si>
  <si>
    <t>NAMAFLA</t>
  </si>
  <si>
    <t>MADRID</t>
  </si>
  <si>
    <t>Pedro Javier Yazzo Moreno</t>
  </si>
  <si>
    <t>PBAUTIST</t>
  </si>
  <si>
    <t>TERMINAL DEL SUR</t>
  </si>
  <si>
    <t>CJQUINTE</t>
  </si>
  <si>
    <t>MODELIA</t>
  </si>
  <si>
    <t>MCJARAMI</t>
  </si>
  <si>
    <t>FLORESTA</t>
  </si>
  <si>
    <t>LJGOMEZ</t>
  </si>
  <si>
    <t>UNICENTRO TUNJA</t>
  </si>
  <si>
    <t>PAAMOREN</t>
  </si>
  <si>
    <t>TEQUENDAMA</t>
  </si>
  <si>
    <t>LIPATINO</t>
  </si>
  <si>
    <t>CALLE 10</t>
  </si>
  <si>
    <t>LRCACERE</t>
  </si>
  <si>
    <t>LAS CEIBAS</t>
  </si>
  <si>
    <t>AMMORA</t>
  </si>
  <si>
    <t>MONTEVIDEO</t>
  </si>
  <si>
    <t>EDWGONZA</t>
  </si>
  <si>
    <t>PROFESIONALES</t>
  </si>
  <si>
    <t>JNMANCER</t>
  </si>
  <si>
    <t>AEROPUERTO OLAYA</t>
  </si>
  <si>
    <t>DIFGARCI</t>
  </si>
  <si>
    <t>NEIVA LA NUEVA</t>
  </si>
  <si>
    <t>GINGARZO</t>
  </si>
  <si>
    <t>SOACHA</t>
  </si>
  <si>
    <t>JUAROJAS</t>
  </si>
  <si>
    <t>TOBERIN</t>
  </si>
  <si>
    <t>JABUSTOS</t>
  </si>
  <si>
    <t>SABANA NORTE CHIA</t>
  </si>
  <si>
    <t>OACHURY</t>
  </si>
  <si>
    <t>PASEO LA CASTELLANA</t>
  </si>
  <si>
    <t>DPUELLO</t>
  </si>
  <si>
    <t>GARZON</t>
  </si>
  <si>
    <t>DLROJAS</t>
  </si>
  <si>
    <t>QUINTA AVENIDA</t>
  </si>
  <si>
    <t>YCAVIEDE</t>
  </si>
  <si>
    <t>CARRERA 26</t>
  </si>
  <si>
    <t>Sin servicio durante el mes de diciembre</t>
  </si>
  <si>
    <t>BARRIO TRISTE</t>
  </si>
  <si>
    <t>CAMAVARG</t>
  </si>
  <si>
    <t>POPAYAN</t>
  </si>
  <si>
    <t>SVIDAL</t>
  </si>
  <si>
    <t>CENTRO COMERCIAL PALATINO</t>
  </si>
  <si>
    <t>GLORGIRA</t>
  </si>
  <si>
    <t>PRIMAVERA</t>
  </si>
  <si>
    <t>SPVARGAS</t>
  </si>
  <si>
    <t>CARRERA OCTAVA</t>
  </si>
  <si>
    <t>SHOYOS</t>
  </si>
  <si>
    <t>AVENIDA CERO</t>
  </si>
  <si>
    <t>RDMENDOZ</t>
  </si>
  <si>
    <t>HOTEL TEQUENDAMA</t>
  </si>
  <si>
    <t>AMRINCON</t>
  </si>
  <si>
    <t>CENTRO COMERCIAL PUNTO DE LA ORIENTAL</t>
  </si>
  <si>
    <t>VSANDOVA</t>
  </si>
  <si>
    <t>VISITACION</t>
  </si>
  <si>
    <t>EIJARAMI</t>
  </si>
  <si>
    <t>CALLE 122</t>
  </si>
  <si>
    <t>LMRAYRAN</t>
  </si>
  <si>
    <t>CONTADOR</t>
  </si>
  <si>
    <t>ALEXHERN</t>
  </si>
  <si>
    <t>PASTO</t>
  </si>
  <si>
    <t>JHCISNE</t>
  </si>
  <si>
    <t>CENTRO FINANCIERO</t>
  </si>
  <si>
    <t>CLLAZARO</t>
  </si>
  <si>
    <t>ÉXITO COLOMBIA</t>
  </si>
  <si>
    <t>YLLOZANO</t>
  </si>
  <si>
    <t>BARRIO RICAURTE</t>
  </si>
  <si>
    <t>DPRODRIG</t>
  </si>
  <si>
    <t>LA QUINTA</t>
  </si>
  <si>
    <t>CDOMINGU</t>
  </si>
  <si>
    <t>EL CACIQUE</t>
  </si>
  <si>
    <t>PCALDERO</t>
  </si>
  <si>
    <t>LA ESTACION IBAGUE</t>
  </si>
  <si>
    <t>GEBARRER</t>
  </si>
  <si>
    <t>GRANCENTRO</t>
  </si>
  <si>
    <t>GINSALAS</t>
  </si>
  <si>
    <t>CHIA</t>
  </si>
  <si>
    <t>DMPARADA</t>
  </si>
  <si>
    <t>VALLEDUPAR</t>
  </si>
  <si>
    <t>ANGMARTI</t>
  </si>
  <si>
    <t>CALLE ONCE</t>
  </si>
  <si>
    <t>CRALFONS</t>
  </si>
  <si>
    <t>PARQUE LA COLINA</t>
  </si>
  <si>
    <t>DERAMIRE</t>
  </si>
  <si>
    <t>EL TESORO</t>
  </si>
  <si>
    <t>ALEXASAN</t>
  </si>
  <si>
    <t>TUMACO</t>
  </si>
  <si>
    <t>DIARQUIN</t>
  </si>
  <si>
    <t>DORADO PLAZA</t>
  </si>
  <si>
    <t>EHUERFAN</t>
  </si>
  <si>
    <t>AVENIDA PEPE SIERRA</t>
  </si>
  <si>
    <t>LUISACOS</t>
  </si>
  <si>
    <t>ARAUCA</t>
  </si>
  <si>
    <t>VICARDEN</t>
  </si>
  <si>
    <t>CHIQUINQUIRA</t>
  </si>
  <si>
    <t>LAGAITAN</t>
  </si>
  <si>
    <t>MOSQUERA</t>
  </si>
  <si>
    <t>SAESCOBA</t>
  </si>
  <si>
    <t>LA AMERICA</t>
  </si>
  <si>
    <t>JGARCIAG</t>
  </si>
  <si>
    <t>JAMUNDI</t>
  </si>
  <si>
    <t>ACHACON</t>
  </si>
  <si>
    <t>CALLE SEGUNDA</t>
  </si>
  <si>
    <t>Yamileth Abella Bonilla</t>
  </si>
  <si>
    <t>CAGAVIRI</t>
  </si>
  <si>
    <t>CAUCASIA</t>
  </si>
  <si>
    <t>RYOLI</t>
  </si>
  <si>
    <t>MAICAO</t>
  </si>
  <si>
    <t>YBRITO</t>
  </si>
  <si>
    <t>Ipiales</t>
  </si>
  <si>
    <t>DIEFLORE</t>
  </si>
  <si>
    <t>Inicia 15 Agosto</t>
  </si>
  <si>
    <t>BUCARAMANGA</t>
  </si>
  <si>
    <t>TMARCELA</t>
  </si>
  <si>
    <t>CALIMA</t>
  </si>
  <si>
    <t>DIEGJARA</t>
  </si>
  <si>
    <t>GIRON</t>
  </si>
  <si>
    <t>ADCALA</t>
  </si>
  <si>
    <t>QUIBDO</t>
  </si>
  <si>
    <t>LCARRASC</t>
  </si>
  <si>
    <t>BELLA SUIZA</t>
  </si>
  <si>
    <t>YEGARCIA</t>
  </si>
  <si>
    <t>BARRANCABERMEJA</t>
  </si>
  <si>
    <t>ASAJONER</t>
  </si>
  <si>
    <t>PLAZA DEL RIO</t>
  </si>
  <si>
    <t>EPAEZ</t>
  </si>
  <si>
    <t>PLAZA DE MERCADO MONTERIA</t>
  </si>
  <si>
    <t>CARMENDO</t>
  </si>
  <si>
    <t>MAGANGUE</t>
  </si>
  <si>
    <t>FRSUAREZ</t>
  </si>
  <si>
    <t>SAHAGUN</t>
  </si>
  <si>
    <t>LCHAVEZ</t>
  </si>
  <si>
    <t>CENTRO DE PAGOS RIONEGRO</t>
  </si>
  <si>
    <t>VILLETA</t>
  </si>
  <si>
    <t>IFERRO</t>
  </si>
  <si>
    <t>BARRIO RESTREPO</t>
  </si>
  <si>
    <t>OPSANCHE</t>
  </si>
  <si>
    <t>SINCELEJO</t>
  </si>
  <si>
    <t>MEBARRIO</t>
  </si>
  <si>
    <t>BARBOSA</t>
  </si>
  <si>
    <t>ESTORRES</t>
  </si>
  <si>
    <t>MARIQUITA</t>
  </si>
  <si>
    <t>ETABARES</t>
  </si>
  <si>
    <t>PLAZA ESPAÑA</t>
  </si>
  <si>
    <t>SPANCHA</t>
  </si>
  <si>
    <t>BUGA</t>
  </si>
  <si>
    <t>CVRODRIG</t>
  </si>
  <si>
    <t>TELEPORT</t>
  </si>
  <si>
    <t>EPONCEQ</t>
  </si>
  <si>
    <t>ZIPAQUIRA</t>
  </si>
  <si>
    <t>ABFIGUER</t>
  </si>
  <si>
    <t>PAMPLONA</t>
  </si>
  <si>
    <t>ERMENDOZ</t>
  </si>
  <si>
    <t>CENTRAL DE ABASTOS MEDELLIN</t>
  </si>
  <si>
    <t>PAGALLEG</t>
  </si>
  <si>
    <t>ALAMEDAS DEL SINU</t>
  </si>
  <si>
    <t>GEVALVER</t>
  </si>
  <si>
    <t>CENTRO COMERCIAL SANTAFE MEDELLIN</t>
  </si>
  <si>
    <t>LVELEZOR</t>
  </si>
  <si>
    <t>PITALITO</t>
  </si>
  <si>
    <t>NSARRIA</t>
  </si>
  <si>
    <t xml:space="preserve">BUENAVISTA MONTERIA </t>
  </si>
  <si>
    <t>VICHINCA</t>
  </si>
  <si>
    <t>OESTE</t>
  </si>
  <si>
    <t>CDSALINA</t>
  </si>
  <si>
    <t>MALL PLAZA BUENAVISTA</t>
  </si>
  <si>
    <t>STNINO</t>
  </si>
  <si>
    <t>EDIFICIO 8111 ASESORIA</t>
  </si>
  <si>
    <t>NMPUERTO</t>
  </si>
  <si>
    <t>EL CARMEN DE VIBORAL</t>
  </si>
  <si>
    <t>ANMGIRAL</t>
  </si>
  <si>
    <t>EL BOSQUE</t>
  </si>
  <si>
    <t>GBUSTILL</t>
  </si>
  <si>
    <t>EDIFICIO 9211</t>
  </si>
  <si>
    <t>JOHNHERN</t>
  </si>
  <si>
    <t>ITAGUI</t>
  </si>
  <si>
    <t>CARARBOL</t>
  </si>
  <si>
    <t>CARTAGO</t>
  </si>
  <si>
    <t>NPABON</t>
  </si>
  <si>
    <t>LAURELES</t>
  </si>
  <si>
    <t>JOSORIO</t>
  </si>
  <si>
    <t>FLORIDA</t>
  </si>
  <si>
    <t>MAILOPEZ</t>
  </si>
  <si>
    <t>CALI</t>
  </si>
  <si>
    <t>MRAMIR</t>
  </si>
  <si>
    <t>CENTRO INTERNACIONAL</t>
  </si>
  <si>
    <t>JCCRIST</t>
  </si>
  <si>
    <t>TURBACO</t>
  </si>
  <si>
    <t>GREDONDO</t>
  </si>
  <si>
    <t>POLO CLUB</t>
  </si>
  <si>
    <t>ANRODRI</t>
  </si>
  <si>
    <t>MALL PLAZA NQS</t>
  </si>
  <si>
    <t>ZTCARDEN</t>
  </si>
  <si>
    <t>VIVA BARRANQUILLA</t>
  </si>
  <si>
    <t>LCPEREZ</t>
  </si>
  <si>
    <t>EL LAGO</t>
  </si>
  <si>
    <t>LUZMLOPE</t>
  </si>
  <si>
    <t>CENTRO COMERCIAL SERREZUELA</t>
  </si>
  <si>
    <t>YETORRES</t>
  </si>
  <si>
    <t>CENTRO COMERCIAL SAN PEDRO</t>
  </si>
  <si>
    <t>YPULIDO</t>
  </si>
  <si>
    <t>DIVER PLAZA</t>
  </si>
  <si>
    <t>FMILES</t>
  </si>
  <si>
    <t>LA PLATA</t>
  </si>
  <si>
    <t>ERMALDO</t>
  </si>
  <si>
    <t>TURBO</t>
  </si>
  <si>
    <t>JUVCANTI</t>
  </si>
  <si>
    <t>VIPASA</t>
  </si>
  <si>
    <t>EMONTOYA</t>
  </si>
  <si>
    <t>PUERTO ASIS</t>
  </si>
  <si>
    <t>VBURBANO</t>
  </si>
  <si>
    <t>CENTRO COMERCIAL PARQUE ALEGRA</t>
  </si>
  <si>
    <t>MCTRILL</t>
  </si>
  <si>
    <t>GRANADA META</t>
  </si>
  <si>
    <t>ADMAHECH</t>
  </si>
  <si>
    <t>ACACIAS</t>
  </si>
  <si>
    <t>ERPFRANC</t>
  </si>
  <si>
    <t>PASEO VILLA DEL RIO</t>
  </si>
  <si>
    <t>NGALVIS</t>
  </si>
  <si>
    <t>UNICENTRO MEDELLIN</t>
  </si>
  <si>
    <t>MARARAQU</t>
  </si>
  <si>
    <t>VILLA CAMPESTRE</t>
  </si>
  <si>
    <t>DGDONADO</t>
  </si>
  <si>
    <t>UNICENTRO VILLAVICENCIO</t>
  </si>
  <si>
    <t>YENMUNOZ</t>
  </si>
  <si>
    <t>SANTA MARTA</t>
  </si>
  <si>
    <t>MPINERES</t>
  </si>
  <si>
    <t>PARQUE FABRICATO</t>
  </si>
  <si>
    <t>TAMARIN</t>
  </si>
  <si>
    <t>FUSAGASUGA</t>
  </si>
  <si>
    <t>MJINFANT</t>
  </si>
  <si>
    <t>Desde el 12 de Junio cambia de TDV a Suc</t>
  </si>
  <si>
    <t>VILLAVICENCIO</t>
  </si>
  <si>
    <t>JHORINCO</t>
  </si>
  <si>
    <t>Nuevo 1 de Sept</t>
  </si>
  <si>
    <t>Cajero nuevo, sin movimiento</t>
  </si>
  <si>
    <t>ATM MF SUC GRAN MANZANA 1</t>
  </si>
  <si>
    <t>ADARCIA</t>
  </si>
  <si>
    <t>CAJERO SIN MOVIMIENTO</t>
  </si>
  <si>
    <t>ATM SUC MF LLANOGRAN PALMIR 1</t>
  </si>
  <si>
    <t>ALBARCE</t>
  </si>
  <si>
    <t>Unnamed: 0</t>
  </si>
  <si>
    <t>Unnamed: 1</t>
  </si>
  <si>
    <t>Unnamed: 2</t>
  </si>
  <si>
    <t>Unnamed: 3</t>
  </si>
  <si>
    <t>Unnamed: 4</t>
  </si>
  <si>
    <t>Unnamed: 5</t>
  </si>
  <si>
    <t>Unnamed: 6</t>
  </si>
  <si>
    <t>Pendiente de investigación por parte de la Sección Servicios Sucursales</t>
  </si>
  <si>
    <t>Pendiente de investigación por parte de la Sucursal</t>
  </si>
  <si>
    <t>ACLARAR DIFERENCIA Y REPETIR ARQUEO, por favor validar provisiones trocadas entre los cajeros 4517 y 4847, contactarme por teams una vez hayan encontrado el error para indicarles cómo proceder.</t>
  </si>
  <si>
    <t>Cajero cuadrado, sin observación por parte de la sucursal.</t>
  </si>
  <si>
    <t xml:space="preserve">Contabilizada por la sección en la cuenta de Faltantes 168710093 el 16/12/2022 - Faltante queda en investigación por parte de la Sección Serv. Sucursales. </t>
  </si>
  <si>
    <t>Contabilizada por la sección en la cuenta de Faltantes 168710093  el  27/12/2021 - REVERSAR</t>
  </si>
  <si>
    <t>Faltante originado por sobrante contabilizado el 08/12/2021 - Se reversa el 27/12/2021</t>
  </si>
  <si>
    <t>El sobrante es cruzado con faltante contabilizado el 26/01/2026 el cual es reversado por la Gerencia De Autoservicios y Efectivo el 12/02/2026</t>
  </si>
  <si>
    <t>Diferencia menor a 3.000 - No es necesario otro arqueo</t>
  </si>
  <si>
    <t>Faltante es reversado por la sección el 03 de abril, con sobrante contabilizado el día 20 de marzo</t>
  </si>
  <si>
    <t>Aclarar Diferencia. En caso de no aclarar por favor realizar un nuevo arqueo al cajero.</t>
  </si>
  <si>
    <t>El faltante  de $26.000 es cruzado con sobrante contabilizado el día 11/02/2026 el cual es reversado por la seccion el día 16/02/2026</t>
  </si>
  <si>
    <t>Aclarar Diferencia, realizar las validaciones indicadas en el correo de Faltantes. En caso de no aclarar por favor realizar un nuevo arqueo al cajero.</t>
  </si>
  <si>
    <t>El sobrante es cruzado con faltante contabilizado el día 28/09/2025 el cual es reversado por la seccion el día 11/09/2025, la diferencia es contabilizada por la sección en la cuenta 279510020 el día 11/09/2025</t>
  </si>
  <si>
    <t>REVERSAR</t>
  </si>
  <si>
    <t>El faltante $46.600 es cruzado con sobrante contabilizado el día 23/02/2026 el cual es reversado por la seccion el día 28/02/2026</t>
  </si>
  <si>
    <t xml:space="preserve">Cuadrado </t>
  </si>
  <si>
    <t>*CANCELACION FALTANTES CUENTA 168710093 POR PARTE DE LAS SUCURSALES*</t>
  </si>
  <si>
    <t xml:space="preserve">TRX MEDELLIN: 2492
Para cancelar (pagar) los faltantes que tengan contabilizados en la cuenta 168710093, realizan en Medellín la transacción 2492 con código cajero MF y la cédula del cajero a quien fue cargado el faltante en su momento.
Esta Trx les da cruce a caja con entrada de efectivo.
NOTA: Antes de realizar la cancelación por favor verificar siempre la cuenta 168710093.
</t>
  </si>
  <si>
    <t>CONTABILIDADES GOLF-WOLF SUCURSALES</t>
  </si>
  <si>
    <t>0041 - Provisión Cajero Wolf - Seleccionan la TX realizada y en recuadro abajo dan la opción "Reversar"</t>
  </si>
  <si>
    <t>0105 - Remanente Cajero Wolf - Sucursal</t>
  </si>
  <si>
    <t xml:space="preserve">0095 - Faltantes en Caja </t>
  </si>
  <si>
    <t>0097 - Sobrantes en Caja</t>
  </si>
  <si>
    <t>0096 - Reintegro Faltantes en Caja</t>
  </si>
  <si>
    <t>Deben reintegrar el sobrante de caja y meterlo físico al cajero XXX, al cajero NO se le hace nada contable, solo ingresarle de manera física el dinero y deben realizarle nuevamente arqueo al cajero y ya este se debe reflejar cuadrado con el ajuste realizado.</t>
  </si>
  <si>
    <t>billetes falsos en cajero mf belltech, deben de hacer arqueo sin tener en cuenta el billete primero porque puede que el cajero reciba el dinero pero no haga ninguna trx y no genere descuadre, si el cajero genera descuadre deben de sacar el billete como remanente, grabar faltante en caja, enviarnos un correo para reclasificarlo a faltantes cajero y llevarlo al pyg y enviar el billete a la sección</t>
  </si>
  <si>
    <t>CODIGO</t>
  </si>
  <si>
    <t>COD. SUC</t>
  </si>
  <si>
    <t>CODIGO.1</t>
  </si>
  <si>
    <t>Dispensador / Multifuncional</t>
  </si>
  <si>
    <t>ADMINISTRACIÓN</t>
  </si>
  <si>
    <t>MARCA</t>
  </si>
  <si>
    <t>SUC</t>
  </si>
  <si>
    <t>MULTIFUNCIONAL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</si>
</sst>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732"/>
  <sheetViews>
    <sheetView tabSelected="1" workbookViewId="0">
      <selection activeCell="A51" sqref="A51:XFD51"/>
    </sheetView>
  </sheetViews>
  <sheetFormatPr baseColWidth="10" defaultColWidth="8.7265625" defaultRowHeight="14.5" x14ac:dyDescent="0.35"/>
  <cols>
    <col min="13" max="13" width="14.1796875" bestFit="1" customWidth="1"/>
    <col min="15" max="15" width="255.6328125" bestFit="1" customWidth="1"/>
  </cols>
  <sheetData>
    <row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idden="1" x14ac:dyDescent="0.35">
      <c r="A2">
        <v>499</v>
      </c>
      <c r="B2">
        <v>172</v>
      </c>
      <c r="C2" t="s">
        <v>16</v>
      </c>
      <c r="D2" t="s">
        <v>16</v>
      </c>
      <c r="E2" s="2">
        <v>46100</v>
      </c>
      <c r="F2" s="2">
        <v>46099</v>
      </c>
      <c r="G2" t="s">
        <v>94</v>
      </c>
      <c r="H2">
        <v>80057600</v>
      </c>
      <c r="I2">
        <v>54616600</v>
      </c>
      <c r="J2">
        <v>3470000</v>
      </c>
      <c r="K2">
        <v>9900000</v>
      </c>
      <c r="M2">
        <f>I2-(H2+J2-K2)- L2</f>
        <v>-19011000</v>
      </c>
      <c r="N2" t="str">
        <f>IF(M2=0,"Cuadrado",IF(M2&gt;0,"Faltante","Sobrante"))</f>
        <v>Sobrante</v>
      </c>
      <c r="O2" t="s">
        <v>95</v>
      </c>
      <c r="P2">
        <v>71337474</v>
      </c>
    </row>
    <row r="3" spans="1:16" hidden="1" x14ac:dyDescent="0.35">
      <c r="A3">
        <v>348</v>
      </c>
      <c r="B3">
        <v>192</v>
      </c>
      <c r="C3" t="s">
        <v>19</v>
      </c>
      <c r="D3" t="s">
        <v>19</v>
      </c>
      <c r="E3" s="2">
        <v>46097</v>
      </c>
      <c r="F3" s="2">
        <v>46094</v>
      </c>
      <c r="G3" t="s">
        <v>211</v>
      </c>
      <c r="H3">
        <v>331471800</v>
      </c>
      <c r="I3">
        <v>237963800</v>
      </c>
      <c r="J3">
        <v>16150000</v>
      </c>
      <c r="K3">
        <v>105999950</v>
      </c>
      <c r="M3">
        <f>I3-(H3+J3-K3)- L3</f>
        <v>-3658050</v>
      </c>
      <c r="N3" t="str">
        <f>IF(M3=0,"Cuadrado",IF(M3&gt;0,"Faltante","Sobrante"))</f>
        <v>Sobrante</v>
      </c>
      <c r="P3">
        <v>1123633014</v>
      </c>
    </row>
    <row r="4" spans="1:16" hidden="1" x14ac:dyDescent="0.35">
      <c r="A4">
        <v>292</v>
      </c>
      <c r="B4">
        <v>278</v>
      </c>
      <c r="C4" t="s">
        <v>19</v>
      </c>
      <c r="D4" t="s">
        <v>19</v>
      </c>
      <c r="E4" s="2">
        <v>46101</v>
      </c>
      <c r="F4" s="2">
        <v>46100</v>
      </c>
      <c r="G4" t="s">
        <v>85</v>
      </c>
      <c r="H4">
        <v>46133300</v>
      </c>
      <c r="I4">
        <v>54233300</v>
      </c>
      <c r="J4">
        <v>10230000</v>
      </c>
      <c r="K4">
        <v>2130000</v>
      </c>
      <c r="M4">
        <f>I4-(H4+J4-K4)- L4</f>
        <v>0</v>
      </c>
      <c r="N4" t="str">
        <f>IF(M4=0,"Cuadrado",IF(M4&gt;0,"Faltante","Sobrante"))</f>
        <v>Cuadrado</v>
      </c>
      <c r="O4" t="s">
        <v>37</v>
      </c>
      <c r="P4">
        <v>44006127</v>
      </c>
    </row>
    <row r="5" spans="1:16" hidden="1" x14ac:dyDescent="0.35">
      <c r="A5">
        <v>292</v>
      </c>
      <c r="B5">
        <v>278</v>
      </c>
      <c r="C5" t="s">
        <v>19</v>
      </c>
      <c r="D5" t="s">
        <v>16</v>
      </c>
      <c r="E5" s="2">
        <v>46099</v>
      </c>
      <c r="F5" s="2">
        <v>46098</v>
      </c>
      <c r="G5" t="s">
        <v>196</v>
      </c>
      <c r="H5">
        <v>108639700</v>
      </c>
      <c r="I5">
        <v>119010700</v>
      </c>
      <c r="J5">
        <v>15080000</v>
      </c>
      <c r="K5">
        <v>4709000</v>
      </c>
      <c r="M5">
        <f>I5-(H5+J5-K5)- L5</f>
        <v>0</v>
      </c>
      <c r="N5" t="str">
        <f>IF(M5=0,"Cuadrado",IF(M5&gt;0,"Faltante","Sobrante"))</f>
        <v>Cuadrado</v>
      </c>
      <c r="O5" t="s">
        <v>37</v>
      </c>
    </row>
    <row r="6" spans="1:16" hidden="1" x14ac:dyDescent="0.35">
      <c r="A6">
        <v>4</v>
      </c>
      <c r="B6">
        <v>316</v>
      </c>
      <c r="C6" t="s">
        <v>19</v>
      </c>
      <c r="D6" t="s">
        <v>19</v>
      </c>
      <c r="E6" s="2">
        <v>46100</v>
      </c>
      <c r="F6" s="2">
        <v>46099</v>
      </c>
      <c r="G6" t="s">
        <v>96</v>
      </c>
      <c r="H6">
        <v>63055750</v>
      </c>
      <c r="I6">
        <v>72876700</v>
      </c>
      <c r="J6">
        <v>26370000</v>
      </c>
      <c r="K6">
        <v>12223000</v>
      </c>
      <c r="M6">
        <f>I6-(H6+J6-K6)- L6</f>
        <v>-4326050</v>
      </c>
      <c r="N6" t="str">
        <f>IF(M6=0,"Cuadrado",IF(M6&gt;0,"Faltante","Sobrante"))</f>
        <v>Sobrante</v>
      </c>
      <c r="O6" t="s">
        <v>95</v>
      </c>
      <c r="P6">
        <v>1152186094</v>
      </c>
    </row>
    <row r="7" spans="1:16" hidden="1" x14ac:dyDescent="0.35">
      <c r="A7">
        <v>4</v>
      </c>
      <c r="B7">
        <v>316</v>
      </c>
      <c r="C7" t="s">
        <v>19</v>
      </c>
      <c r="D7" t="s">
        <v>19</v>
      </c>
      <c r="E7" s="2">
        <v>46084</v>
      </c>
      <c r="F7" s="2">
        <v>46083</v>
      </c>
      <c r="G7" t="s">
        <v>153</v>
      </c>
      <c r="H7">
        <v>165401700</v>
      </c>
      <c r="I7">
        <v>152849650</v>
      </c>
      <c r="J7">
        <v>10330000</v>
      </c>
      <c r="K7">
        <v>30416000</v>
      </c>
      <c r="L7">
        <v>7270000</v>
      </c>
      <c r="M7">
        <f>I7-(H7+J7-K7)- L7</f>
        <v>263950</v>
      </c>
      <c r="N7" t="str">
        <f>IF(M7=0,"Cuadrado",IF(M7&gt;0,"Faltante","Sobrante"))</f>
        <v>Faltante</v>
      </c>
      <c r="O7" t="s">
        <v>59</v>
      </c>
      <c r="P7">
        <v>71278620</v>
      </c>
    </row>
    <row r="8" spans="1:16" hidden="1" x14ac:dyDescent="0.35">
      <c r="A8">
        <v>306</v>
      </c>
      <c r="B8">
        <v>428</v>
      </c>
      <c r="C8" t="s">
        <v>16</v>
      </c>
      <c r="D8" t="s">
        <v>16</v>
      </c>
      <c r="E8" s="2">
        <v>46105</v>
      </c>
      <c r="F8" s="2">
        <v>46101</v>
      </c>
      <c r="G8" t="s">
        <v>17</v>
      </c>
      <c r="H8">
        <v>73769200</v>
      </c>
      <c r="I8">
        <v>351374200</v>
      </c>
      <c r="J8">
        <v>4740000</v>
      </c>
      <c r="K8">
        <v>22811000</v>
      </c>
      <c r="L8">
        <v>0</v>
      </c>
      <c r="M8">
        <f>I8-(H8+J8-K8)- L8</f>
        <v>295676000</v>
      </c>
      <c r="N8" t="str">
        <f>IF(M8=0,"Cuadrado",IF(M8&gt;0,"Faltante","Sobrante"))</f>
        <v>Faltante</v>
      </c>
      <c r="O8" t="s">
        <v>18</v>
      </c>
      <c r="P8">
        <v>1096233458</v>
      </c>
    </row>
    <row r="9" spans="1:16" hidden="1" x14ac:dyDescent="0.35">
      <c r="A9">
        <v>306</v>
      </c>
      <c r="B9">
        <v>428</v>
      </c>
      <c r="C9" t="s">
        <v>16</v>
      </c>
      <c r="D9" t="s">
        <v>16</v>
      </c>
      <c r="E9" s="2">
        <v>46100</v>
      </c>
      <c r="F9" s="2">
        <v>46099</v>
      </c>
      <c r="G9" t="s">
        <v>97</v>
      </c>
      <c r="H9">
        <v>110931050</v>
      </c>
      <c r="I9">
        <v>219230050</v>
      </c>
      <c r="J9" t="s">
        <v>98</v>
      </c>
      <c r="K9">
        <v>1920000</v>
      </c>
      <c r="M9" t="e">
        <f>I9-(H9+J9-K9)- L9</f>
        <v>#VALUE!</v>
      </c>
      <c r="N9" t="e">
        <f>IF(M9=0,"Cuadrado",IF(M9&gt;0,"Faltante","Sobrante"))</f>
        <v>#VALUE!</v>
      </c>
      <c r="O9" t="s">
        <v>59</v>
      </c>
      <c r="P9">
        <v>1096233458</v>
      </c>
    </row>
    <row r="10" spans="1:16" x14ac:dyDescent="0.35">
      <c r="A10">
        <v>306</v>
      </c>
      <c r="B10">
        <v>428</v>
      </c>
      <c r="C10" t="s">
        <v>16</v>
      </c>
      <c r="D10" t="s">
        <v>16</v>
      </c>
      <c r="E10" s="2">
        <v>46106</v>
      </c>
      <c r="F10" s="2">
        <v>46105</v>
      </c>
      <c r="G10" t="s">
        <v>300</v>
      </c>
      <c r="H10">
        <v>68070100</v>
      </c>
      <c r="I10">
        <v>458695600</v>
      </c>
      <c r="J10">
        <v>0</v>
      </c>
      <c r="K10">
        <v>37185500</v>
      </c>
      <c r="L10">
        <f>101680000+317792000</f>
        <v>419472000</v>
      </c>
      <c r="M10">
        <f>I10-(H10+J10-K10)- L10</f>
        <v>8339000</v>
      </c>
      <c r="N10" t="str">
        <f>IF(M10=0,"Cuadrado",IF(M10&gt;0,"Faltante","Sobrante"))</f>
        <v>Faltante</v>
      </c>
      <c r="O10" t="s">
        <v>59</v>
      </c>
      <c r="P10">
        <v>1096233458</v>
      </c>
    </row>
    <row r="11" spans="1:16" hidden="1" x14ac:dyDescent="0.35">
      <c r="A11">
        <v>333</v>
      </c>
      <c r="B11">
        <v>442</v>
      </c>
      <c r="C11" t="s">
        <v>16</v>
      </c>
      <c r="D11" t="s">
        <v>16</v>
      </c>
      <c r="E11" s="2">
        <v>46099</v>
      </c>
      <c r="F11" s="2">
        <v>46098</v>
      </c>
      <c r="G11" t="s">
        <v>107</v>
      </c>
      <c r="H11">
        <v>175104100</v>
      </c>
      <c r="I11">
        <v>167949100</v>
      </c>
      <c r="J11">
        <v>1080000</v>
      </c>
      <c r="K11">
        <v>8235000</v>
      </c>
      <c r="M11">
        <f>I11-(H11+J11-K11)- L11</f>
        <v>0</v>
      </c>
      <c r="N11" t="str">
        <f>IF(M11=0,"Cuadrado",IF(M11&gt;0,"Faltante","Sobrante"))</f>
        <v>Cuadrado</v>
      </c>
      <c r="O11" t="s">
        <v>37</v>
      </c>
    </row>
    <row r="12" spans="1:16" hidden="1" x14ac:dyDescent="0.35">
      <c r="A12">
        <v>333</v>
      </c>
      <c r="B12">
        <v>442</v>
      </c>
      <c r="C12" t="s">
        <v>16</v>
      </c>
      <c r="D12" t="s">
        <v>16</v>
      </c>
      <c r="E12" s="2">
        <v>46094</v>
      </c>
      <c r="F12" s="2">
        <v>46093</v>
      </c>
      <c r="G12" t="s">
        <v>150</v>
      </c>
      <c r="H12">
        <v>121666050</v>
      </c>
      <c r="I12">
        <v>221716600</v>
      </c>
      <c r="J12">
        <v>13930000</v>
      </c>
      <c r="K12">
        <v>87218000</v>
      </c>
      <c r="L12">
        <v>171971000</v>
      </c>
      <c r="M12">
        <f>I12-(H12+J12-K12)- L12</f>
        <v>1367550</v>
      </c>
      <c r="N12" t="str">
        <f>IF(M12=0,"Cuadrado",IF(M12&gt;0,"Faltante","Sobrante"))</f>
        <v>Faltante</v>
      </c>
      <c r="O12" t="s">
        <v>244</v>
      </c>
      <c r="P12">
        <v>1036606819</v>
      </c>
    </row>
    <row r="13" spans="1:16" hidden="1" x14ac:dyDescent="0.35">
      <c r="A13">
        <v>333</v>
      </c>
      <c r="B13">
        <v>442</v>
      </c>
      <c r="C13" t="s">
        <v>16</v>
      </c>
      <c r="D13" t="s">
        <v>16</v>
      </c>
      <c r="E13" s="2">
        <v>46092</v>
      </c>
      <c r="F13" s="2">
        <v>46091</v>
      </c>
      <c r="G13" t="s">
        <v>293</v>
      </c>
      <c r="H13">
        <v>59695600</v>
      </c>
      <c r="I13">
        <v>223551100</v>
      </c>
      <c r="J13">
        <v>3770000</v>
      </c>
      <c r="K13">
        <v>14578000</v>
      </c>
      <c r="M13">
        <f>I13-(H13+J13-K13)- L13</f>
        <v>174663500</v>
      </c>
      <c r="N13" t="str">
        <f>IF(M13=0,"Cuadrado",IF(M13&gt;0,"Faltante","Sobrante"))</f>
        <v>Faltante</v>
      </c>
      <c r="O13" t="s">
        <v>260</v>
      </c>
      <c r="P13">
        <v>1036606819</v>
      </c>
    </row>
    <row r="14" spans="1:16" hidden="1" x14ac:dyDescent="0.35">
      <c r="A14">
        <v>333</v>
      </c>
      <c r="B14">
        <v>442</v>
      </c>
      <c r="C14" t="s">
        <v>16</v>
      </c>
      <c r="D14" t="s">
        <v>16</v>
      </c>
      <c r="E14" s="2">
        <v>46090</v>
      </c>
      <c r="F14" s="2">
        <v>46087</v>
      </c>
      <c r="G14" t="s">
        <v>66</v>
      </c>
      <c r="H14">
        <v>224676050</v>
      </c>
      <c r="I14">
        <v>311601350</v>
      </c>
      <c r="J14">
        <v>25030000</v>
      </c>
      <c r="K14">
        <v>81249200</v>
      </c>
      <c r="M14">
        <f>I14-(H14+J14-K14)- L14</f>
        <v>143144500</v>
      </c>
      <c r="N14" t="str">
        <f>IF(M14=0,"Cuadrado",IF(M14&gt;0,"Faltante","Sobrante"))</f>
        <v>Faltante</v>
      </c>
      <c r="O14" t="s">
        <v>260</v>
      </c>
      <c r="P14">
        <v>1036606819</v>
      </c>
    </row>
    <row r="15" spans="1:16" hidden="1" x14ac:dyDescent="0.35">
      <c r="A15">
        <v>331</v>
      </c>
      <c r="B15">
        <v>574</v>
      </c>
      <c r="C15" t="s">
        <v>19</v>
      </c>
      <c r="D15" t="s">
        <v>19</v>
      </c>
      <c r="E15" s="2">
        <v>46094</v>
      </c>
      <c r="F15" s="2">
        <v>46093</v>
      </c>
      <c r="G15" t="s">
        <v>218</v>
      </c>
      <c r="H15">
        <v>172377600</v>
      </c>
      <c r="I15">
        <v>121317000</v>
      </c>
      <c r="J15">
        <v>9690000</v>
      </c>
      <c r="K15">
        <v>21919000</v>
      </c>
      <c r="M15">
        <f>I15-(H15+J15-K15)- L15</f>
        <v>-38831600</v>
      </c>
      <c r="N15" t="str">
        <f>IF(M15=0,"Cuadrado",IF(M15&gt;0,"Faltante","Sobrante"))</f>
        <v>Sobrante</v>
      </c>
      <c r="O15" t="s">
        <v>245</v>
      </c>
      <c r="P15">
        <v>32244978</v>
      </c>
    </row>
    <row r="16" spans="1:16" hidden="1" x14ac:dyDescent="0.35">
      <c r="A16">
        <v>331</v>
      </c>
      <c r="B16">
        <v>574</v>
      </c>
      <c r="C16" t="s">
        <v>19</v>
      </c>
      <c r="D16" t="s">
        <v>19</v>
      </c>
      <c r="E16" s="2">
        <v>46087</v>
      </c>
      <c r="F16" s="2">
        <v>46086</v>
      </c>
      <c r="G16" t="s">
        <v>166</v>
      </c>
      <c r="H16">
        <v>232051800</v>
      </c>
      <c r="I16">
        <v>401417850</v>
      </c>
      <c r="J16">
        <v>1690000</v>
      </c>
      <c r="K16">
        <v>23799000</v>
      </c>
      <c r="M16">
        <f>I16-(H16+J16-K16)- L16</f>
        <v>191475050</v>
      </c>
      <c r="N16" t="str">
        <f>IF(M16=0,"Cuadrado",IF(M16&gt;0,"Faltante","Sobrante"))</f>
        <v>Faltante</v>
      </c>
      <c r="O16" t="s">
        <v>260</v>
      </c>
      <c r="P16">
        <v>32244978</v>
      </c>
    </row>
    <row r="17" spans="1:16" hidden="1" x14ac:dyDescent="0.35">
      <c r="A17">
        <v>331</v>
      </c>
      <c r="B17">
        <v>574</v>
      </c>
      <c r="C17" t="s">
        <v>19</v>
      </c>
      <c r="D17" t="s">
        <v>19</v>
      </c>
      <c r="E17" s="2">
        <v>46085</v>
      </c>
      <c r="F17" s="2">
        <v>46084</v>
      </c>
      <c r="G17" t="s">
        <v>494</v>
      </c>
      <c r="H17">
        <v>110266600</v>
      </c>
      <c r="I17">
        <v>419768750</v>
      </c>
      <c r="J17">
        <v>27370000</v>
      </c>
      <c r="K17">
        <v>175978850</v>
      </c>
      <c r="L17">
        <v>266636000</v>
      </c>
      <c r="M17">
        <f>I17-(H17+J17-K17)- L17</f>
        <v>191475000</v>
      </c>
      <c r="N17" t="str">
        <f>IF(M17=0,"Cuadrado",IF(M17&gt;0,"Faltante","Sobrante"))</f>
        <v>Faltante</v>
      </c>
      <c r="O17" t="s">
        <v>260</v>
      </c>
      <c r="P17">
        <v>32244978</v>
      </c>
    </row>
    <row r="18" spans="1:16" hidden="1" x14ac:dyDescent="0.35">
      <c r="A18">
        <v>331</v>
      </c>
      <c r="B18">
        <v>575</v>
      </c>
      <c r="C18" t="s">
        <v>19</v>
      </c>
      <c r="D18" t="s">
        <v>19</v>
      </c>
      <c r="E18" s="2">
        <v>46087</v>
      </c>
      <c r="F18" s="2">
        <v>46086</v>
      </c>
      <c r="G18" t="s">
        <v>342</v>
      </c>
      <c r="H18">
        <v>171730250</v>
      </c>
      <c r="I18">
        <v>339250600</v>
      </c>
      <c r="J18">
        <v>3800000</v>
      </c>
      <c r="K18">
        <v>36430000</v>
      </c>
      <c r="M18">
        <f>I18-(H18+J18-K18)- L18</f>
        <v>200150350</v>
      </c>
      <c r="N18" t="str">
        <f>IF(M18=0,"Cuadrado",IF(M18&gt;0,"Faltante","Sobrante"))</f>
        <v>Faltante</v>
      </c>
      <c r="O18" t="s">
        <v>421</v>
      </c>
      <c r="P18">
        <v>32244978</v>
      </c>
    </row>
    <row r="19" spans="1:16" hidden="1" x14ac:dyDescent="0.35">
      <c r="A19">
        <v>61</v>
      </c>
      <c r="B19">
        <v>788</v>
      </c>
      <c r="C19" t="s">
        <v>19</v>
      </c>
      <c r="D19" t="s">
        <v>19</v>
      </c>
      <c r="E19" s="2">
        <v>46099</v>
      </c>
      <c r="F19" s="2">
        <v>46098</v>
      </c>
      <c r="G19" t="s">
        <v>155</v>
      </c>
      <c r="H19">
        <v>205975550</v>
      </c>
      <c r="I19">
        <v>203455550</v>
      </c>
      <c r="J19">
        <v>1430000</v>
      </c>
      <c r="K19">
        <v>2000000</v>
      </c>
      <c r="M19">
        <f>I19-(H19+J19-K19)- L19</f>
        <v>-1950000</v>
      </c>
      <c r="N19" t="str">
        <f>IF(M19=0,"Cuadrado",IF(M19&gt;0,"Faltante","Sobrante"))</f>
        <v>Sobrante</v>
      </c>
      <c r="O19" t="s">
        <v>156</v>
      </c>
    </row>
    <row r="20" spans="1:16" hidden="1" x14ac:dyDescent="0.35">
      <c r="A20">
        <v>61</v>
      </c>
      <c r="B20">
        <v>788</v>
      </c>
      <c r="C20" t="s">
        <v>19</v>
      </c>
      <c r="D20" t="s">
        <v>19</v>
      </c>
      <c r="E20" s="2">
        <v>46092</v>
      </c>
      <c r="F20" s="2">
        <v>46091</v>
      </c>
      <c r="G20" t="s">
        <v>234</v>
      </c>
      <c r="H20">
        <v>135628750</v>
      </c>
      <c r="I20">
        <v>127320750</v>
      </c>
      <c r="J20">
        <v>31040000</v>
      </c>
      <c r="K20">
        <v>39348000</v>
      </c>
      <c r="M20">
        <f>I20-(H20+J20-K20)- L20</f>
        <v>0</v>
      </c>
      <c r="N20" t="str">
        <f>IF(M20=0,"Cuadrado",IF(M20&gt;0,"Faltante","Sobrante"))</f>
        <v>Cuadrado</v>
      </c>
      <c r="O20" t="s">
        <v>37</v>
      </c>
      <c r="P20">
        <v>16497924</v>
      </c>
    </row>
    <row r="21" spans="1:16" hidden="1" x14ac:dyDescent="0.35">
      <c r="A21">
        <v>61</v>
      </c>
      <c r="B21">
        <v>788</v>
      </c>
      <c r="C21" t="s">
        <v>19</v>
      </c>
      <c r="D21" t="s">
        <v>19</v>
      </c>
      <c r="E21" s="2">
        <v>46086</v>
      </c>
      <c r="F21" s="2">
        <v>46085</v>
      </c>
      <c r="G21" t="s">
        <v>276</v>
      </c>
      <c r="H21">
        <v>386695450</v>
      </c>
      <c r="I21">
        <v>390715450</v>
      </c>
      <c r="J21">
        <v>6560000</v>
      </c>
      <c r="K21">
        <v>700000</v>
      </c>
      <c r="M21">
        <f>I21-(H21+J21-K21)- L21</f>
        <v>-1840000</v>
      </c>
      <c r="N21" t="str">
        <f>IF(M21=0,"Cuadrado",IF(M21&gt;0,"Faltante","Sobrante"))</f>
        <v>Sobrante</v>
      </c>
      <c r="O21" t="s">
        <v>467</v>
      </c>
      <c r="P21">
        <v>1144070638</v>
      </c>
    </row>
    <row r="22" spans="1:16" hidden="1" x14ac:dyDescent="0.35">
      <c r="A22">
        <v>61</v>
      </c>
      <c r="B22">
        <v>788</v>
      </c>
      <c r="C22" t="s">
        <v>19</v>
      </c>
      <c r="D22" t="s">
        <v>16</v>
      </c>
      <c r="E22" s="2">
        <v>46084</v>
      </c>
      <c r="F22" s="2">
        <v>46083</v>
      </c>
      <c r="G22" t="s">
        <v>158</v>
      </c>
      <c r="H22">
        <v>149527500</v>
      </c>
      <c r="I22">
        <v>155897500</v>
      </c>
      <c r="J22">
        <v>16070000</v>
      </c>
      <c r="K22">
        <v>9900000</v>
      </c>
      <c r="M22">
        <f>I22-(H22+J22-K22)- L22</f>
        <v>200000</v>
      </c>
      <c r="N22" t="str">
        <f>IF(M22=0,"Cuadrado",IF(M22&gt;0,"Faltante","Sobrante"))</f>
        <v>Faltante</v>
      </c>
      <c r="O22" t="s">
        <v>260</v>
      </c>
      <c r="P22">
        <v>16497924</v>
      </c>
    </row>
    <row r="23" spans="1:16" hidden="1" x14ac:dyDescent="0.35">
      <c r="A23">
        <v>287</v>
      </c>
      <c r="B23">
        <v>907</v>
      </c>
      <c r="C23" t="s">
        <v>16</v>
      </c>
      <c r="D23" t="s">
        <v>16</v>
      </c>
      <c r="E23" s="2">
        <v>46101</v>
      </c>
      <c r="F23" s="2">
        <v>46100</v>
      </c>
      <c r="G23" t="s">
        <v>86</v>
      </c>
      <c r="H23">
        <v>58633650</v>
      </c>
      <c r="I23">
        <v>68213650</v>
      </c>
      <c r="J23">
        <v>9580000</v>
      </c>
      <c r="K23">
        <v>0</v>
      </c>
      <c r="M23">
        <f>I23-(H23+J23-K23)- L23</f>
        <v>0</v>
      </c>
      <c r="N23" t="str">
        <f>IF(M23=0,"Cuadrado",IF(M23&gt;0,"Faltante","Sobrante"))</f>
        <v>Cuadrado</v>
      </c>
      <c r="O23" t="s">
        <v>37</v>
      </c>
      <c r="P23">
        <v>13566403</v>
      </c>
    </row>
    <row r="24" spans="1:16" hidden="1" x14ac:dyDescent="0.35">
      <c r="A24">
        <v>287</v>
      </c>
      <c r="B24">
        <v>907</v>
      </c>
      <c r="C24" t="s">
        <v>16</v>
      </c>
      <c r="D24" t="s">
        <v>16</v>
      </c>
      <c r="E24" s="2">
        <v>46099</v>
      </c>
      <c r="F24" s="2">
        <v>46097</v>
      </c>
      <c r="G24" t="s">
        <v>157</v>
      </c>
      <c r="H24">
        <v>153313650</v>
      </c>
      <c r="I24">
        <v>165008750</v>
      </c>
      <c r="J24">
        <v>32730000</v>
      </c>
      <c r="K24">
        <v>3020000</v>
      </c>
      <c r="M24">
        <f>I24-(H24+J24-K24)- L24</f>
        <v>-18014900</v>
      </c>
      <c r="N24" t="str">
        <f>IF(M24=0,"Cuadrado",IF(M24&gt;0,"Faltante","Sobrante"))</f>
        <v>Sobrante</v>
      </c>
      <c r="O24" t="s">
        <v>156</v>
      </c>
    </row>
    <row r="25" spans="1:16" hidden="1" x14ac:dyDescent="0.35">
      <c r="A25">
        <v>287</v>
      </c>
      <c r="B25">
        <v>907</v>
      </c>
      <c r="C25" t="s">
        <v>16</v>
      </c>
      <c r="D25" t="s">
        <v>16</v>
      </c>
      <c r="E25" s="2">
        <v>46093</v>
      </c>
      <c r="F25" s="2">
        <v>46092</v>
      </c>
      <c r="G25" t="s">
        <v>308</v>
      </c>
      <c r="H25">
        <v>166877150</v>
      </c>
      <c r="I25">
        <v>156296250</v>
      </c>
      <c r="J25">
        <v>19840000</v>
      </c>
      <c r="K25">
        <v>23116000</v>
      </c>
      <c r="M25">
        <f>I25-(H25+J25-K25)- L25</f>
        <v>-7304900</v>
      </c>
      <c r="N25" t="str">
        <f>IF(M25=0,"Cuadrado",IF(M25&gt;0,"Faltante","Sobrante"))</f>
        <v>Sobrante</v>
      </c>
      <c r="O25" t="s">
        <v>309</v>
      </c>
      <c r="P25">
        <v>13566403</v>
      </c>
    </row>
    <row r="26" spans="1:16" hidden="1" x14ac:dyDescent="0.35">
      <c r="A26">
        <v>481</v>
      </c>
      <c r="B26">
        <v>1010</v>
      </c>
      <c r="C26" t="s">
        <v>19</v>
      </c>
      <c r="D26" t="s">
        <v>19</v>
      </c>
      <c r="E26" s="2">
        <v>46093</v>
      </c>
      <c r="F26" s="2">
        <v>46092</v>
      </c>
      <c r="G26" t="s">
        <v>161</v>
      </c>
      <c r="H26">
        <v>205089950</v>
      </c>
      <c r="I26">
        <v>205089950</v>
      </c>
      <c r="J26">
        <v>0</v>
      </c>
      <c r="K26">
        <v>0</v>
      </c>
      <c r="M26">
        <f>I26-(H26+J26-K26)- L26</f>
        <v>0</v>
      </c>
      <c r="N26" t="str">
        <f>IF(M26=0,"Cuadrado",IF(M26&gt;0,"Faltante","Sobrante"))</f>
        <v>Cuadrado</v>
      </c>
      <c r="O26" t="s">
        <v>37</v>
      </c>
      <c r="P26">
        <v>1143439387</v>
      </c>
    </row>
    <row r="27" spans="1:16" hidden="1" x14ac:dyDescent="0.35">
      <c r="A27">
        <v>481</v>
      </c>
      <c r="B27">
        <v>1011</v>
      </c>
      <c r="C27" t="s">
        <v>19</v>
      </c>
      <c r="D27" t="s">
        <v>19</v>
      </c>
      <c r="E27" s="2">
        <v>46093</v>
      </c>
      <c r="F27" s="2">
        <v>46092</v>
      </c>
      <c r="G27" t="s">
        <v>310</v>
      </c>
      <c r="H27">
        <v>294327300</v>
      </c>
      <c r="I27">
        <v>277987300</v>
      </c>
      <c r="J27">
        <v>3520000</v>
      </c>
      <c r="K27">
        <v>11080000</v>
      </c>
      <c r="M27">
        <f>I27-(H27+J27-K27)- L27</f>
        <v>-8780000</v>
      </c>
      <c r="N27" t="str">
        <f>IF(M27=0,"Cuadrado",IF(M27&gt;0,"Faltante","Sobrante"))</f>
        <v>Sobrante</v>
      </c>
      <c r="O27" t="s">
        <v>311</v>
      </c>
      <c r="P27">
        <v>1143439387</v>
      </c>
    </row>
    <row r="28" spans="1:16" hidden="1" x14ac:dyDescent="0.35">
      <c r="A28">
        <v>795</v>
      </c>
      <c r="B28">
        <v>1027</v>
      </c>
      <c r="C28" t="s">
        <v>19</v>
      </c>
      <c r="D28" t="s">
        <v>19</v>
      </c>
      <c r="E28" s="2">
        <v>46100</v>
      </c>
      <c r="F28" s="2">
        <v>46099</v>
      </c>
      <c r="G28" t="s">
        <v>99</v>
      </c>
      <c r="H28">
        <v>249562850</v>
      </c>
      <c r="I28">
        <v>295487450</v>
      </c>
      <c r="J28">
        <v>2680000</v>
      </c>
      <c r="K28">
        <v>6755250</v>
      </c>
      <c r="M28">
        <f>I28-(H28+J28-K28)- L28</f>
        <v>49999850</v>
      </c>
      <c r="N28" t="str">
        <f>IF(M28=0,"Cuadrado",IF(M28&gt;0,"Faltante","Sobrante"))</f>
        <v>Faltante</v>
      </c>
      <c r="O28" t="s">
        <v>59</v>
      </c>
      <c r="P28">
        <v>91274094</v>
      </c>
    </row>
    <row r="29" spans="1:16" hidden="1" x14ac:dyDescent="0.35">
      <c r="A29">
        <v>795</v>
      </c>
      <c r="B29">
        <v>1027</v>
      </c>
      <c r="C29" t="s">
        <v>19</v>
      </c>
      <c r="D29" t="s">
        <v>19</v>
      </c>
      <c r="E29" s="2">
        <v>46093</v>
      </c>
      <c r="F29" s="2">
        <v>46092</v>
      </c>
      <c r="G29" t="s">
        <v>197</v>
      </c>
      <c r="H29">
        <v>240081000</v>
      </c>
      <c r="I29">
        <v>240733000</v>
      </c>
      <c r="J29">
        <v>5760000</v>
      </c>
      <c r="K29">
        <v>5100000</v>
      </c>
      <c r="M29">
        <f>I29-(H29+J29-K29)- L29</f>
        <v>-8000</v>
      </c>
      <c r="N29" t="str">
        <f>IF(M29=0,"Cuadrado",IF(M29&gt;0,"Faltante","Sobrante"))</f>
        <v>Sobrante</v>
      </c>
      <c r="O29" t="s">
        <v>311</v>
      </c>
      <c r="P29">
        <v>91274094</v>
      </c>
    </row>
    <row r="30" spans="1:16" hidden="1" x14ac:dyDescent="0.35">
      <c r="A30">
        <v>795</v>
      </c>
      <c r="B30">
        <v>1027</v>
      </c>
      <c r="C30" t="s">
        <v>19</v>
      </c>
      <c r="D30" t="s">
        <v>19</v>
      </c>
      <c r="E30" s="2">
        <v>46085</v>
      </c>
      <c r="F30" s="2">
        <v>46084</v>
      </c>
      <c r="G30" t="s">
        <v>270</v>
      </c>
      <c r="H30">
        <v>213479350</v>
      </c>
      <c r="I30">
        <v>211855750</v>
      </c>
      <c r="J30">
        <v>5580000</v>
      </c>
      <c r="K30">
        <v>6230000</v>
      </c>
      <c r="M30">
        <f>I30-(H30+J30-K30)- L30</f>
        <v>-973600</v>
      </c>
      <c r="N30" t="str">
        <f>IF(M30=0,"Cuadrado",IF(M30&gt;0,"Faltante","Sobrante"))</f>
        <v>Sobrante</v>
      </c>
      <c r="O30" t="s">
        <v>489</v>
      </c>
      <c r="P30">
        <v>91274094</v>
      </c>
    </row>
    <row r="31" spans="1:16" x14ac:dyDescent="0.35">
      <c r="A31">
        <v>795</v>
      </c>
      <c r="B31">
        <v>1027</v>
      </c>
      <c r="C31" t="s">
        <v>19</v>
      </c>
      <c r="D31" t="s">
        <v>19</v>
      </c>
      <c r="E31" s="2">
        <v>46106</v>
      </c>
      <c r="F31" s="2">
        <v>46105</v>
      </c>
      <c r="G31" t="s">
        <v>64</v>
      </c>
      <c r="H31">
        <v>291953850</v>
      </c>
      <c r="I31">
        <v>288516600</v>
      </c>
      <c r="J31">
        <v>4190000</v>
      </c>
      <c r="K31">
        <v>7582000</v>
      </c>
      <c r="L31">
        <f>0</f>
        <v>0</v>
      </c>
      <c r="M31">
        <f>I31-(H31+J31-K31)- L31</f>
        <v>-45250</v>
      </c>
      <c r="N31" t="str">
        <f>IF(M31=0,"Cuadrado",IF(M31&gt;0,"Faltante","Sobrante"))</f>
        <v>Sobrante</v>
      </c>
      <c r="O31" t="s">
        <v>515</v>
      </c>
      <c r="P31">
        <v>91274094</v>
      </c>
    </row>
    <row r="32" spans="1:16" hidden="1" x14ac:dyDescent="0.35">
      <c r="A32">
        <v>795</v>
      </c>
      <c r="B32">
        <v>1028</v>
      </c>
      <c r="C32" t="s">
        <v>19</v>
      </c>
      <c r="D32" t="s">
        <v>19</v>
      </c>
      <c r="E32" s="2">
        <v>46100</v>
      </c>
      <c r="F32" s="2">
        <v>46099</v>
      </c>
      <c r="G32" t="s">
        <v>100</v>
      </c>
      <c r="H32">
        <v>194488700</v>
      </c>
      <c r="I32">
        <v>195274500</v>
      </c>
      <c r="J32" t="s">
        <v>98</v>
      </c>
      <c r="K32" t="s">
        <v>98</v>
      </c>
      <c r="L32">
        <v>785800</v>
      </c>
      <c r="M32" t="e">
        <f>I32-(H32+J32-K32)- L32</f>
        <v>#VALUE!</v>
      </c>
      <c r="N32" t="e">
        <f>IF(M32=0,"Cuadrado",IF(M32&gt;0,"Faltante","Sobrante"))</f>
        <v>#VALUE!</v>
      </c>
      <c r="O32" t="s">
        <v>101</v>
      </c>
      <c r="P32">
        <v>91274094</v>
      </c>
    </row>
    <row r="33" spans="1:16" hidden="1" x14ac:dyDescent="0.35">
      <c r="A33">
        <v>795</v>
      </c>
      <c r="B33">
        <v>1028</v>
      </c>
      <c r="C33" t="s">
        <v>19</v>
      </c>
      <c r="D33" t="s">
        <v>19</v>
      </c>
      <c r="E33" s="2">
        <v>46093</v>
      </c>
      <c r="F33" s="2">
        <v>46092</v>
      </c>
      <c r="G33" t="s">
        <v>312</v>
      </c>
      <c r="H33">
        <v>191401850</v>
      </c>
      <c r="I33">
        <v>183691850</v>
      </c>
      <c r="J33">
        <v>500000</v>
      </c>
      <c r="K33">
        <v>1906000</v>
      </c>
      <c r="M33">
        <f>I33-(H33+J33-K33)- L33</f>
        <v>-6304000</v>
      </c>
      <c r="N33" t="str">
        <f>IF(M33=0,"Cuadrado",IF(M33&gt;0,"Faltante","Sobrante"))</f>
        <v>Sobrante</v>
      </c>
      <c r="O33" t="s">
        <v>311</v>
      </c>
      <c r="P33">
        <v>91274094</v>
      </c>
    </row>
    <row r="34" spans="1:16" x14ac:dyDescent="0.35">
      <c r="A34">
        <v>795</v>
      </c>
      <c r="B34">
        <v>1028</v>
      </c>
      <c r="C34" t="s">
        <v>19</v>
      </c>
      <c r="D34" t="s">
        <v>19</v>
      </c>
      <c r="E34" s="2">
        <v>46106</v>
      </c>
      <c r="F34" s="2">
        <v>46105</v>
      </c>
      <c r="G34" t="s">
        <v>528</v>
      </c>
      <c r="H34">
        <v>191146850</v>
      </c>
      <c r="I34">
        <v>189197700</v>
      </c>
      <c r="J34">
        <v>300000</v>
      </c>
      <c r="K34">
        <v>2300000</v>
      </c>
      <c r="L34">
        <f>0</f>
        <v>0</v>
      </c>
      <c r="M34">
        <f>I34-(H34+J34-K34)- L34</f>
        <v>50850</v>
      </c>
      <c r="N34" t="str">
        <f>IF(M34=0,"Cuadrado",IF(M34&gt;0,"Faltante","Sobrante"))</f>
        <v>Faltante</v>
      </c>
      <c r="O34" t="s">
        <v>59</v>
      </c>
      <c r="P34">
        <v>91274094</v>
      </c>
    </row>
    <row r="35" spans="1:16" hidden="1" x14ac:dyDescent="0.35">
      <c r="A35">
        <v>795</v>
      </c>
      <c r="B35">
        <v>1029</v>
      </c>
      <c r="C35" t="s">
        <v>19</v>
      </c>
      <c r="D35" t="s">
        <v>19</v>
      </c>
      <c r="E35" s="2">
        <v>46100</v>
      </c>
      <c r="F35" s="2">
        <v>46099</v>
      </c>
      <c r="G35" t="s">
        <v>141</v>
      </c>
      <c r="H35">
        <v>256277400</v>
      </c>
      <c r="I35">
        <v>255197400</v>
      </c>
      <c r="J35">
        <v>5470000</v>
      </c>
      <c r="K35">
        <v>6550000</v>
      </c>
      <c r="M35">
        <f>I35-(H35+J35-K35)- L35</f>
        <v>0</v>
      </c>
      <c r="N35" t="str">
        <f>IF(M35=0,"Cuadrado",IF(M35&gt;0,"Faltante","Sobrante"))</f>
        <v>Cuadrado</v>
      </c>
      <c r="O35" t="s">
        <v>37</v>
      </c>
      <c r="P35">
        <v>91274094</v>
      </c>
    </row>
    <row r="36" spans="1:16" hidden="1" x14ac:dyDescent="0.35">
      <c r="A36">
        <v>795</v>
      </c>
      <c r="B36">
        <v>1029</v>
      </c>
      <c r="C36" t="s">
        <v>19</v>
      </c>
      <c r="D36" t="s">
        <v>19</v>
      </c>
      <c r="E36" s="2">
        <v>46093</v>
      </c>
      <c r="F36" s="2">
        <v>46092</v>
      </c>
      <c r="G36" t="s">
        <v>72</v>
      </c>
      <c r="H36">
        <v>118626650</v>
      </c>
      <c r="I36">
        <v>116766650</v>
      </c>
      <c r="J36">
        <v>6750000</v>
      </c>
      <c r="K36">
        <v>8610000</v>
      </c>
      <c r="M36">
        <f>I36-(H36+J36-K36)- L36</f>
        <v>0</v>
      </c>
      <c r="N36" t="str">
        <f>IF(M36=0,"Cuadrado",IF(M36&gt;0,"Faltante","Sobrante"))</f>
        <v>Cuadrado</v>
      </c>
      <c r="O36" t="s">
        <v>37</v>
      </c>
      <c r="P36">
        <v>91274094</v>
      </c>
    </row>
    <row r="37" spans="1:16" hidden="1" x14ac:dyDescent="0.35">
      <c r="A37">
        <v>795</v>
      </c>
      <c r="B37">
        <v>1029</v>
      </c>
      <c r="C37" t="s">
        <v>19</v>
      </c>
      <c r="D37" t="s">
        <v>19</v>
      </c>
      <c r="E37" s="2">
        <v>46086</v>
      </c>
      <c r="F37" s="2">
        <v>46085</v>
      </c>
      <c r="G37" t="s">
        <v>280</v>
      </c>
      <c r="H37">
        <v>223953000</v>
      </c>
      <c r="I37">
        <v>170468000</v>
      </c>
      <c r="J37">
        <v>17780000</v>
      </c>
      <c r="K37">
        <v>64095000</v>
      </c>
      <c r="M37">
        <f>I37-(H37+J37-K37)- L37</f>
        <v>-7170000</v>
      </c>
      <c r="N37" t="str">
        <f>IF(M37=0,"Cuadrado",IF(M37&gt;0,"Faltante","Sobrante"))</f>
        <v>Sobrante</v>
      </c>
      <c r="O37" t="s">
        <v>467</v>
      </c>
      <c r="P37">
        <v>91274094</v>
      </c>
    </row>
    <row r="38" spans="1:16" x14ac:dyDescent="0.35">
      <c r="A38">
        <v>795</v>
      </c>
      <c r="B38">
        <v>1029</v>
      </c>
      <c r="C38" t="s">
        <v>19</v>
      </c>
      <c r="D38" t="s">
        <v>19</v>
      </c>
      <c r="E38" s="2">
        <v>46106</v>
      </c>
      <c r="F38" s="2">
        <v>46105</v>
      </c>
      <c r="G38" t="s">
        <v>60</v>
      </c>
      <c r="H38">
        <v>98696000</v>
      </c>
      <c r="I38">
        <v>100451050</v>
      </c>
      <c r="J38">
        <v>9080000</v>
      </c>
      <c r="K38">
        <v>7324950</v>
      </c>
      <c r="L38">
        <f>0</f>
        <v>0</v>
      </c>
      <c r="M38">
        <f>I38-(H38+J38-K38)- L38</f>
        <v>0</v>
      </c>
      <c r="N38" t="str">
        <f>IF(M38=0,"Cuadrado",IF(M38&gt;0,"Faltante","Sobrante"))</f>
        <v>Cuadrado</v>
      </c>
      <c r="O38" t="s">
        <v>37</v>
      </c>
      <c r="P38">
        <v>91274094</v>
      </c>
    </row>
    <row r="39" spans="1:16" hidden="1" x14ac:dyDescent="0.35">
      <c r="A39">
        <v>214</v>
      </c>
      <c r="B39">
        <v>1469</v>
      </c>
      <c r="C39" t="s">
        <v>19</v>
      </c>
      <c r="D39" t="s">
        <v>19</v>
      </c>
      <c r="E39" s="2">
        <v>46092</v>
      </c>
      <c r="F39" s="2">
        <v>46091</v>
      </c>
      <c r="G39" t="s">
        <v>350</v>
      </c>
      <c r="H39">
        <v>155476900</v>
      </c>
      <c r="I39">
        <v>88040900</v>
      </c>
      <c r="J39">
        <v>7960000</v>
      </c>
      <c r="K39">
        <v>75505000</v>
      </c>
      <c r="L39">
        <v>0</v>
      </c>
      <c r="M39">
        <f>I39-(H39+J39-K39)- L39</f>
        <v>109000</v>
      </c>
      <c r="N39" t="str">
        <f>IF(M39=0,"Cuadrado",IF(M39&gt;0,"Faltante","Sobrante"))</f>
        <v>Faltante</v>
      </c>
      <c r="O39" t="s">
        <v>351</v>
      </c>
      <c r="P39">
        <v>1143387256</v>
      </c>
    </row>
    <row r="40" spans="1:16" hidden="1" x14ac:dyDescent="0.35">
      <c r="A40">
        <v>214</v>
      </c>
      <c r="B40">
        <v>1469</v>
      </c>
      <c r="C40" t="s">
        <v>19</v>
      </c>
      <c r="D40" t="s">
        <v>19</v>
      </c>
      <c r="E40" s="2">
        <v>46090</v>
      </c>
      <c r="F40" s="2">
        <v>46086</v>
      </c>
      <c r="G40" t="s">
        <v>402</v>
      </c>
      <c r="H40">
        <v>201139500</v>
      </c>
      <c r="I40">
        <v>176098200</v>
      </c>
      <c r="J40">
        <v>15560000</v>
      </c>
      <c r="K40">
        <v>45367700</v>
      </c>
      <c r="L40">
        <v>2350700</v>
      </c>
      <c r="M40">
        <f>I40-(H40+J40-K40)- L40</f>
        <v>2415700</v>
      </c>
      <c r="N40" t="str">
        <f>IF(M40=0,"Cuadrado",IF(M40&gt;0,"Faltante","Sobrante"))</f>
        <v>Faltante</v>
      </c>
      <c r="O40" t="s">
        <v>403</v>
      </c>
      <c r="P40">
        <v>1143387256</v>
      </c>
    </row>
    <row r="41" spans="1:16" hidden="1" x14ac:dyDescent="0.35">
      <c r="A41">
        <v>745</v>
      </c>
      <c r="B41">
        <v>1477</v>
      </c>
      <c r="C41" t="s">
        <v>19</v>
      </c>
      <c r="D41" t="s">
        <v>19</v>
      </c>
      <c r="E41" s="2">
        <v>46093</v>
      </c>
      <c r="F41" s="2">
        <v>46092</v>
      </c>
      <c r="G41" t="s">
        <v>313</v>
      </c>
      <c r="H41">
        <v>100915000</v>
      </c>
      <c r="I41">
        <v>86865150</v>
      </c>
      <c r="J41">
        <v>13520000</v>
      </c>
      <c r="K41">
        <v>27116000</v>
      </c>
      <c r="M41">
        <f>I41-(H41+J41-K41)- L41</f>
        <v>-453850</v>
      </c>
      <c r="N41" t="str">
        <f>IF(M41=0,"Cuadrado",IF(M41&gt;0,"Faltante","Sobrante"))</f>
        <v>Sobrante</v>
      </c>
      <c r="O41" t="s">
        <v>311</v>
      </c>
      <c r="P41">
        <v>94543241</v>
      </c>
    </row>
    <row r="42" spans="1:16" hidden="1" x14ac:dyDescent="0.35">
      <c r="A42">
        <v>377</v>
      </c>
      <c r="B42">
        <v>1508</v>
      </c>
      <c r="C42" t="s">
        <v>16</v>
      </c>
      <c r="D42" t="s">
        <v>16</v>
      </c>
      <c r="E42" s="2">
        <v>46094</v>
      </c>
      <c r="F42" s="2">
        <v>46093</v>
      </c>
      <c r="G42" t="s">
        <v>197</v>
      </c>
      <c r="H42">
        <v>134245200</v>
      </c>
      <c r="I42">
        <v>138635200</v>
      </c>
      <c r="J42">
        <v>5360000</v>
      </c>
      <c r="K42">
        <v>970000</v>
      </c>
      <c r="M42">
        <f>I42-(H42+J42-K42)- L42</f>
        <v>0</v>
      </c>
      <c r="N42" t="str">
        <f>IF(M42=0,"Cuadrado",IF(M42&gt;0,"Faltante","Sobrante"))</f>
        <v>Cuadrado</v>
      </c>
      <c r="O42" t="s">
        <v>37</v>
      </c>
      <c r="P42">
        <v>71384768</v>
      </c>
    </row>
    <row r="43" spans="1:16" hidden="1" x14ac:dyDescent="0.35">
      <c r="A43">
        <v>692</v>
      </c>
      <c r="B43">
        <v>1515</v>
      </c>
      <c r="C43" t="s">
        <v>19</v>
      </c>
      <c r="D43" t="s">
        <v>19</v>
      </c>
      <c r="E43" s="2">
        <v>46092</v>
      </c>
      <c r="F43" s="2">
        <v>46091</v>
      </c>
      <c r="G43" t="s">
        <v>280</v>
      </c>
      <c r="H43">
        <v>89771450</v>
      </c>
      <c r="I43">
        <v>73017250</v>
      </c>
      <c r="J43">
        <v>5550000</v>
      </c>
      <c r="K43">
        <v>22304300</v>
      </c>
      <c r="M43">
        <f>I43-(H43+J43-K43)- L43</f>
        <v>100</v>
      </c>
      <c r="N43" t="str">
        <f>IF(M43=0,"Cuadrado",IF(M43&gt;0,"Faltante","Sobrante"))</f>
        <v>Faltante</v>
      </c>
      <c r="O43" t="s">
        <v>352</v>
      </c>
      <c r="P43">
        <v>30840635</v>
      </c>
    </row>
    <row r="44" spans="1:16" hidden="1" x14ac:dyDescent="0.35">
      <c r="A44">
        <v>692</v>
      </c>
      <c r="B44">
        <v>1515</v>
      </c>
      <c r="C44" t="s">
        <v>19</v>
      </c>
      <c r="D44" t="s">
        <v>19</v>
      </c>
      <c r="E44" s="2">
        <v>46085</v>
      </c>
      <c r="F44" s="2">
        <v>46084</v>
      </c>
      <c r="G44" t="s">
        <v>300</v>
      </c>
      <c r="H44">
        <v>327365550</v>
      </c>
      <c r="I44">
        <v>200057550</v>
      </c>
      <c r="J44">
        <v>33500000</v>
      </c>
      <c r="K44">
        <v>158964850</v>
      </c>
      <c r="M44">
        <f>I44-(H44+J44-K44)- L44</f>
        <v>-1843150</v>
      </c>
      <c r="N44" t="str">
        <f>IF(M44=0,"Cuadrado",IF(M44&gt;0,"Faltante","Sobrante"))</f>
        <v>Sobrante</v>
      </c>
      <c r="O44" t="s">
        <v>489</v>
      </c>
      <c r="P44">
        <v>30840635</v>
      </c>
    </row>
    <row r="45" spans="1:16" hidden="1" x14ac:dyDescent="0.35">
      <c r="A45">
        <v>692</v>
      </c>
      <c r="B45">
        <v>1516</v>
      </c>
      <c r="C45" t="s">
        <v>19</v>
      </c>
      <c r="D45" t="s">
        <v>19</v>
      </c>
      <c r="E45" s="2">
        <v>46092</v>
      </c>
      <c r="F45" s="2">
        <v>46091</v>
      </c>
      <c r="G45" t="s">
        <v>353</v>
      </c>
      <c r="H45">
        <v>51417200</v>
      </c>
      <c r="I45">
        <v>43962300</v>
      </c>
      <c r="J45">
        <v>4370000</v>
      </c>
      <c r="K45">
        <v>11825000</v>
      </c>
      <c r="M45">
        <f>I45-(H45+J45-K45)- L45</f>
        <v>100</v>
      </c>
      <c r="N45" t="str">
        <f>IF(M45=0,"Cuadrado",IF(M45&gt;0,"Faltante","Sobrante"))</f>
        <v>Faltante</v>
      </c>
      <c r="O45" t="s">
        <v>352</v>
      </c>
      <c r="P45">
        <v>30840635</v>
      </c>
    </row>
    <row r="46" spans="1:16" hidden="1" x14ac:dyDescent="0.35">
      <c r="A46">
        <v>395</v>
      </c>
      <c r="B46">
        <v>1528</v>
      </c>
      <c r="C46" t="s">
        <v>19</v>
      </c>
      <c r="D46" t="s">
        <v>19</v>
      </c>
      <c r="E46" s="2">
        <v>46099</v>
      </c>
      <c r="F46" s="2">
        <v>46098</v>
      </c>
      <c r="G46" t="s">
        <v>197</v>
      </c>
      <c r="H46">
        <v>207247050</v>
      </c>
      <c r="I46">
        <v>194848050</v>
      </c>
      <c r="J46">
        <v>1300000</v>
      </c>
      <c r="K46">
        <v>13699000</v>
      </c>
      <c r="M46">
        <f>I46-(H46+J46-K46)- L46</f>
        <v>0</v>
      </c>
      <c r="N46" t="str">
        <f>IF(M46=0,"Cuadrado",IF(M46&gt;0,"Faltante","Sobrante"))</f>
        <v>Cuadrado</v>
      </c>
      <c r="O46" t="s">
        <v>37</v>
      </c>
    </row>
    <row r="47" spans="1:16" hidden="1" x14ac:dyDescent="0.35">
      <c r="A47">
        <v>395</v>
      </c>
      <c r="B47">
        <v>1528</v>
      </c>
      <c r="C47" t="s">
        <v>19</v>
      </c>
      <c r="D47" t="s">
        <v>19</v>
      </c>
      <c r="E47" s="2">
        <v>46092</v>
      </c>
      <c r="F47" s="2">
        <v>46091</v>
      </c>
      <c r="G47" t="s">
        <v>354</v>
      </c>
      <c r="H47">
        <v>247877350</v>
      </c>
      <c r="I47">
        <v>229078750</v>
      </c>
      <c r="J47">
        <v>1700000</v>
      </c>
      <c r="K47">
        <v>0</v>
      </c>
      <c r="L47">
        <v>-20498600</v>
      </c>
      <c r="M47">
        <f>I47-(H47+J47-K47)- L47</f>
        <v>0</v>
      </c>
      <c r="N47" t="str">
        <f>IF(M47=0,"Cuadrado",IF(M47&gt;0,"Faltante","Sobrante"))</f>
        <v>Cuadrado</v>
      </c>
      <c r="O47" t="s">
        <v>355</v>
      </c>
      <c r="P47">
        <v>1121857901</v>
      </c>
    </row>
    <row r="48" spans="1:16" hidden="1" x14ac:dyDescent="0.35">
      <c r="A48">
        <v>395</v>
      </c>
      <c r="B48">
        <v>1528</v>
      </c>
      <c r="C48" t="s">
        <v>19</v>
      </c>
      <c r="D48" t="s">
        <v>19</v>
      </c>
      <c r="E48" s="2">
        <v>46091</v>
      </c>
      <c r="F48" s="2">
        <v>46090</v>
      </c>
      <c r="G48" t="s">
        <v>382</v>
      </c>
      <c r="H48">
        <v>467628050</v>
      </c>
      <c r="I48">
        <v>447128150</v>
      </c>
      <c r="J48">
        <v>0</v>
      </c>
      <c r="K48">
        <v>0</v>
      </c>
      <c r="M48">
        <f>I48-(H48+J48-K48)- L48</f>
        <v>-20499900</v>
      </c>
      <c r="N48" t="str">
        <f>IF(M48=0,"Cuadrado",IF(M48&gt;0,"Faltante","Sobrante"))</f>
        <v>Sobrante</v>
      </c>
      <c r="O48" t="s">
        <v>383</v>
      </c>
      <c r="P48">
        <v>1121857901</v>
      </c>
    </row>
    <row r="49" spans="1:16" hidden="1" x14ac:dyDescent="0.35">
      <c r="A49">
        <v>395</v>
      </c>
      <c r="B49">
        <v>1528</v>
      </c>
      <c r="C49" t="s">
        <v>19</v>
      </c>
      <c r="D49" t="s">
        <v>19</v>
      </c>
      <c r="E49" s="2">
        <v>46087</v>
      </c>
      <c r="F49" s="2">
        <v>46086</v>
      </c>
      <c r="G49" t="s">
        <v>422</v>
      </c>
      <c r="H49">
        <v>239312050</v>
      </c>
      <c r="I49">
        <v>193052750</v>
      </c>
      <c r="J49">
        <v>0</v>
      </c>
      <c r="K49">
        <v>19199900</v>
      </c>
      <c r="M49">
        <f>I49-(H49+J49-K49)- L49</f>
        <v>-27059400</v>
      </c>
      <c r="N49" t="str">
        <f>IF(M49=0,"Cuadrado",IF(M49&gt;0,"Faltante","Sobrante"))</f>
        <v>Sobrante</v>
      </c>
      <c r="O49" t="s">
        <v>423</v>
      </c>
      <c r="P49">
        <v>1121857901</v>
      </c>
    </row>
    <row r="50" spans="1:16" hidden="1" x14ac:dyDescent="0.35">
      <c r="A50">
        <v>395</v>
      </c>
      <c r="B50">
        <v>1528</v>
      </c>
      <c r="C50" t="s">
        <v>19</v>
      </c>
      <c r="D50" t="s">
        <v>19</v>
      </c>
      <c r="E50" s="2">
        <v>46086</v>
      </c>
      <c r="F50" s="2">
        <v>46085</v>
      </c>
      <c r="G50" t="s">
        <v>250</v>
      </c>
      <c r="H50">
        <v>337842050</v>
      </c>
      <c r="I50">
        <v>292232750</v>
      </c>
      <c r="J50">
        <v>2390000</v>
      </c>
      <c r="K50">
        <v>20940000</v>
      </c>
      <c r="M50">
        <f>I50-(H50+J50-K50)- L50</f>
        <v>-27059300</v>
      </c>
      <c r="N50" t="str">
        <f>IF(M50=0,"Cuadrado",IF(M50&gt;0,"Faltante","Sobrante"))</f>
        <v>Sobrante</v>
      </c>
      <c r="O50" t="s">
        <v>260</v>
      </c>
      <c r="P50">
        <v>1121857901</v>
      </c>
    </row>
    <row r="51" spans="1:16" x14ac:dyDescent="0.35">
      <c r="A51">
        <v>395</v>
      </c>
      <c r="B51">
        <v>1528</v>
      </c>
      <c r="C51" t="s">
        <v>19</v>
      </c>
      <c r="D51" t="s">
        <v>19</v>
      </c>
      <c r="E51" s="2">
        <v>46106</v>
      </c>
      <c r="F51" s="2">
        <v>46105</v>
      </c>
      <c r="G51" t="s">
        <v>197</v>
      </c>
      <c r="H51">
        <v>136158550</v>
      </c>
      <c r="I51">
        <v>136158550</v>
      </c>
      <c r="J51">
        <v>0</v>
      </c>
      <c r="K51">
        <v>0</v>
      </c>
      <c r="L51">
        <f>0</f>
        <v>0</v>
      </c>
      <c r="M51">
        <f>I51-(H51+J51-K51)- L51</f>
        <v>0</v>
      </c>
      <c r="N51" t="str">
        <f>IF(M51=0,"Cuadrado",IF(M51&gt;0,"Faltante","Sobrante"))</f>
        <v>Cuadrado</v>
      </c>
      <c r="O51" t="s">
        <v>37</v>
      </c>
      <c r="P51">
        <v>1121857901</v>
      </c>
    </row>
    <row r="52" spans="1:16" hidden="1" x14ac:dyDescent="0.35">
      <c r="A52">
        <v>395</v>
      </c>
      <c r="B52">
        <v>1529</v>
      </c>
      <c r="C52" t="s">
        <v>19</v>
      </c>
      <c r="D52" t="s">
        <v>19</v>
      </c>
      <c r="E52" s="2">
        <v>46101</v>
      </c>
      <c r="F52" s="2">
        <v>46100</v>
      </c>
      <c r="G52" t="s">
        <v>38</v>
      </c>
      <c r="H52">
        <v>324746900</v>
      </c>
      <c r="I52">
        <v>302896900</v>
      </c>
      <c r="J52">
        <v>2150000</v>
      </c>
      <c r="K52">
        <v>0</v>
      </c>
      <c r="M52">
        <f>I52-(H52+J52-K52)- L52</f>
        <v>-24000000</v>
      </c>
      <c r="N52" t="str">
        <f>IF(M52=0,"Cuadrado",IF(M52&gt;0,"Faltante","Sobrante"))</f>
        <v>Sobrante</v>
      </c>
      <c r="O52" t="s">
        <v>39</v>
      </c>
      <c r="P52">
        <v>1121857901</v>
      </c>
    </row>
    <row r="53" spans="1:16" hidden="1" x14ac:dyDescent="0.35">
      <c r="A53">
        <v>395</v>
      </c>
      <c r="B53">
        <v>1529</v>
      </c>
      <c r="C53" t="s">
        <v>19</v>
      </c>
      <c r="D53" t="s">
        <v>19</v>
      </c>
      <c r="E53" s="2">
        <v>46099</v>
      </c>
      <c r="F53" s="2">
        <v>46098</v>
      </c>
      <c r="G53" t="s">
        <v>158</v>
      </c>
      <c r="H53">
        <v>211457000</v>
      </c>
      <c r="I53">
        <v>207047000</v>
      </c>
      <c r="J53">
        <v>5610000</v>
      </c>
      <c r="K53">
        <v>220000</v>
      </c>
      <c r="M53">
        <f>I53-(H53+J53-K53)- L53</f>
        <v>-9800000</v>
      </c>
      <c r="N53" t="str">
        <f>IF(M53=0,"Cuadrado",IF(M53&gt;0,"Faltante","Sobrante"))</f>
        <v>Sobrante</v>
      </c>
      <c r="O53" t="s">
        <v>156</v>
      </c>
    </row>
    <row r="54" spans="1:16" hidden="1" x14ac:dyDescent="0.35">
      <c r="A54">
        <v>395</v>
      </c>
      <c r="B54">
        <v>1529</v>
      </c>
      <c r="C54" t="s">
        <v>19</v>
      </c>
      <c r="D54" t="s">
        <v>19</v>
      </c>
      <c r="E54" s="2">
        <v>46092</v>
      </c>
      <c r="F54" s="2">
        <v>46091</v>
      </c>
      <c r="G54" t="s">
        <v>356</v>
      </c>
      <c r="H54">
        <v>278497800</v>
      </c>
      <c r="I54">
        <v>234927800</v>
      </c>
      <c r="J54">
        <v>3200000</v>
      </c>
      <c r="K54">
        <v>11000000</v>
      </c>
      <c r="L54">
        <v>-35770000</v>
      </c>
      <c r="M54">
        <f>I54-(H54+J54-K54)- L54</f>
        <v>0</v>
      </c>
      <c r="N54" t="str">
        <f>IF(M54=0,"Cuadrado",IF(M54&gt;0,"Faltante","Sobrante"))</f>
        <v>Cuadrado</v>
      </c>
      <c r="O54" t="s">
        <v>37</v>
      </c>
      <c r="P54">
        <v>1121857901</v>
      </c>
    </row>
    <row r="55" spans="1:16" hidden="1" x14ac:dyDescent="0.35">
      <c r="A55">
        <v>395</v>
      </c>
      <c r="B55">
        <v>1529</v>
      </c>
      <c r="C55" t="s">
        <v>19</v>
      </c>
      <c r="D55" t="s">
        <v>19</v>
      </c>
      <c r="E55" s="2">
        <v>46091</v>
      </c>
      <c r="F55" s="2">
        <v>46090</v>
      </c>
      <c r="G55" t="s">
        <v>384</v>
      </c>
      <c r="H55">
        <v>359252800</v>
      </c>
      <c r="I55">
        <v>313938800</v>
      </c>
      <c r="J55">
        <v>2910000</v>
      </c>
      <c r="K55">
        <v>12454000</v>
      </c>
      <c r="M55">
        <f>I55-(H55+J55-K55)- L55</f>
        <v>-35770000</v>
      </c>
      <c r="N55" t="str">
        <f>IF(M55=0,"Cuadrado",IF(M55&gt;0,"Faltante","Sobrante"))</f>
        <v>Sobrante</v>
      </c>
      <c r="O55" t="s">
        <v>383</v>
      </c>
      <c r="P55">
        <v>1121857901</v>
      </c>
    </row>
    <row r="56" spans="1:16" hidden="1" x14ac:dyDescent="0.35">
      <c r="A56">
        <v>395</v>
      </c>
      <c r="B56">
        <v>1529</v>
      </c>
      <c r="C56" t="s">
        <v>19</v>
      </c>
      <c r="D56" t="s">
        <v>19</v>
      </c>
      <c r="E56" s="2">
        <v>46086</v>
      </c>
      <c r="F56" s="2">
        <v>46085</v>
      </c>
      <c r="G56" t="s">
        <v>130</v>
      </c>
      <c r="H56">
        <v>238215450</v>
      </c>
      <c r="I56">
        <v>231770450</v>
      </c>
      <c r="J56">
        <v>11880000</v>
      </c>
      <c r="K56">
        <v>21925000</v>
      </c>
      <c r="L56">
        <v>3600000</v>
      </c>
      <c r="M56">
        <f>I56-(H56+J56-K56)- L56</f>
        <v>0</v>
      </c>
      <c r="N56" t="str">
        <f>IF(M56=0,"Cuadrado",IF(M56&gt;0,"Faltante","Sobrante"))</f>
        <v>Cuadrado</v>
      </c>
      <c r="O56" t="s">
        <v>478</v>
      </c>
      <c r="P56">
        <v>1121857901</v>
      </c>
    </row>
    <row r="57" spans="1:16" hidden="1" x14ac:dyDescent="0.35">
      <c r="A57">
        <v>395</v>
      </c>
      <c r="B57">
        <v>1529</v>
      </c>
      <c r="C57" t="s">
        <v>19</v>
      </c>
      <c r="D57" t="s">
        <v>19</v>
      </c>
      <c r="E57" s="2">
        <v>46084</v>
      </c>
      <c r="F57" s="2">
        <v>46083</v>
      </c>
      <c r="G57" t="s">
        <v>148</v>
      </c>
      <c r="H57">
        <v>352278500</v>
      </c>
      <c r="I57">
        <v>350070350</v>
      </c>
      <c r="J57">
        <v>7850000</v>
      </c>
      <c r="K57">
        <v>0</v>
      </c>
      <c r="M57">
        <f>I57-(H57+J57-K57)- L57</f>
        <v>-10058150</v>
      </c>
      <c r="N57" t="str">
        <f>IF(M57=0,"Cuadrado",IF(M57&gt;0,"Faltante","Sobrante"))</f>
        <v>Sobrante</v>
      </c>
      <c r="O57" t="s">
        <v>504</v>
      </c>
      <c r="P57">
        <v>1121857901</v>
      </c>
    </row>
    <row r="58" spans="1:16" x14ac:dyDescent="0.35">
      <c r="A58">
        <v>395</v>
      </c>
      <c r="B58">
        <v>1529</v>
      </c>
      <c r="C58" t="s">
        <v>19</v>
      </c>
      <c r="D58" t="s">
        <v>19</v>
      </c>
      <c r="E58" s="2">
        <v>46106</v>
      </c>
      <c r="F58" s="2">
        <v>46105</v>
      </c>
      <c r="G58" t="s">
        <v>117</v>
      </c>
      <c r="H58">
        <v>244404700</v>
      </c>
      <c r="I58">
        <v>203376700</v>
      </c>
      <c r="J58">
        <v>2840000</v>
      </c>
      <c r="K58">
        <v>41468000</v>
      </c>
      <c r="L58">
        <f>0</f>
        <v>0</v>
      </c>
      <c r="M58">
        <f>I58-(H58+J58-K58)- L58</f>
        <v>-2400000</v>
      </c>
      <c r="N58" t="str">
        <f>IF(M58=0,"Cuadrado",IF(M58&gt;0,"Faltante","Sobrante"))</f>
        <v>Sobrante</v>
      </c>
      <c r="O58" t="s">
        <v>515</v>
      </c>
      <c r="P58">
        <v>1121857901</v>
      </c>
    </row>
    <row r="59" spans="1:16" hidden="1" x14ac:dyDescent="0.35">
      <c r="A59">
        <v>141</v>
      </c>
      <c r="B59">
        <v>1541</v>
      </c>
      <c r="C59" t="s">
        <v>19</v>
      </c>
      <c r="D59" t="s">
        <v>19</v>
      </c>
      <c r="E59" s="2">
        <v>46100</v>
      </c>
      <c r="F59" s="2">
        <v>46099</v>
      </c>
      <c r="G59" t="s">
        <v>102</v>
      </c>
      <c r="H59">
        <v>100944150</v>
      </c>
      <c r="I59">
        <v>98841650</v>
      </c>
      <c r="J59">
        <v>210000</v>
      </c>
      <c r="K59">
        <v>1609000</v>
      </c>
      <c r="L59">
        <v>-678500</v>
      </c>
      <c r="M59">
        <f>I59-(H59+J59-K59)- L59</f>
        <v>-25000</v>
      </c>
      <c r="N59" t="str">
        <f>IF(M59=0,"Cuadrado",IF(M59&gt;0,"Faltante","Sobrante"))</f>
        <v>Sobrante</v>
      </c>
      <c r="O59" t="s">
        <v>95</v>
      </c>
      <c r="P59">
        <v>11225738</v>
      </c>
    </row>
    <row r="60" spans="1:16" hidden="1" x14ac:dyDescent="0.35">
      <c r="A60">
        <v>141</v>
      </c>
      <c r="B60">
        <v>1541</v>
      </c>
      <c r="C60" t="s">
        <v>19</v>
      </c>
      <c r="D60" t="s">
        <v>19</v>
      </c>
      <c r="E60" s="2">
        <v>46099</v>
      </c>
      <c r="F60" s="2">
        <v>46098</v>
      </c>
      <c r="G60" t="s">
        <v>159</v>
      </c>
      <c r="H60">
        <v>155925150</v>
      </c>
      <c r="I60">
        <v>153311650</v>
      </c>
      <c r="J60">
        <v>12470000</v>
      </c>
      <c r="K60">
        <v>14405000</v>
      </c>
      <c r="M60">
        <f>I60-(H60+J60-K60)- L60</f>
        <v>-678500</v>
      </c>
      <c r="N60" t="str">
        <f>IF(M60=0,"Cuadrado",IF(M60&gt;0,"Faltante","Sobrante"))</f>
        <v>Sobrante</v>
      </c>
      <c r="O60" t="s">
        <v>156</v>
      </c>
    </row>
    <row r="61" spans="1:16" hidden="1" x14ac:dyDescent="0.35">
      <c r="A61">
        <v>438</v>
      </c>
      <c r="B61">
        <v>1565</v>
      </c>
      <c r="C61" t="s">
        <v>19</v>
      </c>
      <c r="D61" t="s">
        <v>19</v>
      </c>
      <c r="E61" s="2">
        <v>46105</v>
      </c>
      <c r="F61" s="2">
        <v>46100</v>
      </c>
      <c r="G61" t="s">
        <v>20</v>
      </c>
      <c r="H61">
        <v>321063900</v>
      </c>
      <c r="I61">
        <v>186654900</v>
      </c>
      <c r="J61">
        <v>25530000</v>
      </c>
      <c r="K61">
        <v>29407000</v>
      </c>
      <c r="L61">
        <v>0</v>
      </c>
      <c r="M61">
        <f>I61-(H61+J61-K61)- L61</f>
        <v>-130532000</v>
      </c>
      <c r="N61" t="str">
        <f>IF(M61=0,"Cuadrado",IF(M61&gt;0,"Faltante","Sobrante"))</f>
        <v>Sobrante</v>
      </c>
      <c r="O61" t="s">
        <v>21</v>
      </c>
      <c r="P61">
        <v>1027887603</v>
      </c>
    </row>
    <row r="62" spans="1:16" hidden="1" x14ac:dyDescent="0.35">
      <c r="A62">
        <v>438</v>
      </c>
      <c r="B62">
        <v>1565</v>
      </c>
      <c r="C62" t="s">
        <v>19</v>
      </c>
      <c r="D62" t="s">
        <v>19</v>
      </c>
      <c r="E62" s="2">
        <v>46090</v>
      </c>
      <c r="F62" s="2">
        <v>46087</v>
      </c>
      <c r="G62" t="s">
        <v>404</v>
      </c>
      <c r="H62">
        <v>112070150</v>
      </c>
      <c r="I62">
        <v>129200150</v>
      </c>
      <c r="J62">
        <v>9880000</v>
      </c>
      <c r="K62">
        <v>810000</v>
      </c>
      <c r="L62">
        <v>7060000</v>
      </c>
      <c r="M62">
        <f>I62-(H62+J62-K62)- L62</f>
        <v>1000000</v>
      </c>
      <c r="N62" t="str">
        <f>IF(M62=0,"Cuadrado",IF(M62&gt;0,"Faltante","Sobrante"))</f>
        <v>Faltante</v>
      </c>
      <c r="O62" t="s">
        <v>405</v>
      </c>
      <c r="P62">
        <v>1027887603</v>
      </c>
    </row>
    <row r="63" spans="1:16" hidden="1" x14ac:dyDescent="0.35">
      <c r="A63">
        <v>185</v>
      </c>
      <c r="B63">
        <v>2208</v>
      </c>
      <c r="C63" t="s">
        <v>16</v>
      </c>
      <c r="D63" t="s">
        <v>19</v>
      </c>
      <c r="E63" s="2">
        <v>46087</v>
      </c>
      <c r="F63" s="2">
        <v>46086</v>
      </c>
      <c r="G63" t="s">
        <v>75</v>
      </c>
      <c r="H63">
        <v>112564500</v>
      </c>
      <c r="I63">
        <v>70537500</v>
      </c>
      <c r="J63">
        <v>13130000</v>
      </c>
      <c r="K63">
        <v>5234000</v>
      </c>
      <c r="L63">
        <v>-49923000</v>
      </c>
      <c r="M63">
        <f>I63-(H63+J63-K63)- L63</f>
        <v>0</v>
      </c>
      <c r="N63" t="str">
        <f>IF(M63=0,"Cuadrado",IF(M63&gt;0,"Faltante","Sobrante"))</f>
        <v>Cuadrado</v>
      </c>
      <c r="O63" t="s">
        <v>37</v>
      </c>
      <c r="P63">
        <v>66784636</v>
      </c>
    </row>
    <row r="64" spans="1:16" hidden="1" x14ac:dyDescent="0.35">
      <c r="A64">
        <v>185</v>
      </c>
      <c r="B64">
        <v>2208</v>
      </c>
      <c r="C64" t="s">
        <v>16</v>
      </c>
      <c r="D64" t="s">
        <v>19</v>
      </c>
      <c r="E64" s="2">
        <v>46085</v>
      </c>
      <c r="F64" s="2">
        <v>46084</v>
      </c>
      <c r="G64" t="s">
        <v>491</v>
      </c>
      <c r="H64">
        <v>45108500</v>
      </c>
      <c r="I64">
        <v>44373200</v>
      </c>
      <c r="J64">
        <v>2850000</v>
      </c>
      <c r="K64">
        <v>5110000</v>
      </c>
      <c r="M64">
        <f>I64-(H64+J64-K64)- L64</f>
        <v>1524700</v>
      </c>
      <c r="N64" t="str">
        <f>IF(M64=0,"Cuadrado",IF(M64&gt;0,"Faltante","Sobrante"))</f>
        <v>Faltante</v>
      </c>
      <c r="O64" t="s">
        <v>492</v>
      </c>
      <c r="P64">
        <v>66784636</v>
      </c>
    </row>
    <row r="65" spans="1:16" hidden="1" x14ac:dyDescent="0.35">
      <c r="A65">
        <v>185</v>
      </c>
      <c r="B65">
        <v>2208</v>
      </c>
      <c r="C65" t="s">
        <v>16</v>
      </c>
      <c r="D65" t="s">
        <v>19</v>
      </c>
      <c r="E65" s="2">
        <v>46084</v>
      </c>
      <c r="F65" s="2">
        <v>46083</v>
      </c>
      <c r="G65" t="s">
        <v>171</v>
      </c>
      <c r="H65">
        <v>72642500</v>
      </c>
      <c r="I65">
        <v>81285500</v>
      </c>
      <c r="J65">
        <v>60000</v>
      </c>
      <c r="K65">
        <v>1765000</v>
      </c>
      <c r="L65">
        <v>8823300</v>
      </c>
      <c r="M65">
        <f>I65-(H65+J65-K65)- L65</f>
        <v>1524700</v>
      </c>
      <c r="N65" t="str">
        <f>IF(M65=0,"Cuadrado",IF(M65&gt;0,"Faltante","Sobrante"))</f>
        <v>Faltante</v>
      </c>
      <c r="O65" t="s">
        <v>260</v>
      </c>
      <c r="P65">
        <v>66784636</v>
      </c>
    </row>
    <row r="66" spans="1:16" hidden="1" x14ac:dyDescent="0.35">
      <c r="A66">
        <v>944</v>
      </c>
      <c r="B66">
        <v>2228</v>
      </c>
      <c r="C66" t="s">
        <v>19</v>
      </c>
      <c r="D66" t="s">
        <v>19</v>
      </c>
      <c r="E66" s="2">
        <v>46099</v>
      </c>
      <c r="F66" s="2">
        <v>46098</v>
      </c>
      <c r="G66" t="s">
        <v>134</v>
      </c>
      <c r="H66">
        <v>331942550</v>
      </c>
      <c r="I66">
        <v>327005900</v>
      </c>
      <c r="J66">
        <v>0</v>
      </c>
      <c r="K66">
        <v>0</v>
      </c>
      <c r="M66">
        <f>I66-(H66+J66-K66)- L66</f>
        <v>-4936650</v>
      </c>
      <c r="N66" t="str">
        <f>IF(M66=0,"Cuadrado",IF(M66&gt;0,"Faltante","Sobrante"))</f>
        <v>Sobrante</v>
      </c>
      <c r="O66" t="s">
        <v>156</v>
      </c>
    </row>
    <row r="67" spans="1:16" hidden="1" x14ac:dyDescent="0.35">
      <c r="A67">
        <v>108</v>
      </c>
      <c r="B67">
        <v>2254</v>
      </c>
      <c r="C67" t="s">
        <v>16</v>
      </c>
      <c r="D67" t="s">
        <v>16</v>
      </c>
      <c r="E67" s="2">
        <v>46100</v>
      </c>
      <c r="F67" s="2">
        <v>46099</v>
      </c>
      <c r="G67" t="s">
        <v>103</v>
      </c>
      <c r="H67">
        <v>217280650</v>
      </c>
      <c r="I67">
        <v>215640100</v>
      </c>
      <c r="J67">
        <v>4170000</v>
      </c>
      <c r="K67" t="s">
        <v>98</v>
      </c>
      <c r="M67" t="e">
        <f>I67-(H67+J67-K67)- L67</f>
        <v>#VALUE!</v>
      </c>
      <c r="N67" t="e">
        <f>IF(M67=0,"Cuadrado",IF(M67&gt;0,"Faltante","Sobrante"))</f>
        <v>#VALUE!</v>
      </c>
      <c r="O67" t="s">
        <v>95</v>
      </c>
      <c r="P67">
        <v>80206469</v>
      </c>
    </row>
    <row r="68" spans="1:16" hidden="1" x14ac:dyDescent="0.35">
      <c r="A68">
        <v>108</v>
      </c>
      <c r="B68">
        <v>2254</v>
      </c>
      <c r="C68" t="s">
        <v>16</v>
      </c>
      <c r="D68" t="s">
        <v>19</v>
      </c>
      <c r="E68" s="2">
        <v>46086</v>
      </c>
      <c r="F68" s="2">
        <v>46085</v>
      </c>
      <c r="G68" t="s">
        <v>472</v>
      </c>
      <c r="H68">
        <v>179018600</v>
      </c>
      <c r="I68">
        <v>176742800</v>
      </c>
      <c r="J68">
        <v>1530000</v>
      </c>
      <c r="K68">
        <v>2120000</v>
      </c>
      <c r="M68">
        <f>I68-(H68+J68-K68)- L68</f>
        <v>-1685800</v>
      </c>
      <c r="N68" t="str">
        <f>IF(M68=0,"Cuadrado",IF(M68&gt;0,"Faltante","Sobrante"))</f>
        <v>Sobrante</v>
      </c>
      <c r="O68" t="s">
        <v>467</v>
      </c>
      <c r="P68">
        <v>80206469</v>
      </c>
    </row>
    <row r="69" spans="1:16" hidden="1" x14ac:dyDescent="0.35">
      <c r="A69">
        <v>322</v>
      </c>
      <c r="B69">
        <v>2444</v>
      </c>
      <c r="C69" t="s">
        <v>19</v>
      </c>
      <c r="D69" t="s">
        <v>19</v>
      </c>
      <c r="E69" s="2">
        <v>46100</v>
      </c>
      <c r="F69" s="2">
        <v>46099</v>
      </c>
      <c r="G69" t="s">
        <v>104</v>
      </c>
      <c r="H69">
        <v>218389800</v>
      </c>
      <c r="I69">
        <v>140254850</v>
      </c>
      <c r="J69">
        <v>27210000</v>
      </c>
      <c r="K69">
        <v>44191450</v>
      </c>
      <c r="M69">
        <f>I69-(H69+J69-K69)- L69</f>
        <v>-61153500</v>
      </c>
      <c r="N69" t="str">
        <f>IF(M69=0,"Cuadrado",IF(M69&gt;0,"Faltante","Sobrante"))</f>
        <v>Sobrante</v>
      </c>
      <c r="O69" t="s">
        <v>95</v>
      </c>
      <c r="P69">
        <v>1101320155</v>
      </c>
    </row>
    <row r="70" spans="1:16" hidden="1" x14ac:dyDescent="0.35">
      <c r="A70">
        <v>322</v>
      </c>
      <c r="B70">
        <v>2444</v>
      </c>
      <c r="C70" t="s">
        <v>19</v>
      </c>
      <c r="D70" t="s">
        <v>19</v>
      </c>
      <c r="E70" s="2">
        <v>46086</v>
      </c>
      <c r="F70" s="2">
        <v>46085</v>
      </c>
      <c r="G70" t="s">
        <v>97</v>
      </c>
      <c r="H70">
        <v>83943900</v>
      </c>
      <c r="I70">
        <v>96291900</v>
      </c>
      <c r="J70">
        <v>10900000</v>
      </c>
      <c r="K70">
        <v>15552000</v>
      </c>
      <c r="M70">
        <f>I70-(H70+J70-K70)- L70</f>
        <v>17000000</v>
      </c>
      <c r="N70" t="str">
        <f>IF(M70=0,"Cuadrado",IF(M70&gt;0,"Faltante","Sobrante"))</f>
        <v>Faltante</v>
      </c>
      <c r="O70" t="s">
        <v>476</v>
      </c>
      <c r="P70">
        <v>1101320155</v>
      </c>
    </row>
    <row r="71" spans="1:16" hidden="1" x14ac:dyDescent="0.35">
      <c r="A71">
        <v>322</v>
      </c>
      <c r="B71">
        <v>2444</v>
      </c>
      <c r="C71" t="s">
        <v>19</v>
      </c>
      <c r="D71" t="s">
        <v>19</v>
      </c>
      <c r="E71" s="2">
        <v>46084</v>
      </c>
      <c r="F71" s="2">
        <v>46083</v>
      </c>
      <c r="G71" t="s">
        <v>45</v>
      </c>
      <c r="H71">
        <v>239919900</v>
      </c>
      <c r="I71">
        <v>257059900</v>
      </c>
      <c r="J71">
        <v>0</v>
      </c>
      <c r="K71">
        <v>0</v>
      </c>
      <c r="M71">
        <f>I71-(H71+J71-K71)- L71</f>
        <v>17140000</v>
      </c>
      <c r="N71" t="str">
        <f>IF(M71=0,"Cuadrado",IF(M71&gt;0,"Faltante","Sobrante"))</f>
        <v>Faltante</v>
      </c>
      <c r="O71" t="s">
        <v>260</v>
      </c>
      <c r="P71">
        <v>1101320155</v>
      </c>
    </row>
    <row r="72" spans="1:16" hidden="1" x14ac:dyDescent="0.35">
      <c r="A72">
        <v>907</v>
      </c>
      <c r="B72">
        <v>4830</v>
      </c>
      <c r="C72" t="s">
        <v>19</v>
      </c>
      <c r="D72" t="s">
        <v>19</v>
      </c>
      <c r="E72" s="2">
        <v>46094</v>
      </c>
      <c r="F72" s="2">
        <v>46093</v>
      </c>
      <c r="G72" t="s">
        <v>246</v>
      </c>
      <c r="H72">
        <v>247178100</v>
      </c>
      <c r="I72">
        <v>153400650</v>
      </c>
      <c r="J72">
        <v>18240000</v>
      </c>
      <c r="K72">
        <v>114317450</v>
      </c>
      <c r="L72">
        <v>2300000</v>
      </c>
      <c r="M72">
        <f>I72-(H72+J72-K72)- L72</f>
        <v>0</v>
      </c>
      <c r="N72" t="str">
        <f>IF(M72=0,"Cuadrado",IF(M72&gt;0,"Faltante","Sobrante"))</f>
        <v>Cuadrado</v>
      </c>
      <c r="O72" t="s">
        <v>247</v>
      </c>
      <c r="P72">
        <v>71339401</v>
      </c>
    </row>
    <row r="73" spans="1:16" hidden="1" x14ac:dyDescent="0.35">
      <c r="A73">
        <v>907</v>
      </c>
      <c r="B73">
        <v>4830</v>
      </c>
      <c r="C73" t="s">
        <v>19</v>
      </c>
      <c r="D73" t="s">
        <v>19</v>
      </c>
      <c r="E73" s="2">
        <v>46084</v>
      </c>
      <c r="F73" s="2">
        <v>46083</v>
      </c>
      <c r="G73" t="s">
        <v>51</v>
      </c>
      <c r="H73">
        <v>260035950</v>
      </c>
      <c r="I73">
        <v>259735950</v>
      </c>
      <c r="J73">
        <v>0</v>
      </c>
      <c r="K73">
        <v>0</v>
      </c>
      <c r="M73">
        <f>I73-(H73+J73-K73)- L73</f>
        <v>-300000</v>
      </c>
      <c r="N73" t="str">
        <f>IF(M73=0,"Cuadrado",IF(M73&gt;0,"Faltante","Sobrante"))</f>
        <v>Sobrante</v>
      </c>
      <c r="O73" t="s">
        <v>504</v>
      </c>
      <c r="P73">
        <v>71339401</v>
      </c>
    </row>
    <row r="74" spans="1:16" hidden="1" x14ac:dyDescent="0.35">
      <c r="A74">
        <v>5</v>
      </c>
      <c r="B74">
        <v>4866</v>
      </c>
      <c r="C74" t="s">
        <v>16</v>
      </c>
      <c r="D74" t="s">
        <v>16</v>
      </c>
      <c r="E74" s="2">
        <v>46101</v>
      </c>
      <c r="F74" s="2">
        <v>46100</v>
      </c>
      <c r="G74" t="s">
        <v>40</v>
      </c>
      <c r="H74">
        <v>166427550</v>
      </c>
      <c r="I74">
        <v>160568600</v>
      </c>
      <c r="J74">
        <v>5850000</v>
      </c>
      <c r="K74">
        <v>11799000</v>
      </c>
      <c r="M74">
        <f>I74-(H74+J74-K74)- L74</f>
        <v>90050</v>
      </c>
      <c r="N74" t="str">
        <f>IF(M74=0,"Cuadrado",IF(M74&gt;0,"Faltante","Sobrante"))</f>
        <v>Faltante</v>
      </c>
      <c r="O74" t="s">
        <v>41</v>
      </c>
      <c r="P74">
        <v>80015416</v>
      </c>
    </row>
    <row r="75" spans="1:16" hidden="1" x14ac:dyDescent="0.35">
      <c r="A75">
        <v>5</v>
      </c>
      <c r="B75">
        <v>4866</v>
      </c>
      <c r="C75" t="s">
        <v>16</v>
      </c>
      <c r="D75" t="s">
        <v>19</v>
      </c>
      <c r="E75" s="2">
        <v>46084</v>
      </c>
      <c r="F75" s="2">
        <v>46083</v>
      </c>
      <c r="G75" t="s">
        <v>503</v>
      </c>
      <c r="H75">
        <v>204655550</v>
      </c>
      <c r="I75">
        <v>144824400</v>
      </c>
      <c r="J75">
        <v>9970000</v>
      </c>
      <c r="K75">
        <v>69703150</v>
      </c>
      <c r="M75">
        <f>I75-(H75+J75-K75)- L75</f>
        <v>-98000</v>
      </c>
      <c r="N75" t="str">
        <f>IF(M75=0,"Cuadrado",IF(M75&gt;0,"Faltante","Sobrante"))</f>
        <v>Sobrante</v>
      </c>
      <c r="O75" t="s">
        <v>504</v>
      </c>
      <c r="P75">
        <v>43824478</v>
      </c>
    </row>
    <row r="76" spans="1:16" hidden="1" x14ac:dyDescent="0.35">
      <c r="A76">
        <v>777</v>
      </c>
      <c r="B76">
        <v>4868</v>
      </c>
      <c r="C76" t="s">
        <v>16</v>
      </c>
      <c r="D76" t="s">
        <v>16</v>
      </c>
      <c r="E76" s="2">
        <v>46105</v>
      </c>
      <c r="F76" s="2">
        <v>46101</v>
      </c>
      <c r="G76" t="s">
        <v>22</v>
      </c>
      <c r="H76">
        <v>76420200</v>
      </c>
      <c r="I76">
        <v>49676550</v>
      </c>
      <c r="J76">
        <v>4170000</v>
      </c>
      <c r="K76">
        <v>24495650</v>
      </c>
      <c r="L76">
        <v>0</v>
      </c>
      <c r="M76">
        <f>I76-(H76+J76-K76)- L76</f>
        <v>-6418000</v>
      </c>
      <c r="N76" t="str">
        <f>IF(M76=0,"Cuadrado",IF(M76&gt;0,"Faltante","Sobrante"))</f>
        <v>Sobrante</v>
      </c>
      <c r="O76" t="s">
        <v>21</v>
      </c>
      <c r="P76">
        <v>1192816639</v>
      </c>
    </row>
    <row r="77" spans="1:16" hidden="1" x14ac:dyDescent="0.35">
      <c r="A77">
        <v>777</v>
      </c>
      <c r="B77">
        <v>4868</v>
      </c>
      <c r="C77" t="s">
        <v>16</v>
      </c>
      <c r="D77" t="s">
        <v>16</v>
      </c>
      <c r="E77" s="2">
        <v>46093</v>
      </c>
      <c r="F77" s="2">
        <v>46092</v>
      </c>
      <c r="G77" t="s">
        <v>154</v>
      </c>
      <c r="H77">
        <v>62648950</v>
      </c>
      <c r="I77">
        <v>50010950</v>
      </c>
      <c r="J77">
        <v>2860000</v>
      </c>
      <c r="K77">
        <v>15783000</v>
      </c>
      <c r="L77">
        <v>377000</v>
      </c>
      <c r="M77">
        <f>I77-(H77+J77-K77)- L77</f>
        <v>-92000</v>
      </c>
      <c r="N77" t="str">
        <f>IF(M77=0,"Cuadrado",IF(M77&gt;0,"Faltante","Sobrante"))</f>
        <v>Sobrante</v>
      </c>
      <c r="O77" t="s">
        <v>311</v>
      </c>
      <c r="P77">
        <v>1192816639</v>
      </c>
    </row>
    <row r="78" spans="1:16" hidden="1" x14ac:dyDescent="0.35">
      <c r="A78">
        <v>1</v>
      </c>
      <c r="B78">
        <v>5000</v>
      </c>
      <c r="C78" t="s">
        <v>19</v>
      </c>
      <c r="D78" t="s">
        <v>16</v>
      </c>
      <c r="E78" s="2">
        <v>46087</v>
      </c>
      <c r="F78" s="2">
        <v>46086</v>
      </c>
      <c r="G78" t="s">
        <v>151</v>
      </c>
      <c r="H78">
        <v>197938800</v>
      </c>
      <c r="I78">
        <v>199422400</v>
      </c>
      <c r="J78">
        <v>8900000</v>
      </c>
      <c r="K78">
        <v>7416000</v>
      </c>
      <c r="M78">
        <f>I78-(H78+J78-K78)- L78</f>
        <v>-400</v>
      </c>
      <c r="N78" t="str">
        <f>IF(M78=0,"Cuadrado",IF(M78&gt;0,"Faltante","Sobrante"))</f>
        <v>Sobrante</v>
      </c>
      <c r="O78" t="s">
        <v>423</v>
      </c>
      <c r="P78">
        <v>1017128064</v>
      </c>
    </row>
    <row r="79" spans="1:16" hidden="1" x14ac:dyDescent="0.35">
      <c r="A79">
        <v>1</v>
      </c>
      <c r="B79">
        <v>5000</v>
      </c>
      <c r="C79" t="s">
        <v>19</v>
      </c>
      <c r="D79" t="s">
        <v>19</v>
      </c>
      <c r="E79" s="2">
        <v>46085</v>
      </c>
      <c r="F79" s="2">
        <v>46084</v>
      </c>
      <c r="G79" t="s">
        <v>106</v>
      </c>
      <c r="H79">
        <v>196112400</v>
      </c>
      <c r="I79">
        <v>246926400</v>
      </c>
      <c r="J79">
        <v>75910000</v>
      </c>
      <c r="K79">
        <v>24702000</v>
      </c>
      <c r="M79">
        <f>I79-(H79+J79-K79)- L79</f>
        <v>-394000</v>
      </c>
      <c r="N79" t="str">
        <f>IF(M79=0,"Cuadrado",IF(M79&gt;0,"Faltante","Sobrante"))</f>
        <v>Sobrante</v>
      </c>
      <c r="O79" t="s">
        <v>489</v>
      </c>
      <c r="P79">
        <v>1017128064</v>
      </c>
    </row>
    <row r="80" spans="1:16" hidden="1" x14ac:dyDescent="0.35">
      <c r="A80">
        <v>6</v>
      </c>
      <c r="B80">
        <v>5001</v>
      </c>
      <c r="C80" t="s">
        <v>19</v>
      </c>
      <c r="D80" t="s">
        <v>19</v>
      </c>
      <c r="E80" s="2">
        <v>46093</v>
      </c>
      <c r="F80" s="2">
        <v>46092</v>
      </c>
      <c r="G80" t="s">
        <v>314</v>
      </c>
      <c r="H80">
        <v>228798100</v>
      </c>
      <c r="I80">
        <v>171991100</v>
      </c>
      <c r="J80">
        <v>15970000</v>
      </c>
      <c r="K80">
        <v>1202000</v>
      </c>
      <c r="L80">
        <v>-66000000</v>
      </c>
      <c r="M80">
        <f>I80-(H80+J80-K80)- L80</f>
        <v>-5575000</v>
      </c>
      <c r="N80" t="str">
        <f>IF(M80=0,"Cuadrado",IF(M80&gt;0,"Faltante","Sobrante"))</f>
        <v>Sobrante</v>
      </c>
      <c r="O80" t="s">
        <v>311</v>
      </c>
      <c r="P80">
        <v>71336970</v>
      </c>
    </row>
    <row r="81" spans="1:16" hidden="1" x14ac:dyDescent="0.35">
      <c r="A81">
        <v>59</v>
      </c>
      <c r="B81">
        <v>5002</v>
      </c>
      <c r="C81" t="s">
        <v>19</v>
      </c>
      <c r="D81" t="s">
        <v>19</v>
      </c>
      <c r="E81" s="2">
        <v>46101</v>
      </c>
      <c r="F81" s="2">
        <v>46100</v>
      </c>
      <c r="G81" t="s">
        <v>42</v>
      </c>
      <c r="H81">
        <v>221181850</v>
      </c>
      <c r="I81">
        <v>202561850</v>
      </c>
      <c r="J81">
        <v>9070000</v>
      </c>
      <c r="K81">
        <v>27650000</v>
      </c>
      <c r="M81">
        <f>I81-(H81+J81-K81)- L81</f>
        <v>-40000</v>
      </c>
      <c r="N81" t="str">
        <f>IF(M81=0,"Cuadrado",IF(M81&gt;0,"Faltante","Sobrante"))</f>
        <v>Sobrante</v>
      </c>
      <c r="O81" t="s">
        <v>43</v>
      </c>
      <c r="P81">
        <v>1060652821</v>
      </c>
    </row>
    <row r="82" spans="1:16" hidden="1" x14ac:dyDescent="0.35">
      <c r="A82">
        <v>59</v>
      </c>
      <c r="B82">
        <v>5002</v>
      </c>
      <c r="C82" t="s">
        <v>19</v>
      </c>
      <c r="D82" t="s">
        <v>19</v>
      </c>
      <c r="E82" s="2">
        <v>46100</v>
      </c>
      <c r="F82" s="2">
        <v>46099</v>
      </c>
      <c r="G82" t="s">
        <v>105</v>
      </c>
      <c r="H82">
        <v>279314850</v>
      </c>
      <c r="I82">
        <v>269772850</v>
      </c>
      <c r="J82">
        <v>5910000</v>
      </c>
      <c r="K82">
        <v>15322000</v>
      </c>
      <c r="M82">
        <f>I82-(H82+J82-K82)- L82</f>
        <v>-130000</v>
      </c>
      <c r="N82" t="str">
        <f>IF(M82=0,"Cuadrado",IF(M82&gt;0,"Faltante","Sobrante"))</f>
        <v>Sobrante</v>
      </c>
      <c r="O82" t="s">
        <v>95</v>
      </c>
      <c r="P82">
        <v>1060652821</v>
      </c>
    </row>
    <row r="83" spans="1:16" hidden="1" x14ac:dyDescent="0.35">
      <c r="A83">
        <v>59</v>
      </c>
      <c r="B83">
        <v>5002</v>
      </c>
      <c r="C83" t="s">
        <v>19</v>
      </c>
      <c r="D83" t="s">
        <v>19</v>
      </c>
      <c r="E83" s="2">
        <v>46094</v>
      </c>
      <c r="F83" s="2">
        <v>46093</v>
      </c>
      <c r="G83" t="s">
        <v>154</v>
      </c>
      <c r="H83">
        <v>266439600</v>
      </c>
      <c r="I83">
        <v>274699650</v>
      </c>
      <c r="J83">
        <v>15350000</v>
      </c>
      <c r="K83">
        <v>340000</v>
      </c>
      <c r="M83">
        <f>I83-(H83+J83-K83)- L83</f>
        <v>-6749950</v>
      </c>
      <c r="N83" t="str">
        <f>IF(M83=0,"Cuadrado",IF(M83&gt;0,"Faltante","Sobrante"))</f>
        <v>Sobrante</v>
      </c>
      <c r="O83" t="s">
        <v>245</v>
      </c>
      <c r="P83">
        <v>1060652821</v>
      </c>
    </row>
    <row r="84" spans="1:16" hidden="1" x14ac:dyDescent="0.35">
      <c r="A84">
        <v>59</v>
      </c>
      <c r="B84">
        <v>5002</v>
      </c>
      <c r="C84" t="s">
        <v>19</v>
      </c>
      <c r="D84" t="s">
        <v>19</v>
      </c>
      <c r="E84" s="2">
        <v>46087</v>
      </c>
      <c r="F84" s="2">
        <v>46086</v>
      </c>
      <c r="G84" t="s">
        <v>424</v>
      </c>
      <c r="H84">
        <v>184290750</v>
      </c>
      <c r="I84">
        <v>175425750</v>
      </c>
      <c r="J84">
        <v>3590000</v>
      </c>
      <c r="K84">
        <v>12154900</v>
      </c>
      <c r="M84">
        <f>I84-(H84+J84-K84)- L84</f>
        <v>-300100</v>
      </c>
      <c r="N84" t="str">
        <f>IF(M84=0,"Cuadrado",IF(M84&gt;0,"Faltante","Sobrante"))</f>
        <v>Sobrante</v>
      </c>
      <c r="O84" t="s">
        <v>423</v>
      </c>
      <c r="P84">
        <v>1060652821</v>
      </c>
    </row>
    <row r="85" spans="1:16" hidden="1" x14ac:dyDescent="0.35">
      <c r="A85">
        <v>361</v>
      </c>
      <c r="B85">
        <v>5005</v>
      </c>
      <c r="C85" t="s">
        <v>19</v>
      </c>
      <c r="D85" t="s">
        <v>19</v>
      </c>
      <c r="E85" s="2">
        <v>46093</v>
      </c>
      <c r="F85" s="2">
        <v>46092</v>
      </c>
      <c r="G85" t="s">
        <v>315</v>
      </c>
      <c r="H85">
        <v>170671300</v>
      </c>
      <c r="I85">
        <v>118993650</v>
      </c>
      <c r="J85">
        <v>8930000</v>
      </c>
      <c r="K85">
        <v>19931000</v>
      </c>
      <c r="M85">
        <f>I85-(H85+J85-K85)- L85</f>
        <v>-40676650</v>
      </c>
      <c r="N85" t="str">
        <f>IF(M85=0,"Cuadrado",IF(M85&gt;0,"Faltante","Sobrante"))</f>
        <v>Sobrante</v>
      </c>
      <c r="O85" t="s">
        <v>311</v>
      </c>
      <c r="P85">
        <v>79819397</v>
      </c>
    </row>
    <row r="86" spans="1:16" hidden="1" x14ac:dyDescent="0.35">
      <c r="A86">
        <v>777</v>
      </c>
      <c r="B86">
        <v>5009</v>
      </c>
      <c r="C86" t="s">
        <v>19</v>
      </c>
      <c r="D86" t="s">
        <v>19</v>
      </c>
      <c r="E86" s="2">
        <v>46093</v>
      </c>
      <c r="F86" s="2">
        <v>46092</v>
      </c>
      <c r="G86" t="s">
        <v>196</v>
      </c>
      <c r="H86">
        <v>195305050</v>
      </c>
      <c r="I86">
        <v>106085050</v>
      </c>
      <c r="J86">
        <v>9250000</v>
      </c>
      <c r="K86">
        <v>99200000</v>
      </c>
      <c r="L86">
        <v>738000</v>
      </c>
      <c r="M86">
        <f>I86-(H86+J86-K86)- L86</f>
        <v>-8000</v>
      </c>
      <c r="N86" t="str">
        <f>IF(M86=0,"Cuadrado",IF(M86&gt;0,"Faltante","Sobrante"))</f>
        <v>Sobrante</v>
      </c>
      <c r="O86" t="s">
        <v>311</v>
      </c>
      <c r="P86">
        <v>1192816639</v>
      </c>
    </row>
    <row r="87" spans="1:16" hidden="1" x14ac:dyDescent="0.35">
      <c r="A87">
        <v>779</v>
      </c>
      <c r="B87">
        <v>5013</v>
      </c>
      <c r="C87" t="s">
        <v>19</v>
      </c>
      <c r="D87" t="s">
        <v>19</v>
      </c>
      <c r="E87" s="2">
        <v>46101</v>
      </c>
      <c r="F87" s="2">
        <v>46100</v>
      </c>
      <c r="G87" t="s">
        <v>44</v>
      </c>
      <c r="H87">
        <v>21815800</v>
      </c>
      <c r="I87">
        <v>49242700</v>
      </c>
      <c r="J87">
        <v>880000</v>
      </c>
      <c r="K87">
        <v>21415000</v>
      </c>
      <c r="M87">
        <f>I87-(H87+J87-K87)- L87</f>
        <v>47961900</v>
      </c>
      <c r="N87" t="str">
        <f>IF(M87=0,"Cuadrado",IF(M87&gt;0,"Faltante","Sobrante"))</f>
        <v>Faltante</v>
      </c>
      <c r="O87" t="s">
        <v>18</v>
      </c>
      <c r="P87">
        <v>1082858126</v>
      </c>
    </row>
    <row r="88" spans="1:16" hidden="1" x14ac:dyDescent="0.35">
      <c r="A88">
        <v>779</v>
      </c>
      <c r="B88">
        <v>5013</v>
      </c>
      <c r="C88" t="s">
        <v>19</v>
      </c>
      <c r="D88" t="s">
        <v>19</v>
      </c>
      <c r="E88" s="2">
        <v>46085</v>
      </c>
      <c r="F88" s="2">
        <v>46084</v>
      </c>
      <c r="G88" t="s">
        <v>54</v>
      </c>
      <c r="H88">
        <v>44427800</v>
      </c>
      <c r="I88">
        <v>208299800</v>
      </c>
      <c r="J88">
        <v>9000000</v>
      </c>
      <c r="K88">
        <v>51762000</v>
      </c>
      <c r="L88">
        <v>216761000</v>
      </c>
      <c r="M88">
        <f>I88-(H88+J88-K88)- L88</f>
        <v>-10127000</v>
      </c>
      <c r="N88" t="str">
        <f>IF(M88=0,"Cuadrado",IF(M88&gt;0,"Faltante","Sobrante"))</f>
        <v>Sobrante</v>
      </c>
      <c r="O88" t="s">
        <v>489</v>
      </c>
      <c r="P88">
        <v>1082858126</v>
      </c>
    </row>
    <row r="89" spans="1:16" hidden="1" x14ac:dyDescent="0.35">
      <c r="A89">
        <v>907</v>
      </c>
      <c r="B89">
        <v>5019</v>
      </c>
      <c r="C89" t="s">
        <v>19</v>
      </c>
      <c r="D89" t="s">
        <v>19</v>
      </c>
      <c r="E89" s="2">
        <v>46094</v>
      </c>
      <c r="F89" s="2">
        <v>46093</v>
      </c>
      <c r="G89" t="s">
        <v>248</v>
      </c>
      <c r="H89">
        <v>251036450</v>
      </c>
      <c r="I89">
        <v>251376400</v>
      </c>
      <c r="J89">
        <v>14480000</v>
      </c>
      <c r="K89">
        <v>17090000</v>
      </c>
      <c r="L89">
        <v>2949950</v>
      </c>
      <c r="M89">
        <f>I89-(H89+J89-K89)- L89</f>
        <v>0</v>
      </c>
      <c r="N89" t="str">
        <f>IF(M89=0,"Cuadrado",IF(M89&gt;0,"Faltante","Sobrante"))</f>
        <v>Cuadrado</v>
      </c>
      <c r="O89" t="s">
        <v>249</v>
      </c>
      <c r="P89">
        <v>71339401</v>
      </c>
    </row>
    <row r="90" spans="1:16" hidden="1" x14ac:dyDescent="0.35">
      <c r="A90">
        <v>907</v>
      </c>
      <c r="B90">
        <v>5019</v>
      </c>
      <c r="C90" t="s">
        <v>19</v>
      </c>
      <c r="D90" t="s">
        <v>19</v>
      </c>
      <c r="E90" s="2">
        <v>46084</v>
      </c>
      <c r="F90" s="2">
        <v>46083</v>
      </c>
      <c r="G90" t="s">
        <v>38</v>
      </c>
      <c r="H90">
        <v>259784700</v>
      </c>
      <c r="I90">
        <v>274754700</v>
      </c>
      <c r="J90">
        <v>15000000</v>
      </c>
      <c r="K90">
        <v>0</v>
      </c>
      <c r="M90">
        <f>I90-(H90+J90-K90)- L90</f>
        <v>-30000</v>
      </c>
      <c r="N90" t="str">
        <f>IF(M90=0,"Cuadrado",IF(M90&gt;0,"Faltante","Sobrante"))</f>
        <v>Sobrante</v>
      </c>
      <c r="O90" t="s">
        <v>504</v>
      </c>
      <c r="P90">
        <v>71339401</v>
      </c>
    </row>
    <row r="91" spans="1:16" hidden="1" x14ac:dyDescent="0.35">
      <c r="A91">
        <v>882</v>
      </c>
      <c r="B91">
        <v>5020</v>
      </c>
      <c r="C91" t="s">
        <v>19</v>
      </c>
      <c r="D91" t="s">
        <v>19</v>
      </c>
      <c r="E91" s="2">
        <v>46101</v>
      </c>
      <c r="F91" s="2">
        <v>46100</v>
      </c>
      <c r="G91" t="s">
        <v>45</v>
      </c>
      <c r="H91">
        <v>359002650</v>
      </c>
      <c r="I91">
        <v>346913050</v>
      </c>
      <c r="J91">
        <v>5160000</v>
      </c>
      <c r="K91">
        <v>17260000</v>
      </c>
      <c r="M91">
        <f>I91-(H91+J91-K91)- L91</f>
        <v>10400</v>
      </c>
      <c r="N91" t="str">
        <f>IF(M91=0,"Cuadrado",IF(M91&gt;0,"Faltante","Sobrante"))</f>
        <v>Faltante</v>
      </c>
      <c r="O91" t="s">
        <v>46</v>
      </c>
      <c r="P91">
        <v>33369487</v>
      </c>
    </row>
    <row r="92" spans="1:16" hidden="1" x14ac:dyDescent="0.35">
      <c r="A92">
        <v>882</v>
      </c>
      <c r="B92">
        <v>5020</v>
      </c>
      <c r="C92" t="s">
        <v>19</v>
      </c>
      <c r="D92" t="s">
        <v>19</v>
      </c>
      <c r="E92" s="2">
        <v>46094</v>
      </c>
      <c r="F92" s="2">
        <v>46093</v>
      </c>
      <c r="G92" t="s">
        <v>250</v>
      </c>
      <c r="H92">
        <v>182972850</v>
      </c>
      <c r="I92">
        <v>183721250</v>
      </c>
      <c r="J92">
        <v>8140000</v>
      </c>
      <c r="K92">
        <v>7189400</v>
      </c>
      <c r="M92">
        <f>I92-(H92+J92-K92)- L92</f>
        <v>-202200</v>
      </c>
      <c r="N92" t="str">
        <f>IF(M92=0,"Cuadrado",IF(M92&gt;0,"Faltante","Sobrante"))</f>
        <v>Sobrante</v>
      </c>
      <c r="O92" t="s">
        <v>245</v>
      </c>
      <c r="P92">
        <v>33369487</v>
      </c>
    </row>
    <row r="93" spans="1:16" hidden="1" x14ac:dyDescent="0.35">
      <c r="A93">
        <v>882</v>
      </c>
      <c r="B93">
        <v>5020</v>
      </c>
      <c r="C93" t="s">
        <v>19</v>
      </c>
      <c r="D93" t="s">
        <v>16</v>
      </c>
      <c r="E93" s="2">
        <v>46085</v>
      </c>
      <c r="F93" s="2">
        <v>46084</v>
      </c>
      <c r="G93" t="s">
        <v>135</v>
      </c>
      <c r="H93">
        <v>188154500</v>
      </c>
      <c r="I93">
        <v>138132800</v>
      </c>
      <c r="J93">
        <v>23370000</v>
      </c>
      <c r="K93">
        <v>75053700</v>
      </c>
      <c r="M93">
        <f>I93-(H93+J93-K93)- L93</f>
        <v>1662000</v>
      </c>
      <c r="N93" t="str">
        <f>IF(M93=0,"Cuadrado",IF(M93&gt;0,"Faltante","Sobrante"))</f>
        <v>Faltante</v>
      </c>
      <c r="O93" t="s">
        <v>492</v>
      </c>
      <c r="P93">
        <v>33369487</v>
      </c>
    </row>
    <row r="94" spans="1:16" hidden="1" x14ac:dyDescent="0.35">
      <c r="A94">
        <v>277</v>
      </c>
      <c r="B94">
        <v>5021</v>
      </c>
      <c r="C94" t="s">
        <v>19</v>
      </c>
      <c r="D94" t="s">
        <v>19</v>
      </c>
      <c r="E94" s="2">
        <v>46093</v>
      </c>
      <c r="F94" s="2">
        <v>46092</v>
      </c>
      <c r="G94" t="s">
        <v>231</v>
      </c>
      <c r="H94">
        <v>189501350</v>
      </c>
      <c r="I94">
        <v>199140350</v>
      </c>
      <c r="J94">
        <v>11260000</v>
      </c>
      <c r="K94">
        <v>3531000</v>
      </c>
      <c r="L94">
        <v>1910000</v>
      </c>
      <c r="M94">
        <f>I94-(H94+J94-K94)- L94</f>
        <v>0</v>
      </c>
      <c r="N94" t="str">
        <f>IF(M94=0,"Cuadrado",IF(M94&gt;0,"Faltante","Sobrante"))</f>
        <v>Cuadrado</v>
      </c>
      <c r="O94" t="s">
        <v>37</v>
      </c>
      <c r="P94">
        <v>32184677</v>
      </c>
    </row>
    <row r="95" spans="1:16" hidden="1" x14ac:dyDescent="0.35">
      <c r="A95">
        <v>277</v>
      </c>
      <c r="B95">
        <v>5021</v>
      </c>
      <c r="C95" t="s">
        <v>19</v>
      </c>
      <c r="D95" t="s">
        <v>19</v>
      </c>
      <c r="E95" s="2">
        <v>46092</v>
      </c>
      <c r="F95" s="2">
        <v>46091</v>
      </c>
      <c r="G95" t="s">
        <v>377</v>
      </c>
      <c r="H95">
        <v>201270350</v>
      </c>
      <c r="I95">
        <v>211422350</v>
      </c>
      <c r="J95">
        <v>11030000</v>
      </c>
      <c r="K95">
        <v>878000</v>
      </c>
      <c r="L95">
        <v>0</v>
      </c>
      <c r="M95">
        <f>I95-(H95+J95-K95)- L95</f>
        <v>0</v>
      </c>
      <c r="N95" t="str">
        <f>IF(M95=0,"Cuadrado",IF(M95&gt;0,"Faltante","Sobrante"))</f>
        <v>Cuadrado</v>
      </c>
      <c r="O95" t="s">
        <v>378</v>
      </c>
      <c r="P95">
        <v>32184677</v>
      </c>
    </row>
    <row r="96" spans="1:16" hidden="1" x14ac:dyDescent="0.35">
      <c r="A96">
        <v>825</v>
      </c>
      <c r="B96">
        <v>5023</v>
      </c>
      <c r="C96" t="s">
        <v>19</v>
      </c>
      <c r="D96" t="s">
        <v>16</v>
      </c>
      <c r="E96" s="2">
        <v>46087</v>
      </c>
      <c r="F96" s="2">
        <v>46086</v>
      </c>
      <c r="G96" t="s">
        <v>425</v>
      </c>
      <c r="H96">
        <v>94249950</v>
      </c>
      <c r="I96">
        <v>120218300</v>
      </c>
      <c r="J96">
        <v>45300000</v>
      </c>
      <c r="K96">
        <v>18511650</v>
      </c>
      <c r="M96">
        <f>I96-(H96+J96-K96)- L96</f>
        <v>-820000</v>
      </c>
      <c r="N96" t="str">
        <f>IF(M96=0,"Cuadrado",IF(M96&gt;0,"Faltante","Sobrante"))</f>
        <v>Sobrante</v>
      </c>
      <c r="O96" t="s">
        <v>423</v>
      </c>
      <c r="P96">
        <v>1144124243</v>
      </c>
    </row>
    <row r="97" spans="1:16" hidden="1" x14ac:dyDescent="0.35">
      <c r="A97">
        <v>32</v>
      </c>
      <c r="B97">
        <v>5027</v>
      </c>
      <c r="C97" t="s">
        <v>19</v>
      </c>
      <c r="D97" t="s">
        <v>19</v>
      </c>
      <c r="E97" s="2">
        <v>46101</v>
      </c>
      <c r="F97" s="2">
        <v>46100</v>
      </c>
      <c r="G97" t="s">
        <v>47</v>
      </c>
      <c r="H97">
        <v>394162650</v>
      </c>
      <c r="I97">
        <v>387510650</v>
      </c>
      <c r="J97">
        <v>5160000</v>
      </c>
      <c r="K97">
        <v>11712000</v>
      </c>
      <c r="M97">
        <f>I97-(H97+J97-K97)- L97</f>
        <v>-100000</v>
      </c>
      <c r="N97" t="str">
        <f>IF(M97=0,"Cuadrado",IF(M97&gt;0,"Faltante","Sobrante"))</f>
        <v>Sobrante</v>
      </c>
      <c r="O97" t="s">
        <v>39</v>
      </c>
      <c r="P97">
        <v>79750158</v>
      </c>
    </row>
    <row r="98" spans="1:16" hidden="1" x14ac:dyDescent="0.35">
      <c r="A98">
        <v>32</v>
      </c>
      <c r="B98">
        <v>5027</v>
      </c>
      <c r="C98" t="s">
        <v>19</v>
      </c>
      <c r="D98" t="s">
        <v>19</v>
      </c>
      <c r="E98" s="2">
        <v>46093</v>
      </c>
      <c r="F98" s="2">
        <v>46092</v>
      </c>
      <c r="G98" t="s">
        <v>81</v>
      </c>
      <c r="H98">
        <v>454630750</v>
      </c>
      <c r="I98">
        <v>454630750</v>
      </c>
      <c r="J98">
        <v>0</v>
      </c>
      <c r="K98">
        <v>0</v>
      </c>
      <c r="M98">
        <f>I98-(H98+J98-K98)- L98</f>
        <v>0</v>
      </c>
      <c r="N98" t="str">
        <f>IF(M98=0,"Cuadrado",IF(M98&gt;0,"Faltante","Sobrante"))</f>
        <v>Cuadrado</v>
      </c>
      <c r="O98" t="s">
        <v>37</v>
      </c>
      <c r="P98">
        <v>79750158</v>
      </c>
    </row>
    <row r="99" spans="1:16" hidden="1" x14ac:dyDescent="0.35">
      <c r="A99">
        <v>32</v>
      </c>
      <c r="B99">
        <v>5027</v>
      </c>
      <c r="C99" t="s">
        <v>19</v>
      </c>
      <c r="D99" t="s">
        <v>19</v>
      </c>
      <c r="E99" s="2">
        <v>46087</v>
      </c>
      <c r="F99" s="2">
        <v>46086</v>
      </c>
      <c r="G99" t="s">
        <v>345</v>
      </c>
      <c r="H99">
        <v>479485900</v>
      </c>
      <c r="I99">
        <v>480778700</v>
      </c>
      <c r="J99">
        <v>1300000</v>
      </c>
      <c r="K99">
        <v>0</v>
      </c>
      <c r="M99">
        <f>I99-(H99+J99-K99)- L99</f>
        <v>-7200</v>
      </c>
      <c r="N99" t="str">
        <f>IF(M99=0,"Cuadrado",IF(M99&gt;0,"Faltante","Sobrante"))</f>
        <v>Sobrante</v>
      </c>
      <c r="O99" t="s">
        <v>423</v>
      </c>
      <c r="P99">
        <v>79750158</v>
      </c>
    </row>
    <row r="100" spans="1:16" hidden="1" x14ac:dyDescent="0.35">
      <c r="A100">
        <v>167</v>
      </c>
      <c r="B100">
        <v>5030</v>
      </c>
      <c r="C100" t="s">
        <v>19</v>
      </c>
      <c r="D100" t="s">
        <v>19</v>
      </c>
      <c r="E100" s="2">
        <v>46101</v>
      </c>
      <c r="F100" s="2">
        <v>46100</v>
      </c>
      <c r="G100" t="s">
        <v>48</v>
      </c>
      <c r="H100">
        <v>41793800</v>
      </c>
      <c r="I100">
        <v>46159400</v>
      </c>
      <c r="J100">
        <v>800000</v>
      </c>
      <c r="K100">
        <v>0</v>
      </c>
      <c r="M100">
        <f>I100-(H100+J100-K100)- L100</f>
        <v>3565600</v>
      </c>
      <c r="N100" t="str">
        <f>IF(M100=0,"Cuadrado",IF(M100&gt;0,"Faltante","Sobrante"))</f>
        <v>Faltante</v>
      </c>
      <c r="O100" t="s">
        <v>49</v>
      </c>
      <c r="P100">
        <v>1022373176</v>
      </c>
    </row>
    <row r="101" spans="1:16" hidden="1" x14ac:dyDescent="0.35">
      <c r="A101">
        <v>167</v>
      </c>
      <c r="B101">
        <v>5030</v>
      </c>
      <c r="C101" t="s">
        <v>19</v>
      </c>
      <c r="D101" t="s">
        <v>19</v>
      </c>
      <c r="E101" s="2">
        <v>46100</v>
      </c>
      <c r="F101" s="2">
        <v>46099</v>
      </c>
      <c r="G101" t="s">
        <v>38</v>
      </c>
      <c r="H101">
        <v>376748500</v>
      </c>
      <c r="I101">
        <v>380800400</v>
      </c>
      <c r="J101">
        <v>60000</v>
      </c>
      <c r="K101" t="s">
        <v>98</v>
      </c>
      <c r="M101" t="e">
        <f>I101-(H101+J101-K101)- L101</f>
        <v>#VALUE!</v>
      </c>
      <c r="N101" t="e">
        <f>IF(M101=0,"Cuadrado",IF(M101&gt;0,"Faltante","Sobrante"))</f>
        <v>#VALUE!</v>
      </c>
      <c r="O101" t="s">
        <v>59</v>
      </c>
      <c r="P101">
        <v>1022373176</v>
      </c>
    </row>
    <row r="102" spans="1:16" hidden="1" x14ac:dyDescent="0.35">
      <c r="A102">
        <v>167</v>
      </c>
      <c r="B102">
        <v>5030</v>
      </c>
      <c r="C102" t="s">
        <v>19</v>
      </c>
      <c r="D102" t="s">
        <v>19</v>
      </c>
      <c r="E102" s="2">
        <v>46092</v>
      </c>
      <c r="F102" s="2">
        <v>46091</v>
      </c>
      <c r="G102" t="s">
        <v>308</v>
      </c>
      <c r="H102">
        <v>390208900</v>
      </c>
      <c r="I102">
        <v>372430300</v>
      </c>
      <c r="J102">
        <v>6340000</v>
      </c>
      <c r="K102">
        <v>20411800</v>
      </c>
      <c r="M102">
        <f>I102-(H102+J102-K102)- L102</f>
        <v>-3706800</v>
      </c>
      <c r="N102" t="str">
        <f>IF(M102=0,"Cuadrado",IF(M102&gt;0,"Faltante","Sobrante"))</f>
        <v>Sobrante</v>
      </c>
      <c r="O102" t="s">
        <v>357</v>
      </c>
      <c r="P102">
        <v>80076538</v>
      </c>
    </row>
    <row r="103" spans="1:16" hidden="1" x14ac:dyDescent="0.35">
      <c r="A103">
        <v>167</v>
      </c>
      <c r="B103">
        <v>5030</v>
      </c>
      <c r="C103" t="s">
        <v>19</v>
      </c>
      <c r="D103" t="s">
        <v>19</v>
      </c>
      <c r="E103" s="2">
        <v>46086</v>
      </c>
      <c r="F103" s="2">
        <v>46085</v>
      </c>
      <c r="G103" t="s">
        <v>473</v>
      </c>
      <c r="H103">
        <v>355239350</v>
      </c>
      <c r="I103">
        <v>354189150</v>
      </c>
      <c r="J103">
        <v>110000</v>
      </c>
      <c r="K103">
        <v>525000</v>
      </c>
      <c r="M103">
        <f>I103-(H103+J103-K103)- L103</f>
        <v>-635200</v>
      </c>
      <c r="N103" t="str">
        <f>IF(M103=0,"Cuadrado",IF(M103&gt;0,"Faltante","Sobrante"))</f>
        <v>Sobrante</v>
      </c>
      <c r="O103" t="s">
        <v>467</v>
      </c>
      <c r="P103">
        <v>80076538</v>
      </c>
    </row>
    <row r="104" spans="1:16" hidden="1" x14ac:dyDescent="0.35">
      <c r="A104">
        <v>275</v>
      </c>
      <c r="B104">
        <v>5034</v>
      </c>
      <c r="C104" t="s">
        <v>19</v>
      </c>
      <c r="D104" t="s">
        <v>16</v>
      </c>
      <c r="E104" s="2">
        <v>46100</v>
      </c>
      <c r="F104" s="2">
        <v>46099</v>
      </c>
      <c r="G104" t="s">
        <v>106</v>
      </c>
      <c r="H104">
        <v>141148550</v>
      </c>
      <c r="I104">
        <v>106028550</v>
      </c>
      <c r="J104">
        <v>24300000</v>
      </c>
      <c r="K104">
        <v>59030000</v>
      </c>
      <c r="M104">
        <f>I104-(H104+J104-K104)- L104</f>
        <v>-390000</v>
      </c>
      <c r="N104" t="str">
        <f>IF(M104=0,"Cuadrado",IF(M104&gt;0,"Faltante","Sobrante"))</f>
        <v>Sobrante</v>
      </c>
      <c r="O104" t="s">
        <v>95</v>
      </c>
      <c r="P104">
        <v>16055613</v>
      </c>
    </row>
    <row r="105" spans="1:16" hidden="1" x14ac:dyDescent="0.35">
      <c r="A105">
        <v>275</v>
      </c>
      <c r="B105">
        <v>5034</v>
      </c>
      <c r="C105" t="s">
        <v>19</v>
      </c>
      <c r="D105" t="s">
        <v>19</v>
      </c>
      <c r="E105" s="2">
        <v>46087</v>
      </c>
      <c r="F105" s="2">
        <v>46086</v>
      </c>
      <c r="G105" t="s">
        <v>426</v>
      </c>
      <c r="H105">
        <v>86506950</v>
      </c>
      <c r="I105">
        <v>374996950</v>
      </c>
      <c r="J105">
        <v>14550000</v>
      </c>
      <c r="K105">
        <v>50721000</v>
      </c>
      <c r="L105">
        <v>325611000</v>
      </c>
      <c r="M105">
        <f>I105-(H105+J105-K105)- L105</f>
        <v>-950000</v>
      </c>
      <c r="N105" t="str">
        <f>IF(M105=0,"Cuadrado",IF(M105&gt;0,"Faltante","Sobrante"))</f>
        <v>Sobrante</v>
      </c>
      <c r="O105" t="s">
        <v>423</v>
      </c>
      <c r="P105">
        <v>16055613</v>
      </c>
    </row>
    <row r="106" spans="1:16" x14ac:dyDescent="0.35">
      <c r="A106">
        <v>275</v>
      </c>
      <c r="B106">
        <v>5034</v>
      </c>
      <c r="C106" t="s">
        <v>19</v>
      </c>
      <c r="D106" t="s">
        <v>19</v>
      </c>
      <c r="E106" s="2">
        <v>46106</v>
      </c>
      <c r="F106" s="2">
        <v>46105</v>
      </c>
      <c r="G106" t="s">
        <v>520</v>
      </c>
      <c r="H106">
        <v>54535350</v>
      </c>
      <c r="I106">
        <v>294144450</v>
      </c>
      <c r="J106">
        <v>8170000</v>
      </c>
      <c r="K106">
        <v>10839900</v>
      </c>
      <c r="L106">
        <f>242279000</f>
        <v>242279000</v>
      </c>
      <c r="M106">
        <f>I106-(H106+J106-K106)- L106</f>
        <v>0</v>
      </c>
      <c r="N106" t="str">
        <f>IF(M106=0,"Cuadrado",IF(M106&gt;0,"Faltante","Sobrante"))</f>
        <v>Cuadrado</v>
      </c>
      <c r="O106" t="s">
        <v>37</v>
      </c>
      <c r="P106">
        <v>16055613</v>
      </c>
    </row>
    <row r="107" spans="1:16" hidden="1" x14ac:dyDescent="0.35">
      <c r="A107">
        <v>81</v>
      </c>
      <c r="B107">
        <v>5036</v>
      </c>
      <c r="C107" t="s">
        <v>19</v>
      </c>
      <c r="D107" t="s">
        <v>19</v>
      </c>
      <c r="E107" s="2">
        <v>46092</v>
      </c>
      <c r="F107" s="2">
        <v>46091</v>
      </c>
      <c r="G107" t="s">
        <v>272</v>
      </c>
      <c r="H107">
        <v>264980400</v>
      </c>
      <c r="I107">
        <v>256847400</v>
      </c>
      <c r="J107">
        <v>0</v>
      </c>
      <c r="K107">
        <v>0</v>
      </c>
      <c r="L107">
        <v>480000</v>
      </c>
      <c r="M107">
        <f>I107-(H107+J107-K107)- L107</f>
        <v>-8613000</v>
      </c>
      <c r="N107" t="str">
        <f>IF(M107=0,"Cuadrado",IF(M107&gt;0,"Faltante","Sobrante"))</f>
        <v>Sobrante</v>
      </c>
      <c r="O107" t="s">
        <v>357</v>
      </c>
      <c r="P107">
        <v>78691277</v>
      </c>
    </row>
    <row r="108" spans="1:16" hidden="1" x14ac:dyDescent="0.35">
      <c r="A108">
        <v>824</v>
      </c>
      <c r="B108">
        <v>5040</v>
      </c>
      <c r="C108" t="s">
        <v>19</v>
      </c>
      <c r="D108" t="s">
        <v>19</v>
      </c>
      <c r="E108" s="2">
        <v>46100</v>
      </c>
      <c r="F108" s="2">
        <v>46099</v>
      </c>
      <c r="G108" t="s">
        <v>48</v>
      </c>
      <c r="H108">
        <v>168274050</v>
      </c>
      <c r="I108">
        <v>164315050</v>
      </c>
      <c r="J108">
        <v>2970000</v>
      </c>
      <c r="K108">
        <v>2129000</v>
      </c>
      <c r="M108">
        <f>I108-(H108+J108-K108)- L108</f>
        <v>-4800000</v>
      </c>
      <c r="N108" t="str">
        <f>IF(M108=0,"Cuadrado",IF(M108&gt;0,"Faltante","Sobrante"))</f>
        <v>Sobrante</v>
      </c>
      <c r="O108" t="s">
        <v>95</v>
      </c>
      <c r="P108">
        <v>88259624</v>
      </c>
    </row>
    <row r="109" spans="1:16" hidden="1" x14ac:dyDescent="0.35">
      <c r="A109">
        <v>824</v>
      </c>
      <c r="B109">
        <v>5040</v>
      </c>
      <c r="C109" t="s">
        <v>19</v>
      </c>
      <c r="D109" t="s">
        <v>19</v>
      </c>
      <c r="E109" s="2">
        <v>46094</v>
      </c>
      <c r="F109" s="2">
        <v>46093</v>
      </c>
      <c r="G109" t="s">
        <v>251</v>
      </c>
      <c r="H109">
        <v>95376650</v>
      </c>
      <c r="I109">
        <v>219004650</v>
      </c>
      <c r="J109">
        <v>19940000</v>
      </c>
      <c r="K109">
        <v>40741000</v>
      </c>
      <c r="L109">
        <v>146629000</v>
      </c>
      <c r="M109">
        <f>I109-(H109+J109-K109)- L109</f>
        <v>-2200000</v>
      </c>
      <c r="N109" t="str">
        <f>IF(M109=0,"Cuadrado",IF(M109&gt;0,"Faltante","Sobrante"))</f>
        <v>Sobrante</v>
      </c>
      <c r="O109" t="s">
        <v>245</v>
      </c>
      <c r="P109">
        <v>88259624</v>
      </c>
    </row>
    <row r="110" spans="1:16" hidden="1" x14ac:dyDescent="0.35">
      <c r="A110">
        <v>154</v>
      </c>
      <c r="B110">
        <v>5041</v>
      </c>
      <c r="C110" t="s">
        <v>19</v>
      </c>
      <c r="D110" t="s">
        <v>19</v>
      </c>
      <c r="E110" s="2">
        <v>46100</v>
      </c>
      <c r="F110" s="2">
        <v>46099</v>
      </c>
      <c r="G110" t="s">
        <v>107</v>
      </c>
      <c r="H110">
        <v>56599350</v>
      </c>
      <c r="I110">
        <v>234297350</v>
      </c>
      <c r="J110">
        <v>14070000</v>
      </c>
      <c r="K110">
        <v>25760000</v>
      </c>
      <c r="L110">
        <v>209041000</v>
      </c>
      <c r="M110">
        <f>I110-(H110+J110-K110)- L110</f>
        <v>-19653000</v>
      </c>
      <c r="N110" t="str">
        <f>IF(M110=0,"Cuadrado",IF(M110&gt;0,"Faltante","Sobrante"))</f>
        <v>Sobrante</v>
      </c>
      <c r="O110" t="s">
        <v>95</v>
      </c>
      <c r="P110">
        <v>1013581728</v>
      </c>
    </row>
    <row r="111" spans="1:16" hidden="1" x14ac:dyDescent="0.35">
      <c r="A111">
        <v>154</v>
      </c>
      <c r="B111">
        <v>5041</v>
      </c>
      <c r="C111" t="s">
        <v>19</v>
      </c>
      <c r="D111" t="s">
        <v>19</v>
      </c>
      <c r="E111" s="2">
        <v>46092</v>
      </c>
      <c r="F111" s="2">
        <v>46091</v>
      </c>
      <c r="G111" t="s">
        <v>358</v>
      </c>
      <c r="H111">
        <v>41677350</v>
      </c>
      <c r="I111">
        <v>225529850</v>
      </c>
      <c r="J111">
        <v>5500000</v>
      </c>
      <c r="K111">
        <v>11655000</v>
      </c>
      <c r="L111">
        <v>192863000</v>
      </c>
      <c r="M111">
        <f>I111-(H111+J111-K111)- L111</f>
        <v>-2855500</v>
      </c>
      <c r="N111" t="str">
        <f>IF(M111=0,"Cuadrado",IF(M111&gt;0,"Faltante","Sobrante"))</f>
        <v>Sobrante</v>
      </c>
      <c r="O111" t="s">
        <v>357</v>
      </c>
      <c r="P111">
        <v>1013581728</v>
      </c>
    </row>
    <row r="112" spans="1:16" hidden="1" x14ac:dyDescent="0.35">
      <c r="A112">
        <v>867</v>
      </c>
      <c r="B112">
        <v>5043</v>
      </c>
      <c r="C112" t="s">
        <v>19</v>
      </c>
      <c r="D112" t="s">
        <v>16</v>
      </c>
      <c r="E112" s="2">
        <v>46100</v>
      </c>
      <c r="F112" s="2">
        <v>46099</v>
      </c>
      <c r="G112" t="s">
        <v>108</v>
      </c>
      <c r="H112">
        <v>153749150</v>
      </c>
      <c r="I112">
        <v>150190150</v>
      </c>
      <c r="J112">
        <v>3150000</v>
      </c>
      <c r="K112">
        <v>8046000</v>
      </c>
      <c r="L112">
        <v>1337000</v>
      </c>
      <c r="M112">
        <f>I112-(H112+J112-K112)- L112</f>
        <v>0</v>
      </c>
      <c r="N112" t="str">
        <f>IF(M112=0,"Cuadrado",IF(M112&gt;0,"Faltante","Sobrante"))</f>
        <v>Cuadrado</v>
      </c>
      <c r="O112" t="s">
        <v>109</v>
      </c>
      <c r="P112">
        <v>9726594</v>
      </c>
    </row>
    <row r="113" spans="1:16" hidden="1" x14ac:dyDescent="0.35">
      <c r="A113">
        <v>867</v>
      </c>
      <c r="B113">
        <v>5043</v>
      </c>
      <c r="C113" t="s">
        <v>19</v>
      </c>
      <c r="D113" t="s">
        <v>19</v>
      </c>
      <c r="E113" s="2">
        <v>46091</v>
      </c>
      <c r="F113" s="2">
        <v>46090</v>
      </c>
      <c r="G113" t="s">
        <v>85</v>
      </c>
      <c r="H113">
        <v>294129700</v>
      </c>
      <c r="I113">
        <v>293361300</v>
      </c>
      <c r="J113">
        <v>1070000</v>
      </c>
      <c r="K113">
        <v>350000</v>
      </c>
      <c r="M113">
        <f>I113-(H113+J113-K113)- L113</f>
        <v>-1488400</v>
      </c>
      <c r="N113" t="str">
        <f>IF(M113=0,"Cuadrado",IF(M113&gt;0,"Faltante","Sobrante"))</f>
        <v>Sobrante</v>
      </c>
      <c r="O113" t="s">
        <v>383</v>
      </c>
      <c r="P113">
        <v>1105611666</v>
      </c>
    </row>
    <row r="114" spans="1:16" hidden="1" x14ac:dyDescent="0.35">
      <c r="A114">
        <v>879</v>
      </c>
      <c r="B114">
        <v>5045</v>
      </c>
      <c r="C114" t="s">
        <v>19</v>
      </c>
      <c r="D114" t="s">
        <v>19</v>
      </c>
      <c r="E114" s="2">
        <v>46100</v>
      </c>
      <c r="F114" s="2">
        <v>46099</v>
      </c>
      <c r="G114" t="s">
        <v>82</v>
      </c>
      <c r="H114">
        <v>58880550</v>
      </c>
      <c r="I114">
        <v>279308400</v>
      </c>
      <c r="J114">
        <v>25640000</v>
      </c>
      <c r="K114">
        <v>82953950</v>
      </c>
      <c r="L114">
        <v>277742000</v>
      </c>
      <c r="M114">
        <f>I114-(H114+J114-K114)- L114</f>
        <v>-200</v>
      </c>
      <c r="N114" t="str">
        <f>IF(M114=0,"Cuadrado",IF(M114&gt;0,"Faltante","Sobrante"))</f>
        <v>Sobrante</v>
      </c>
      <c r="O114" t="s">
        <v>95</v>
      </c>
      <c r="P114">
        <v>1085303632</v>
      </c>
    </row>
    <row r="115" spans="1:16" hidden="1" x14ac:dyDescent="0.35">
      <c r="A115">
        <v>879</v>
      </c>
      <c r="B115">
        <v>5045</v>
      </c>
      <c r="C115" t="s">
        <v>19</v>
      </c>
      <c r="D115" t="s">
        <v>19</v>
      </c>
      <c r="E115" s="2">
        <v>46097</v>
      </c>
      <c r="F115" s="2">
        <v>46094</v>
      </c>
      <c r="G115" t="s">
        <v>212</v>
      </c>
      <c r="H115">
        <v>135333700</v>
      </c>
      <c r="I115">
        <v>60514700</v>
      </c>
      <c r="J115">
        <v>10220000</v>
      </c>
      <c r="K115">
        <v>199399000</v>
      </c>
      <c r="M115">
        <f>I115-(H115+J115-K115)- L115</f>
        <v>114360000</v>
      </c>
      <c r="N115" t="str">
        <f>IF(M115=0,"Cuadrado",IF(M115&gt;0,"Faltante","Sobrante"))</f>
        <v>Faltante</v>
      </c>
      <c r="O115" t="s">
        <v>37</v>
      </c>
      <c r="P115">
        <v>1085303632</v>
      </c>
    </row>
    <row r="116" spans="1:16" hidden="1" x14ac:dyDescent="0.35">
      <c r="A116">
        <v>879</v>
      </c>
      <c r="B116">
        <v>5045</v>
      </c>
      <c r="C116" t="s">
        <v>19</v>
      </c>
      <c r="D116" t="s">
        <v>19</v>
      </c>
      <c r="E116" s="2">
        <v>46094</v>
      </c>
      <c r="F116" s="2">
        <v>46093</v>
      </c>
      <c r="G116" t="s">
        <v>252</v>
      </c>
      <c r="H116">
        <v>199026700</v>
      </c>
      <c r="I116">
        <v>285448950</v>
      </c>
      <c r="J116">
        <v>14230000</v>
      </c>
      <c r="K116">
        <v>208977750</v>
      </c>
      <c r="L116">
        <v>293070000</v>
      </c>
      <c r="M116">
        <f>I116-(H116+J116-K116)- L116</f>
        <v>-11900000</v>
      </c>
      <c r="N116" t="str">
        <f>IF(M116=0,"Cuadrado",IF(M116&gt;0,"Faltante","Sobrante"))</f>
        <v>Sobrante</v>
      </c>
      <c r="O116" t="s">
        <v>245</v>
      </c>
      <c r="P116">
        <v>1085303632</v>
      </c>
    </row>
    <row r="117" spans="1:16" hidden="1" x14ac:dyDescent="0.35">
      <c r="A117">
        <v>723</v>
      </c>
      <c r="B117">
        <v>5046</v>
      </c>
      <c r="C117" t="s">
        <v>19</v>
      </c>
      <c r="D117" t="s">
        <v>19</v>
      </c>
      <c r="E117" s="2">
        <v>46099</v>
      </c>
      <c r="F117" s="2">
        <v>46098</v>
      </c>
      <c r="G117" t="s">
        <v>160</v>
      </c>
      <c r="H117">
        <v>181772500</v>
      </c>
      <c r="I117">
        <v>128155500</v>
      </c>
      <c r="J117">
        <v>57100000</v>
      </c>
      <c r="K117">
        <v>94038000</v>
      </c>
      <c r="M117">
        <f>I117-(H117+J117-K117)- L117</f>
        <v>-16679000</v>
      </c>
      <c r="N117" t="str">
        <f>IF(M117=0,"Cuadrado",IF(M117&gt;0,"Faltante","Sobrante"))</f>
        <v>Sobrante</v>
      </c>
      <c r="O117" t="s">
        <v>156</v>
      </c>
    </row>
    <row r="118" spans="1:16" hidden="1" x14ac:dyDescent="0.35">
      <c r="A118">
        <v>723</v>
      </c>
      <c r="B118">
        <v>5046</v>
      </c>
      <c r="C118" t="s">
        <v>19</v>
      </c>
      <c r="D118" t="s">
        <v>19</v>
      </c>
      <c r="E118" s="2">
        <v>46094</v>
      </c>
      <c r="F118" s="2">
        <v>46093</v>
      </c>
      <c r="G118" t="s">
        <v>253</v>
      </c>
      <c r="H118">
        <v>97589500</v>
      </c>
      <c r="I118">
        <v>-28651950</v>
      </c>
      <c r="J118">
        <v>11550000</v>
      </c>
      <c r="K118">
        <v>66259000</v>
      </c>
      <c r="L118">
        <v>-20000000</v>
      </c>
      <c r="M118">
        <f>I118-(H118+J118-K118)- L118</f>
        <v>-51532450</v>
      </c>
      <c r="N118" t="str">
        <f>IF(M118=0,"Cuadrado",IF(M118&gt;0,"Faltante","Sobrante"))</f>
        <v>Sobrante</v>
      </c>
      <c r="O118" t="s">
        <v>245</v>
      </c>
      <c r="P118">
        <v>1088273268</v>
      </c>
    </row>
    <row r="119" spans="1:16" hidden="1" x14ac:dyDescent="0.35">
      <c r="A119">
        <v>723</v>
      </c>
      <c r="B119">
        <v>5046</v>
      </c>
      <c r="C119" t="s">
        <v>19</v>
      </c>
      <c r="D119" t="s">
        <v>19</v>
      </c>
      <c r="E119" s="2">
        <v>46093</v>
      </c>
      <c r="F119" s="2">
        <v>46092</v>
      </c>
      <c r="G119" t="s">
        <v>316</v>
      </c>
      <c r="H119">
        <v>138407500</v>
      </c>
      <c r="I119">
        <v>141531050</v>
      </c>
      <c r="J119">
        <v>35550000</v>
      </c>
      <c r="K119">
        <v>140174000</v>
      </c>
      <c r="L119">
        <v>179280000</v>
      </c>
      <c r="M119">
        <f>I119-(H119+J119-K119)- L119</f>
        <v>-71532450</v>
      </c>
      <c r="N119" t="str">
        <f>IF(M119=0,"Cuadrado",IF(M119&gt;0,"Faltante","Sobrante"))</f>
        <v>Sobrante</v>
      </c>
      <c r="O119" t="s">
        <v>260</v>
      </c>
      <c r="P119">
        <v>1088273268</v>
      </c>
    </row>
    <row r="120" spans="1:16" hidden="1" x14ac:dyDescent="0.35">
      <c r="A120">
        <v>723</v>
      </c>
      <c r="B120">
        <v>5046</v>
      </c>
      <c r="C120" t="s">
        <v>19</v>
      </c>
      <c r="D120" t="s">
        <v>19</v>
      </c>
      <c r="E120" s="2">
        <v>46084</v>
      </c>
      <c r="F120" s="2">
        <v>46083</v>
      </c>
      <c r="G120" t="s">
        <v>60</v>
      </c>
      <c r="H120">
        <v>252009000</v>
      </c>
      <c r="I120">
        <v>273030000</v>
      </c>
      <c r="J120">
        <v>0</v>
      </c>
      <c r="K120">
        <v>0</v>
      </c>
      <c r="L120">
        <v>21021000</v>
      </c>
      <c r="M120">
        <f>I120-(H120+J120-K120)- L120</f>
        <v>0</v>
      </c>
      <c r="N120" t="str">
        <f>IF(M120=0,"Cuadrado",IF(M120&gt;0,"Faltante","Sobrante"))</f>
        <v>Cuadrado</v>
      </c>
      <c r="O120" t="s">
        <v>37</v>
      </c>
      <c r="P120">
        <v>1088310723</v>
      </c>
    </row>
    <row r="121" spans="1:16" hidden="1" x14ac:dyDescent="0.35">
      <c r="A121">
        <v>623</v>
      </c>
      <c r="B121">
        <v>5047</v>
      </c>
      <c r="C121" t="s">
        <v>19</v>
      </c>
      <c r="D121" t="s">
        <v>19</v>
      </c>
      <c r="E121" s="2">
        <v>46100</v>
      </c>
      <c r="F121" s="2">
        <v>46099</v>
      </c>
      <c r="G121" t="s">
        <v>110</v>
      </c>
      <c r="H121">
        <v>249496250</v>
      </c>
      <c r="I121">
        <v>242836650</v>
      </c>
      <c r="J121">
        <v>100000</v>
      </c>
      <c r="K121">
        <v>3807000</v>
      </c>
      <c r="M121">
        <f>I121-(H121+J121-K121)- L121</f>
        <v>-2952600</v>
      </c>
      <c r="N121" t="str">
        <f>IF(M121=0,"Cuadrado",IF(M121&gt;0,"Faltante","Sobrante"))</f>
        <v>Sobrante</v>
      </c>
      <c r="O121" t="s">
        <v>95</v>
      </c>
      <c r="P121">
        <v>1012348871</v>
      </c>
    </row>
    <row r="122" spans="1:16" hidden="1" x14ac:dyDescent="0.35">
      <c r="A122">
        <v>623</v>
      </c>
      <c r="B122">
        <v>5047</v>
      </c>
      <c r="C122" t="s">
        <v>19</v>
      </c>
      <c r="D122" t="s">
        <v>19</v>
      </c>
      <c r="E122" s="2">
        <v>46087</v>
      </c>
      <c r="F122" s="2">
        <v>46086</v>
      </c>
      <c r="G122" t="s">
        <v>158</v>
      </c>
      <c r="H122">
        <v>203519800</v>
      </c>
      <c r="I122">
        <v>191719800</v>
      </c>
      <c r="J122">
        <v>900000</v>
      </c>
      <c r="K122">
        <v>12700000</v>
      </c>
      <c r="M122">
        <f>I122-(H122+J122-K122)- L122</f>
        <v>0</v>
      </c>
      <c r="N122" t="str">
        <f>IF(M122=0,"Cuadrado",IF(M122&gt;0,"Faltante","Sobrante"))</f>
        <v>Cuadrado</v>
      </c>
      <c r="O122" t="s">
        <v>37</v>
      </c>
      <c r="P122">
        <v>1012348871</v>
      </c>
    </row>
    <row r="123" spans="1:16" hidden="1" x14ac:dyDescent="0.35">
      <c r="A123">
        <v>623</v>
      </c>
      <c r="B123">
        <v>5047</v>
      </c>
      <c r="C123" t="s">
        <v>19</v>
      </c>
      <c r="D123" t="s">
        <v>19</v>
      </c>
      <c r="E123" s="2">
        <v>46085</v>
      </c>
      <c r="F123" s="2">
        <v>46084</v>
      </c>
      <c r="G123" t="s">
        <v>54</v>
      </c>
      <c r="H123">
        <v>212035800</v>
      </c>
      <c r="I123">
        <v>221845800</v>
      </c>
      <c r="J123">
        <v>10260000</v>
      </c>
      <c r="K123">
        <v>0</v>
      </c>
      <c r="M123">
        <f>I123-(H123+J123-K123)- L123</f>
        <v>-450000</v>
      </c>
      <c r="N123" t="str">
        <f>IF(M123=0,"Cuadrado",IF(M123&gt;0,"Faltante","Sobrante"))</f>
        <v>Sobrante</v>
      </c>
      <c r="O123" t="s">
        <v>489</v>
      </c>
      <c r="P123">
        <v>1060651791</v>
      </c>
    </row>
    <row r="124" spans="1:16" hidden="1" x14ac:dyDescent="0.35">
      <c r="A124">
        <v>261</v>
      </c>
      <c r="B124">
        <v>5048</v>
      </c>
      <c r="C124" t="s">
        <v>19</v>
      </c>
      <c r="D124" t="s">
        <v>19</v>
      </c>
      <c r="E124" s="2">
        <v>46094</v>
      </c>
      <c r="F124" s="2">
        <v>46093</v>
      </c>
      <c r="G124" t="s">
        <v>201</v>
      </c>
      <c r="H124">
        <v>285540550</v>
      </c>
      <c r="I124">
        <v>281433550</v>
      </c>
      <c r="J124">
        <v>490000</v>
      </c>
      <c r="K124">
        <v>4587000</v>
      </c>
      <c r="M124">
        <f>I124-(H124+J124-K124)- L124</f>
        <v>-10000</v>
      </c>
      <c r="N124" t="str">
        <f>IF(M124=0,"Cuadrado",IF(M124&gt;0,"Faltante","Sobrante"))</f>
        <v>Sobrante</v>
      </c>
      <c r="O124" t="s">
        <v>245</v>
      </c>
      <c r="P124">
        <v>34327627</v>
      </c>
    </row>
    <row r="125" spans="1:16" hidden="1" x14ac:dyDescent="0.35">
      <c r="A125">
        <v>261</v>
      </c>
      <c r="B125">
        <v>5048</v>
      </c>
      <c r="C125" t="s">
        <v>19</v>
      </c>
      <c r="D125" t="s">
        <v>19</v>
      </c>
      <c r="E125" s="2">
        <v>46086</v>
      </c>
      <c r="F125" s="2">
        <v>46085</v>
      </c>
      <c r="G125" t="s">
        <v>474</v>
      </c>
      <c r="H125">
        <v>424951150</v>
      </c>
      <c r="I125">
        <v>193329350</v>
      </c>
      <c r="J125">
        <v>15540000</v>
      </c>
      <c r="K125">
        <v>233166250</v>
      </c>
      <c r="M125">
        <f>I125-(H125+J125-K125)- L125</f>
        <v>-13995550</v>
      </c>
      <c r="N125" t="str">
        <f>IF(M125=0,"Cuadrado",IF(M125&gt;0,"Faltante","Sobrante"))</f>
        <v>Sobrante</v>
      </c>
      <c r="O125" t="s">
        <v>467</v>
      </c>
      <c r="P125">
        <v>34327627</v>
      </c>
    </row>
    <row r="126" spans="1:16" hidden="1" x14ac:dyDescent="0.35">
      <c r="A126">
        <v>261</v>
      </c>
      <c r="B126">
        <v>5048</v>
      </c>
      <c r="C126" t="s">
        <v>19</v>
      </c>
      <c r="D126" t="s">
        <v>19</v>
      </c>
      <c r="E126" s="2">
        <v>46084</v>
      </c>
      <c r="F126" s="2">
        <v>46083</v>
      </c>
      <c r="G126" t="s">
        <v>507</v>
      </c>
      <c r="H126">
        <v>289683850</v>
      </c>
      <c r="I126">
        <v>234003350</v>
      </c>
      <c r="J126">
        <v>12930000</v>
      </c>
      <c r="K126">
        <v>54614950</v>
      </c>
      <c r="M126">
        <f>I126-(H126+J126-K126)- L126</f>
        <v>-13995550</v>
      </c>
      <c r="N126" t="str">
        <f>IF(M126=0,"Cuadrado",IF(M126&gt;0,"Faltante","Sobrante"))</f>
        <v>Sobrante</v>
      </c>
      <c r="O126" t="s">
        <v>260</v>
      </c>
      <c r="P126">
        <v>34327627</v>
      </c>
    </row>
    <row r="127" spans="1:16" hidden="1" x14ac:dyDescent="0.35">
      <c r="A127">
        <v>682</v>
      </c>
      <c r="B127">
        <v>5049</v>
      </c>
      <c r="C127" t="s">
        <v>19</v>
      </c>
      <c r="D127" t="s">
        <v>19</v>
      </c>
      <c r="E127" s="2">
        <v>46099</v>
      </c>
      <c r="F127" s="2">
        <v>46098</v>
      </c>
      <c r="G127" t="s">
        <v>161</v>
      </c>
      <c r="H127">
        <v>225384050</v>
      </c>
      <c r="I127">
        <v>217768850</v>
      </c>
      <c r="J127">
        <v>4990000</v>
      </c>
      <c r="K127">
        <v>9685000</v>
      </c>
      <c r="M127">
        <f>I127-(H127+J127-K127)- L127</f>
        <v>-2920200</v>
      </c>
      <c r="N127" t="str">
        <f>IF(M127=0,"Cuadrado",IF(M127&gt;0,"Faltante","Sobrante"))</f>
        <v>Sobrante</v>
      </c>
      <c r="O127" t="s">
        <v>156</v>
      </c>
    </row>
    <row r="128" spans="1:16" hidden="1" x14ac:dyDescent="0.35">
      <c r="A128">
        <v>682</v>
      </c>
      <c r="B128">
        <v>5049</v>
      </c>
      <c r="C128" t="s">
        <v>19</v>
      </c>
      <c r="D128" t="s">
        <v>19</v>
      </c>
      <c r="E128" s="2">
        <v>46087</v>
      </c>
      <c r="F128" s="2">
        <v>46086</v>
      </c>
      <c r="G128" t="s">
        <v>330</v>
      </c>
      <c r="H128">
        <v>197591900</v>
      </c>
      <c r="I128">
        <v>189947800</v>
      </c>
      <c r="J128">
        <v>21200000</v>
      </c>
      <c r="K128">
        <v>28849000</v>
      </c>
      <c r="L128">
        <v>4900</v>
      </c>
      <c r="M128">
        <f>I128-(H128+J128-K128)- L128</f>
        <v>0</v>
      </c>
      <c r="N128" t="str">
        <f>IF(M128=0,"Cuadrado",IF(M128&gt;0,"Faltante","Sobrante"))</f>
        <v>Cuadrado</v>
      </c>
      <c r="O128" t="s">
        <v>427</v>
      </c>
      <c r="P128">
        <v>1018447800</v>
      </c>
    </row>
    <row r="129" spans="1:16" hidden="1" x14ac:dyDescent="0.35">
      <c r="A129">
        <v>682</v>
      </c>
      <c r="B129">
        <v>5049</v>
      </c>
      <c r="C129" t="s">
        <v>19</v>
      </c>
      <c r="D129" t="s">
        <v>19</v>
      </c>
      <c r="E129" s="2">
        <v>46084</v>
      </c>
      <c r="F129" s="2">
        <v>46083</v>
      </c>
      <c r="G129" t="s">
        <v>510</v>
      </c>
      <c r="H129">
        <v>207673400</v>
      </c>
      <c r="I129">
        <v>169164800</v>
      </c>
      <c r="J129">
        <v>40760000</v>
      </c>
      <c r="K129">
        <v>161877000</v>
      </c>
      <c r="L129">
        <v>82621000</v>
      </c>
      <c r="M129">
        <f>I129-(H129+J129-K129)- L129</f>
        <v>-12600</v>
      </c>
      <c r="N129" t="str">
        <f>IF(M129=0,"Cuadrado",IF(M129&gt;0,"Faltante","Sobrante"))</f>
        <v>Sobrante</v>
      </c>
      <c r="O129" t="s">
        <v>504</v>
      </c>
      <c r="P129">
        <v>1018447800</v>
      </c>
    </row>
    <row r="130" spans="1:16" hidden="1" x14ac:dyDescent="0.35">
      <c r="A130">
        <v>852</v>
      </c>
      <c r="B130">
        <v>5050</v>
      </c>
      <c r="C130" t="s">
        <v>19</v>
      </c>
      <c r="D130" t="s">
        <v>19</v>
      </c>
      <c r="E130" s="2">
        <v>46092</v>
      </c>
      <c r="F130" s="2">
        <v>46091</v>
      </c>
      <c r="G130" t="s">
        <v>341</v>
      </c>
      <c r="H130">
        <v>130873350</v>
      </c>
      <c r="I130">
        <v>131543350</v>
      </c>
      <c r="J130">
        <v>5720000</v>
      </c>
      <c r="K130">
        <v>5250000</v>
      </c>
      <c r="L130">
        <v>200000</v>
      </c>
      <c r="M130">
        <f>I130-(H130+J130-K130)- L130</f>
        <v>0</v>
      </c>
      <c r="N130" t="str">
        <f>IF(M130=0,"Cuadrado",IF(M130&gt;0,"Faltante","Sobrante"))</f>
        <v>Cuadrado</v>
      </c>
      <c r="O130" t="s">
        <v>359</v>
      </c>
      <c r="P130">
        <v>1088251245</v>
      </c>
    </row>
    <row r="131" spans="1:16" hidden="1" x14ac:dyDescent="0.35">
      <c r="A131">
        <v>852</v>
      </c>
      <c r="B131">
        <v>5050</v>
      </c>
      <c r="C131" t="s">
        <v>19</v>
      </c>
      <c r="D131" t="s">
        <v>19</v>
      </c>
      <c r="E131" s="2">
        <v>46084</v>
      </c>
      <c r="F131" s="2">
        <v>46083</v>
      </c>
      <c r="G131" t="s">
        <v>250</v>
      </c>
      <c r="H131">
        <v>266592150</v>
      </c>
      <c r="I131">
        <v>277422150</v>
      </c>
      <c r="J131">
        <v>17390000</v>
      </c>
      <c r="K131">
        <v>6560000</v>
      </c>
      <c r="M131">
        <f>I131-(H131+J131-K131)- L131</f>
        <v>0</v>
      </c>
      <c r="N131" t="str">
        <f>IF(M131=0,"Cuadrado",IF(M131&gt;0,"Faltante","Sobrante"))</f>
        <v>Cuadrado</v>
      </c>
      <c r="O131" t="s">
        <v>37</v>
      </c>
      <c r="P131">
        <v>1088251245</v>
      </c>
    </row>
    <row r="132" spans="1:16" hidden="1" x14ac:dyDescent="0.35">
      <c r="A132">
        <v>769</v>
      </c>
      <c r="B132">
        <v>5051</v>
      </c>
      <c r="C132" t="s">
        <v>19</v>
      </c>
      <c r="D132" t="s">
        <v>19</v>
      </c>
      <c r="E132" s="2">
        <v>46097</v>
      </c>
      <c r="F132" s="2">
        <v>46094</v>
      </c>
      <c r="G132" t="s">
        <v>213</v>
      </c>
      <c r="H132">
        <v>135121800</v>
      </c>
      <c r="I132">
        <v>94259800</v>
      </c>
      <c r="J132">
        <v>890000</v>
      </c>
      <c r="K132">
        <v>41872000</v>
      </c>
      <c r="M132">
        <f>I132-(H132+J132-K132)- L132</f>
        <v>120000</v>
      </c>
      <c r="N132" t="str">
        <f>IF(M132=0,"Cuadrado",IF(M132&gt;0,"Faltante","Sobrante"))</f>
        <v>Faltante</v>
      </c>
      <c r="O132" t="s">
        <v>214</v>
      </c>
      <c r="P132">
        <v>1129580385</v>
      </c>
    </row>
    <row r="133" spans="1:16" hidden="1" x14ac:dyDescent="0.35">
      <c r="A133">
        <v>769</v>
      </c>
      <c r="B133">
        <v>5051</v>
      </c>
      <c r="C133" t="s">
        <v>19</v>
      </c>
      <c r="D133" t="s">
        <v>19</v>
      </c>
      <c r="E133" s="2">
        <v>46093</v>
      </c>
      <c r="F133" s="2">
        <v>46092</v>
      </c>
      <c r="G133" t="s">
        <v>317</v>
      </c>
      <c r="H133">
        <v>123936300</v>
      </c>
      <c r="I133">
        <v>118732300</v>
      </c>
      <c r="J133">
        <v>2250000</v>
      </c>
      <c r="K133">
        <v>15806900</v>
      </c>
      <c r="L133">
        <v>-1030000</v>
      </c>
      <c r="M133">
        <f>I133-(H133+J133-K133)- L133</f>
        <v>9382900</v>
      </c>
      <c r="N133" t="str">
        <f>IF(M133=0,"Cuadrado",IF(M133&gt;0,"Faltante","Sobrante"))</f>
        <v>Faltante</v>
      </c>
      <c r="O133" t="s">
        <v>260</v>
      </c>
      <c r="P133">
        <v>1129580385</v>
      </c>
    </row>
    <row r="134" spans="1:16" hidden="1" x14ac:dyDescent="0.35">
      <c r="A134">
        <v>916</v>
      </c>
      <c r="B134">
        <v>5052</v>
      </c>
      <c r="C134" t="s">
        <v>19</v>
      </c>
      <c r="D134" t="s">
        <v>19</v>
      </c>
      <c r="E134" s="2">
        <v>46094</v>
      </c>
      <c r="F134" s="2">
        <v>46093</v>
      </c>
      <c r="G134" t="s">
        <v>254</v>
      </c>
      <c r="H134">
        <v>164187650</v>
      </c>
      <c r="I134">
        <v>164089650</v>
      </c>
      <c r="J134">
        <v>0</v>
      </c>
      <c r="K134">
        <v>0</v>
      </c>
      <c r="M134">
        <f>I134-(H134+J134-K134)- L134</f>
        <v>-98000</v>
      </c>
      <c r="N134" t="str">
        <f>IF(M134=0,"Cuadrado",IF(M134&gt;0,"Faltante","Sobrante"))</f>
        <v>Sobrante</v>
      </c>
      <c r="O134" t="s">
        <v>245</v>
      </c>
      <c r="P134">
        <v>1082887437</v>
      </c>
    </row>
    <row r="135" spans="1:16" hidden="1" x14ac:dyDescent="0.35">
      <c r="A135">
        <v>916</v>
      </c>
      <c r="B135">
        <v>5052</v>
      </c>
      <c r="C135" t="s">
        <v>19</v>
      </c>
      <c r="D135" t="s">
        <v>19</v>
      </c>
      <c r="E135" s="2">
        <v>46090</v>
      </c>
      <c r="F135" s="2">
        <v>46087</v>
      </c>
      <c r="G135" t="s">
        <v>127</v>
      </c>
      <c r="H135">
        <v>505364650</v>
      </c>
      <c r="I135">
        <v>505364650</v>
      </c>
      <c r="J135">
        <v>0</v>
      </c>
      <c r="K135">
        <v>0</v>
      </c>
      <c r="M135">
        <f>I135-(H135+J135-K135)- L135</f>
        <v>0</v>
      </c>
      <c r="N135" t="str">
        <f>IF(M135=0,"Cuadrado",IF(M135&gt;0,"Faltante","Sobrante"))</f>
        <v>Cuadrado</v>
      </c>
      <c r="O135" t="s">
        <v>37</v>
      </c>
      <c r="P135">
        <v>1004306590</v>
      </c>
    </row>
    <row r="136" spans="1:16" hidden="1" x14ac:dyDescent="0.35">
      <c r="A136">
        <v>916</v>
      </c>
      <c r="B136">
        <v>5052</v>
      </c>
      <c r="C136" t="s">
        <v>19</v>
      </c>
      <c r="D136" t="s">
        <v>19</v>
      </c>
      <c r="E136" s="2">
        <v>46086</v>
      </c>
      <c r="F136" s="2">
        <v>46085</v>
      </c>
      <c r="G136" t="s">
        <v>301</v>
      </c>
      <c r="H136">
        <v>423926800</v>
      </c>
      <c r="I136">
        <v>422835800</v>
      </c>
      <c r="J136">
        <v>1220000</v>
      </c>
      <c r="K136">
        <v>2310000</v>
      </c>
      <c r="M136">
        <f>I136-(H136+J136-K136)- L136</f>
        <v>-1000</v>
      </c>
      <c r="N136" t="str">
        <f>IF(M136=0,"Cuadrado",IF(M136&gt;0,"Faltante","Sobrante"))</f>
        <v>Sobrante</v>
      </c>
      <c r="O136" t="s">
        <v>467</v>
      </c>
      <c r="P136">
        <v>1004306590</v>
      </c>
    </row>
    <row r="137" spans="1:16" hidden="1" x14ac:dyDescent="0.35">
      <c r="A137">
        <v>517</v>
      </c>
      <c r="B137">
        <v>5053</v>
      </c>
      <c r="C137" t="s">
        <v>19</v>
      </c>
      <c r="D137" t="s">
        <v>19</v>
      </c>
      <c r="E137" s="2">
        <v>46093</v>
      </c>
      <c r="F137" s="2">
        <v>46092</v>
      </c>
      <c r="G137" t="s">
        <v>346</v>
      </c>
      <c r="H137">
        <v>241524550</v>
      </c>
      <c r="I137">
        <v>241524550</v>
      </c>
      <c r="J137">
        <v>0</v>
      </c>
      <c r="K137">
        <v>0</v>
      </c>
      <c r="M137">
        <f>I137-(H137+J137-K137)- L137</f>
        <v>0</v>
      </c>
      <c r="N137" t="str">
        <f>IF(M137=0,"Cuadrado",IF(M137&gt;0,"Faltante","Sobrante"))</f>
        <v>Cuadrado</v>
      </c>
      <c r="O137" t="s">
        <v>37</v>
      </c>
      <c r="P137">
        <v>1083026284</v>
      </c>
    </row>
    <row r="138" spans="1:16" hidden="1" x14ac:dyDescent="0.35">
      <c r="A138">
        <v>517</v>
      </c>
      <c r="B138">
        <v>5053</v>
      </c>
      <c r="C138" t="s">
        <v>19</v>
      </c>
      <c r="D138" t="s">
        <v>19</v>
      </c>
      <c r="E138" s="2">
        <v>46091</v>
      </c>
      <c r="F138" s="2">
        <v>46090</v>
      </c>
      <c r="G138" t="s">
        <v>385</v>
      </c>
      <c r="H138">
        <v>299074850</v>
      </c>
      <c r="I138">
        <v>183161250</v>
      </c>
      <c r="J138">
        <v>14800000</v>
      </c>
      <c r="K138">
        <v>113873000</v>
      </c>
      <c r="M138">
        <f>I138-(H138+J138-K138)- L138</f>
        <v>-16840600</v>
      </c>
      <c r="N138" t="str">
        <f>IF(M138=0,"Cuadrado",IF(M138&gt;0,"Faltante","Sobrante"))</f>
        <v>Sobrante</v>
      </c>
      <c r="O138" t="s">
        <v>383</v>
      </c>
      <c r="P138">
        <v>1083026284</v>
      </c>
    </row>
    <row r="139" spans="1:16" hidden="1" x14ac:dyDescent="0.35">
      <c r="A139">
        <v>781</v>
      </c>
      <c r="B139">
        <v>5057</v>
      </c>
      <c r="C139" t="s">
        <v>19</v>
      </c>
      <c r="D139" t="s">
        <v>19</v>
      </c>
      <c r="E139" s="2">
        <v>46101</v>
      </c>
      <c r="F139" s="2">
        <v>46100</v>
      </c>
      <c r="G139" t="s">
        <v>50</v>
      </c>
      <c r="H139">
        <v>118478650</v>
      </c>
      <c r="I139">
        <v>77234450</v>
      </c>
      <c r="J139">
        <v>11040000</v>
      </c>
      <c r="K139">
        <v>49550000</v>
      </c>
      <c r="M139">
        <f>I139-(H139+J139-K139)- L139</f>
        <v>-2734200</v>
      </c>
      <c r="N139" t="str">
        <f>IF(M139=0,"Cuadrado",IF(M139&gt;0,"Faltante","Sobrante"))</f>
        <v>Sobrante</v>
      </c>
      <c r="O139" t="s">
        <v>39</v>
      </c>
      <c r="P139">
        <v>1082848167</v>
      </c>
    </row>
    <row r="140" spans="1:16" hidden="1" x14ac:dyDescent="0.35">
      <c r="A140">
        <v>781</v>
      </c>
      <c r="B140">
        <v>5057</v>
      </c>
      <c r="C140" t="s">
        <v>19</v>
      </c>
      <c r="D140" t="s">
        <v>19</v>
      </c>
      <c r="E140" s="2">
        <v>46091</v>
      </c>
      <c r="F140" s="2">
        <v>46090</v>
      </c>
      <c r="G140" t="s">
        <v>270</v>
      </c>
      <c r="H140">
        <v>587079450</v>
      </c>
      <c r="I140">
        <v>580479400</v>
      </c>
      <c r="J140">
        <v>0</v>
      </c>
      <c r="K140">
        <v>0</v>
      </c>
      <c r="M140">
        <f>I140-(H140+J140-K140)- L140</f>
        <v>-6600050</v>
      </c>
      <c r="N140" t="str">
        <f>IF(M140=0,"Cuadrado",IF(M140&gt;0,"Faltante","Sobrante"))</f>
        <v>Sobrante</v>
      </c>
      <c r="O140" t="s">
        <v>383</v>
      </c>
      <c r="P140">
        <v>1082836736</v>
      </c>
    </row>
    <row r="141" spans="1:16" hidden="1" x14ac:dyDescent="0.35">
      <c r="A141">
        <v>781</v>
      </c>
      <c r="B141">
        <v>5057</v>
      </c>
      <c r="C141" t="s">
        <v>19</v>
      </c>
      <c r="D141" t="s">
        <v>19</v>
      </c>
      <c r="E141" s="2">
        <v>46086</v>
      </c>
      <c r="F141" s="2">
        <v>46085</v>
      </c>
      <c r="G141" t="s">
        <v>356</v>
      </c>
      <c r="H141">
        <v>394854350</v>
      </c>
      <c r="I141">
        <v>361021550</v>
      </c>
      <c r="J141">
        <v>14990000</v>
      </c>
      <c r="K141">
        <v>29653000</v>
      </c>
      <c r="M141">
        <f>I141-(H141+J141-K141)- L141</f>
        <v>-19169800</v>
      </c>
      <c r="N141" t="str">
        <f>IF(M141=0,"Cuadrado",IF(M141&gt;0,"Faltante","Sobrante"))</f>
        <v>Sobrante</v>
      </c>
      <c r="O141" t="s">
        <v>467</v>
      </c>
      <c r="P141">
        <v>1082848167</v>
      </c>
    </row>
    <row r="142" spans="1:16" hidden="1" x14ac:dyDescent="0.35">
      <c r="A142">
        <v>781</v>
      </c>
      <c r="B142">
        <v>5057</v>
      </c>
      <c r="C142" t="s">
        <v>19</v>
      </c>
      <c r="D142" t="s">
        <v>19</v>
      </c>
      <c r="E142" s="2">
        <v>46084</v>
      </c>
      <c r="F142" s="2">
        <v>46083</v>
      </c>
      <c r="G142" t="s">
        <v>198</v>
      </c>
      <c r="H142">
        <v>510283800</v>
      </c>
      <c r="I142">
        <v>488188150</v>
      </c>
      <c r="J142">
        <v>240000</v>
      </c>
      <c r="K142">
        <v>3169000</v>
      </c>
      <c r="M142">
        <f>I142-(H142+J142-K142)- L142</f>
        <v>-19166650</v>
      </c>
      <c r="N142" t="str">
        <f>IF(M142=0,"Cuadrado",IF(M142&gt;0,"Faltante","Sobrante"))</f>
        <v>Sobrante</v>
      </c>
      <c r="O142" t="s">
        <v>260</v>
      </c>
      <c r="P142">
        <v>1082848167</v>
      </c>
    </row>
    <row r="143" spans="1:16" hidden="1" x14ac:dyDescent="0.35">
      <c r="A143">
        <v>7</v>
      </c>
      <c r="B143">
        <v>5059</v>
      </c>
      <c r="C143" t="s">
        <v>19</v>
      </c>
      <c r="D143" t="s">
        <v>16</v>
      </c>
      <c r="E143" s="2">
        <v>46100</v>
      </c>
      <c r="F143" s="2">
        <v>46099</v>
      </c>
      <c r="G143" t="s">
        <v>64</v>
      </c>
      <c r="H143">
        <v>193142350</v>
      </c>
      <c r="I143">
        <v>187858150</v>
      </c>
      <c r="J143">
        <v>1160000</v>
      </c>
      <c r="K143">
        <v>6020000</v>
      </c>
      <c r="M143">
        <f>I143-(H143+J143-K143)- L143</f>
        <v>-424200</v>
      </c>
      <c r="N143" t="str">
        <f>IF(M143=0,"Cuadrado",IF(M143&gt;0,"Faltante","Sobrante"))</f>
        <v>Sobrante</v>
      </c>
      <c r="O143" t="s">
        <v>95</v>
      </c>
      <c r="P143">
        <v>1020460907</v>
      </c>
    </row>
    <row r="144" spans="1:16" hidden="1" x14ac:dyDescent="0.35">
      <c r="A144">
        <v>7</v>
      </c>
      <c r="B144">
        <v>5059</v>
      </c>
      <c r="C144" t="s">
        <v>19</v>
      </c>
      <c r="D144" t="s">
        <v>19</v>
      </c>
      <c r="E144" s="2">
        <v>46092</v>
      </c>
      <c r="F144" s="2">
        <v>46091</v>
      </c>
      <c r="G144" t="s">
        <v>134</v>
      </c>
      <c r="H144">
        <v>248127350</v>
      </c>
      <c r="I144">
        <v>244135150</v>
      </c>
      <c r="J144">
        <v>650000</v>
      </c>
      <c r="K144">
        <v>3250000</v>
      </c>
      <c r="L144">
        <v>-1392200</v>
      </c>
      <c r="M144">
        <f>I144-(H144+J144-K144)- L144</f>
        <v>0</v>
      </c>
      <c r="N144" t="str">
        <f>IF(M144=0,"Cuadrado",IF(M144&gt;0,"Faltante","Sobrante"))</f>
        <v>Cuadrado</v>
      </c>
      <c r="O144" t="s">
        <v>360</v>
      </c>
      <c r="P144">
        <v>1020460907</v>
      </c>
    </row>
    <row r="145" spans="1:16" hidden="1" x14ac:dyDescent="0.35">
      <c r="A145">
        <v>7</v>
      </c>
      <c r="B145">
        <v>5059</v>
      </c>
      <c r="C145" t="s">
        <v>19</v>
      </c>
      <c r="D145" t="s">
        <v>19</v>
      </c>
      <c r="E145" s="2">
        <v>46084</v>
      </c>
      <c r="F145" s="2">
        <v>46083</v>
      </c>
      <c r="G145" t="s">
        <v>301</v>
      </c>
      <c r="H145">
        <v>198375050</v>
      </c>
      <c r="I145">
        <v>200485150</v>
      </c>
      <c r="J145">
        <v>7370000</v>
      </c>
      <c r="K145">
        <v>0</v>
      </c>
      <c r="M145">
        <f>I145-(H145+J145-K145)- L145</f>
        <v>-5259900</v>
      </c>
      <c r="N145" t="str">
        <f>IF(M145=0,"Cuadrado",IF(M145&gt;0,"Faltante","Sobrante"))</f>
        <v>Sobrante</v>
      </c>
      <c r="O145" t="s">
        <v>504</v>
      </c>
      <c r="P145">
        <v>1017155472</v>
      </c>
    </row>
    <row r="146" spans="1:16" hidden="1" x14ac:dyDescent="0.35">
      <c r="A146">
        <v>392</v>
      </c>
      <c r="B146">
        <v>5064</v>
      </c>
      <c r="C146" t="s">
        <v>19</v>
      </c>
      <c r="D146" t="s">
        <v>19</v>
      </c>
      <c r="E146" s="2">
        <v>46101</v>
      </c>
      <c r="F146" s="2">
        <v>46100</v>
      </c>
      <c r="G146" t="s">
        <v>51</v>
      </c>
      <c r="H146">
        <v>139950300</v>
      </c>
      <c r="I146">
        <v>145390300</v>
      </c>
      <c r="J146">
        <v>0</v>
      </c>
      <c r="K146">
        <v>0</v>
      </c>
      <c r="M146">
        <f>I146-(H146+J146-K146)- L146</f>
        <v>5440000</v>
      </c>
      <c r="N146" t="str">
        <f>IF(M146=0,"Cuadrado",IF(M146&gt;0,"Faltante","Sobrante"))</f>
        <v>Faltante</v>
      </c>
      <c r="O146" t="s">
        <v>52</v>
      </c>
      <c r="P146">
        <v>1054547012</v>
      </c>
    </row>
    <row r="147" spans="1:16" hidden="1" x14ac:dyDescent="0.35">
      <c r="A147">
        <v>392</v>
      </c>
      <c r="B147">
        <v>5064</v>
      </c>
      <c r="C147" t="s">
        <v>19</v>
      </c>
      <c r="D147" t="s">
        <v>19</v>
      </c>
      <c r="E147" s="2">
        <v>46087</v>
      </c>
      <c r="F147" s="2">
        <v>46086</v>
      </c>
      <c r="G147" t="s">
        <v>463</v>
      </c>
      <c r="H147">
        <v>289959150</v>
      </c>
      <c r="I147">
        <v>297569150</v>
      </c>
      <c r="J147">
        <v>7610000</v>
      </c>
      <c r="K147">
        <v>0</v>
      </c>
      <c r="M147">
        <f>I147-(H147+J147-K147)- L147</f>
        <v>0</v>
      </c>
      <c r="N147" t="str">
        <f>IF(M147=0,"Cuadrado",IF(M147&gt;0,"Faltante","Sobrante"))</f>
        <v>Cuadrado</v>
      </c>
      <c r="O147" t="s">
        <v>37</v>
      </c>
      <c r="P147">
        <v>1054547012</v>
      </c>
    </row>
    <row r="148" spans="1:16" hidden="1" x14ac:dyDescent="0.35">
      <c r="A148">
        <v>392</v>
      </c>
      <c r="B148">
        <v>5064</v>
      </c>
      <c r="C148" t="s">
        <v>19</v>
      </c>
      <c r="D148" t="s">
        <v>19</v>
      </c>
      <c r="E148" s="2">
        <v>46085</v>
      </c>
      <c r="F148" s="2">
        <v>46084</v>
      </c>
      <c r="G148" t="s">
        <v>441</v>
      </c>
      <c r="H148">
        <v>156577650</v>
      </c>
      <c r="I148">
        <v>158719650</v>
      </c>
      <c r="J148">
        <v>45650000</v>
      </c>
      <c r="K148">
        <v>44635000</v>
      </c>
      <c r="L148">
        <v>1127000</v>
      </c>
      <c r="M148">
        <f>I148-(H148+J148-K148)- L148</f>
        <v>0</v>
      </c>
      <c r="N148" t="str">
        <f>IF(M148=0,"Cuadrado",IF(M148&gt;0,"Faltante","Sobrante"))</f>
        <v>Cuadrado</v>
      </c>
      <c r="O148" t="s">
        <v>495</v>
      </c>
      <c r="P148">
        <v>1054547012</v>
      </c>
    </row>
    <row r="149" spans="1:16" hidden="1" x14ac:dyDescent="0.35">
      <c r="A149">
        <v>24</v>
      </c>
      <c r="B149">
        <v>5066</v>
      </c>
      <c r="C149" t="s">
        <v>19</v>
      </c>
      <c r="D149" t="s">
        <v>19</v>
      </c>
      <c r="E149" s="2">
        <v>46099</v>
      </c>
      <c r="F149" s="2">
        <v>46098</v>
      </c>
      <c r="G149" t="s">
        <v>162</v>
      </c>
      <c r="H149">
        <v>216243300</v>
      </c>
      <c r="I149">
        <v>213070650</v>
      </c>
      <c r="J149">
        <v>370000</v>
      </c>
      <c r="K149">
        <v>3515000</v>
      </c>
      <c r="M149">
        <f>I149-(H149+J149-K149)- L149</f>
        <v>-27650</v>
      </c>
      <c r="N149" t="str">
        <f>IF(M149=0,"Cuadrado",IF(M149&gt;0,"Faltante","Sobrante"))</f>
        <v>Sobrante</v>
      </c>
      <c r="O149" t="s">
        <v>163</v>
      </c>
    </row>
    <row r="150" spans="1:16" hidden="1" x14ac:dyDescent="0.35">
      <c r="A150">
        <v>24</v>
      </c>
      <c r="B150">
        <v>5066</v>
      </c>
      <c r="C150" t="s">
        <v>19</v>
      </c>
      <c r="D150" t="s">
        <v>19</v>
      </c>
      <c r="E150" s="2">
        <v>46097</v>
      </c>
      <c r="F150" s="2">
        <v>46094</v>
      </c>
      <c r="G150" t="s">
        <v>215</v>
      </c>
      <c r="H150">
        <v>207331300</v>
      </c>
      <c r="I150">
        <v>172009900</v>
      </c>
      <c r="J150">
        <v>18130000</v>
      </c>
      <c r="K150">
        <v>53976400</v>
      </c>
      <c r="M150">
        <f>I150-(H150+J150-K150)- L150</f>
        <v>525000</v>
      </c>
      <c r="N150" t="str">
        <f>IF(M150=0,"Cuadrado",IF(M150&gt;0,"Faltante","Sobrante"))</f>
        <v>Faltante</v>
      </c>
      <c r="P150">
        <v>39447263</v>
      </c>
    </row>
    <row r="151" spans="1:16" hidden="1" x14ac:dyDescent="0.35">
      <c r="A151">
        <v>211</v>
      </c>
      <c r="B151">
        <v>5067</v>
      </c>
      <c r="C151" t="s">
        <v>19</v>
      </c>
      <c r="D151" t="s">
        <v>19</v>
      </c>
      <c r="E151" s="2">
        <v>46101</v>
      </c>
      <c r="F151" s="2">
        <v>46099</v>
      </c>
      <c r="G151" t="s">
        <v>53</v>
      </c>
      <c r="H151">
        <v>162248200</v>
      </c>
      <c r="I151">
        <v>149355350</v>
      </c>
      <c r="J151">
        <v>13060000</v>
      </c>
      <c r="K151">
        <v>25424500</v>
      </c>
      <c r="M151">
        <f>I151-(H151+J151-K151)- L151</f>
        <v>-528350</v>
      </c>
      <c r="N151" t="str">
        <f>IF(M151=0,"Cuadrado",IF(M151&gt;0,"Faltante","Sobrante"))</f>
        <v>Sobrante</v>
      </c>
      <c r="O151" t="s">
        <v>39</v>
      </c>
      <c r="P151">
        <v>1033691159</v>
      </c>
    </row>
    <row r="152" spans="1:16" hidden="1" x14ac:dyDescent="0.35">
      <c r="A152">
        <v>211</v>
      </c>
      <c r="B152">
        <v>5067</v>
      </c>
      <c r="C152" t="s">
        <v>19</v>
      </c>
      <c r="D152" t="s">
        <v>19</v>
      </c>
      <c r="E152" s="2">
        <v>46100</v>
      </c>
      <c r="F152" s="2">
        <v>46099</v>
      </c>
      <c r="G152" t="s">
        <v>53</v>
      </c>
      <c r="H152">
        <v>105218200</v>
      </c>
      <c r="I152">
        <v>149355350</v>
      </c>
      <c r="J152">
        <v>13060000</v>
      </c>
      <c r="K152">
        <v>25424500</v>
      </c>
      <c r="M152">
        <f>I152-(H152+J152-K152)- L152</f>
        <v>56501650</v>
      </c>
      <c r="N152" t="str">
        <f>IF(M152=0,"Cuadrado",IF(M152&gt;0,"Faltante","Sobrante"))</f>
        <v>Faltante</v>
      </c>
      <c r="O152" t="s">
        <v>59</v>
      </c>
      <c r="P152">
        <v>1033691159</v>
      </c>
    </row>
    <row r="153" spans="1:16" hidden="1" x14ac:dyDescent="0.35">
      <c r="A153">
        <v>652</v>
      </c>
      <c r="B153">
        <v>5070</v>
      </c>
      <c r="C153" t="s">
        <v>19</v>
      </c>
      <c r="D153" t="s">
        <v>19</v>
      </c>
      <c r="E153" s="2">
        <v>46099</v>
      </c>
      <c r="F153" s="2">
        <v>46098</v>
      </c>
      <c r="G153" t="s">
        <v>145</v>
      </c>
      <c r="H153">
        <v>209863600</v>
      </c>
      <c r="I153">
        <v>203457350</v>
      </c>
      <c r="J153">
        <v>5780000</v>
      </c>
      <c r="K153">
        <v>12726500</v>
      </c>
      <c r="M153">
        <f>I153-(H153+J153-K153)- L153</f>
        <v>540250</v>
      </c>
      <c r="N153" t="str">
        <f>IF(M153=0,"Cuadrado",IF(M153&gt;0,"Faltante","Sobrante"))</f>
        <v>Faltante</v>
      </c>
      <c r="O153" t="s">
        <v>164</v>
      </c>
    </row>
    <row r="154" spans="1:16" hidden="1" x14ac:dyDescent="0.35">
      <c r="A154">
        <v>652</v>
      </c>
      <c r="B154">
        <v>5070</v>
      </c>
      <c r="C154" t="s">
        <v>19</v>
      </c>
      <c r="D154" t="s">
        <v>19</v>
      </c>
      <c r="E154" s="2">
        <v>46094</v>
      </c>
      <c r="F154" s="2">
        <v>46093</v>
      </c>
      <c r="G154" t="s">
        <v>116</v>
      </c>
      <c r="H154">
        <v>169534650</v>
      </c>
      <c r="I154">
        <v>168891300</v>
      </c>
      <c r="J154">
        <v>30440000</v>
      </c>
      <c r="K154">
        <v>31824600</v>
      </c>
      <c r="M154">
        <f>I154-(H154+J154-K154)- L154</f>
        <v>741250</v>
      </c>
      <c r="N154" t="str">
        <f>IF(M154=0,"Cuadrado",IF(M154&gt;0,"Faltante","Sobrante"))</f>
        <v>Faltante</v>
      </c>
      <c r="O154" t="s">
        <v>59</v>
      </c>
      <c r="P154">
        <v>1010190714</v>
      </c>
    </row>
    <row r="155" spans="1:16" hidden="1" x14ac:dyDescent="0.35">
      <c r="A155">
        <v>333</v>
      </c>
      <c r="B155">
        <v>5076</v>
      </c>
      <c r="C155" t="s">
        <v>19</v>
      </c>
      <c r="D155" t="s">
        <v>16</v>
      </c>
      <c r="E155" s="2">
        <v>46099</v>
      </c>
      <c r="F155" s="2">
        <v>46098</v>
      </c>
      <c r="G155" t="s">
        <v>165</v>
      </c>
      <c r="H155">
        <v>61038650</v>
      </c>
      <c r="I155">
        <v>204208650</v>
      </c>
      <c r="J155">
        <v>6140000</v>
      </c>
      <c r="K155">
        <v>7400000</v>
      </c>
      <c r="M155">
        <f>I155-(H155+J155-K155)- L155</f>
        <v>144430000</v>
      </c>
      <c r="N155" t="str">
        <f>IF(M155=0,"Cuadrado",IF(M155&gt;0,"Faltante","Sobrante"))</f>
        <v>Faltante</v>
      </c>
      <c r="O155" t="s">
        <v>156</v>
      </c>
    </row>
    <row r="156" spans="1:16" hidden="1" x14ac:dyDescent="0.35">
      <c r="A156">
        <v>333</v>
      </c>
      <c r="B156">
        <v>5076</v>
      </c>
      <c r="C156" t="s">
        <v>19</v>
      </c>
      <c r="D156" t="s">
        <v>19</v>
      </c>
      <c r="E156" s="2">
        <v>46094</v>
      </c>
      <c r="F156" s="2">
        <v>46093</v>
      </c>
      <c r="G156" t="s">
        <v>300</v>
      </c>
      <c r="H156">
        <v>257385600</v>
      </c>
      <c r="I156">
        <v>180594550</v>
      </c>
      <c r="J156">
        <v>12160000</v>
      </c>
      <c r="K156">
        <v>88951050</v>
      </c>
      <c r="M156">
        <f>I156-(H156+J156-K156)- L156</f>
        <v>0</v>
      </c>
      <c r="N156" t="str">
        <f>IF(M156=0,"Cuadrado",IF(M156&gt;0,"Faltante","Sobrante"))</f>
        <v>Cuadrado</v>
      </c>
      <c r="O156" t="s">
        <v>37</v>
      </c>
      <c r="P156">
        <v>1036606819</v>
      </c>
    </row>
    <row r="157" spans="1:16" hidden="1" x14ac:dyDescent="0.35">
      <c r="A157">
        <v>333</v>
      </c>
      <c r="B157">
        <v>5076</v>
      </c>
      <c r="C157" t="s">
        <v>19</v>
      </c>
      <c r="D157" t="s">
        <v>19</v>
      </c>
      <c r="E157" s="2">
        <v>46092</v>
      </c>
      <c r="F157" s="2">
        <v>46091</v>
      </c>
      <c r="G157" t="s">
        <v>44</v>
      </c>
      <c r="H157">
        <v>74330550</v>
      </c>
      <c r="I157">
        <v>244405850</v>
      </c>
      <c r="J157">
        <v>9280000</v>
      </c>
      <c r="K157">
        <v>31447000</v>
      </c>
      <c r="L157">
        <v>191211800</v>
      </c>
      <c r="M157">
        <f>I157-(H157+J157-K157)- L157</f>
        <v>1030500</v>
      </c>
      <c r="N157" t="str">
        <f>IF(M157=0,"Cuadrado",IF(M157&gt;0,"Faltante","Sobrante"))</f>
        <v>Faltante</v>
      </c>
      <c r="O157" t="s">
        <v>352</v>
      </c>
      <c r="P157">
        <v>1036606819</v>
      </c>
    </row>
    <row r="158" spans="1:16" hidden="1" x14ac:dyDescent="0.35">
      <c r="A158">
        <v>333</v>
      </c>
      <c r="B158">
        <v>5076</v>
      </c>
      <c r="C158" t="s">
        <v>19</v>
      </c>
      <c r="D158" t="s">
        <v>19</v>
      </c>
      <c r="E158" s="2">
        <v>46090</v>
      </c>
      <c r="F158" s="2">
        <v>46087</v>
      </c>
      <c r="G158" t="s">
        <v>294</v>
      </c>
      <c r="H158">
        <v>86800500</v>
      </c>
      <c r="I158">
        <v>475724300</v>
      </c>
      <c r="J158">
        <v>22600000</v>
      </c>
      <c r="K158">
        <v>50817000</v>
      </c>
      <c r="L158">
        <v>319775000</v>
      </c>
      <c r="M158">
        <f>I158-(H158+J158-K158)- L158</f>
        <v>97365800</v>
      </c>
      <c r="N158" t="str">
        <f>IF(M158=0,"Cuadrado",IF(M158&gt;0,"Faltante","Sobrante"))</f>
        <v>Faltante</v>
      </c>
      <c r="O158" t="s">
        <v>260</v>
      </c>
      <c r="P158">
        <v>1036606819</v>
      </c>
    </row>
    <row r="159" spans="1:16" hidden="1" x14ac:dyDescent="0.35">
      <c r="A159">
        <v>419</v>
      </c>
      <c r="B159">
        <v>5077</v>
      </c>
      <c r="C159" t="s">
        <v>19</v>
      </c>
      <c r="D159" t="s">
        <v>19</v>
      </c>
      <c r="E159" s="2">
        <v>46092</v>
      </c>
      <c r="F159" s="2">
        <v>46091</v>
      </c>
      <c r="G159" t="s">
        <v>307</v>
      </c>
      <c r="H159">
        <v>197190900</v>
      </c>
      <c r="I159">
        <v>188944900</v>
      </c>
      <c r="J159">
        <v>1500000</v>
      </c>
      <c r="K159">
        <v>350000</v>
      </c>
      <c r="M159">
        <f>I159-(H159+J159-K159)- L159</f>
        <v>-9396000</v>
      </c>
      <c r="N159" t="str">
        <f>IF(M159=0,"Cuadrado",IF(M159&gt;0,"Faltante","Sobrante"))</f>
        <v>Sobrante</v>
      </c>
      <c r="O159" t="s">
        <v>357</v>
      </c>
      <c r="P159">
        <v>79248430</v>
      </c>
    </row>
    <row r="160" spans="1:16" hidden="1" x14ac:dyDescent="0.35">
      <c r="A160">
        <v>419</v>
      </c>
      <c r="B160">
        <v>5077</v>
      </c>
      <c r="C160" t="s">
        <v>19</v>
      </c>
      <c r="D160" t="s">
        <v>19</v>
      </c>
      <c r="E160" s="2">
        <v>46087</v>
      </c>
      <c r="F160" s="2">
        <v>46086</v>
      </c>
      <c r="G160" t="s">
        <v>428</v>
      </c>
      <c r="H160">
        <v>121360500</v>
      </c>
      <c r="I160">
        <v>127255500</v>
      </c>
      <c r="J160">
        <v>0</v>
      </c>
      <c r="K160">
        <v>0</v>
      </c>
      <c r="L160">
        <v>5895000</v>
      </c>
      <c r="M160">
        <f>I160-(H160+J160-K160)- L160</f>
        <v>0</v>
      </c>
      <c r="N160" t="str">
        <f>IF(M160=0,"Cuadrado",IF(M160&gt;0,"Faltante","Sobrante"))</f>
        <v>Cuadrado</v>
      </c>
      <c r="O160" t="s">
        <v>429</v>
      </c>
      <c r="P160">
        <v>79248430</v>
      </c>
    </row>
    <row r="161" spans="1:16" hidden="1" x14ac:dyDescent="0.35">
      <c r="A161">
        <v>19</v>
      </c>
      <c r="B161">
        <v>5078</v>
      </c>
      <c r="C161" t="s">
        <v>19</v>
      </c>
      <c r="D161" t="s">
        <v>19</v>
      </c>
      <c r="E161" s="2">
        <v>46093</v>
      </c>
      <c r="F161" s="2">
        <v>46092</v>
      </c>
      <c r="G161" t="s">
        <v>318</v>
      </c>
      <c r="H161">
        <v>86922350</v>
      </c>
      <c r="I161">
        <v>70087350</v>
      </c>
      <c r="J161">
        <v>9160000</v>
      </c>
      <c r="K161">
        <v>24901000</v>
      </c>
      <c r="M161">
        <f>I161-(H161+J161-K161)- L161</f>
        <v>-1094000</v>
      </c>
      <c r="N161" t="str">
        <f>IF(M161=0,"Cuadrado",IF(M161&gt;0,"Faltante","Sobrante"))</f>
        <v>Sobrante</v>
      </c>
      <c r="O161" t="s">
        <v>311</v>
      </c>
      <c r="P161">
        <v>43588535</v>
      </c>
    </row>
    <row r="162" spans="1:16" hidden="1" x14ac:dyDescent="0.35">
      <c r="A162">
        <v>8</v>
      </c>
      <c r="B162">
        <v>5079</v>
      </c>
      <c r="C162" t="s">
        <v>19</v>
      </c>
      <c r="D162" t="s">
        <v>19</v>
      </c>
      <c r="E162" s="2">
        <v>46100</v>
      </c>
      <c r="F162" s="2">
        <v>46099</v>
      </c>
      <c r="G162" t="s">
        <v>142</v>
      </c>
      <c r="H162">
        <v>208770300</v>
      </c>
      <c r="I162">
        <v>211460300</v>
      </c>
      <c r="J162">
        <v>5940000</v>
      </c>
      <c r="K162">
        <v>3250000</v>
      </c>
      <c r="M162">
        <f>I162-(H162+J162-K162)- L162</f>
        <v>0</v>
      </c>
      <c r="N162" t="str">
        <f>IF(M162=0,"Cuadrado",IF(M162&gt;0,"Faltante","Sobrante"))</f>
        <v>Cuadrado</v>
      </c>
      <c r="O162" t="s">
        <v>37</v>
      </c>
      <c r="P162">
        <v>71738191</v>
      </c>
    </row>
    <row r="163" spans="1:16" hidden="1" x14ac:dyDescent="0.35">
      <c r="A163">
        <v>8</v>
      </c>
      <c r="B163">
        <v>5079</v>
      </c>
      <c r="C163" t="s">
        <v>19</v>
      </c>
      <c r="D163" t="s">
        <v>19</v>
      </c>
      <c r="E163" s="2">
        <v>46087</v>
      </c>
      <c r="F163" s="2">
        <v>46086</v>
      </c>
      <c r="G163" t="s">
        <v>430</v>
      </c>
      <c r="H163">
        <v>291679550</v>
      </c>
      <c r="I163">
        <v>245691600</v>
      </c>
      <c r="J163">
        <v>9790000</v>
      </c>
      <c r="K163">
        <v>33515100</v>
      </c>
      <c r="M163">
        <f>I163-(H163+J163-K163)- L163</f>
        <v>-22262850</v>
      </c>
      <c r="N163" t="str">
        <f>IF(M163=0,"Cuadrado",IF(M163&gt;0,"Faltante","Sobrante"))</f>
        <v>Sobrante</v>
      </c>
      <c r="O163" t="s">
        <v>423</v>
      </c>
      <c r="P163">
        <v>71738191</v>
      </c>
    </row>
    <row r="164" spans="1:16" hidden="1" x14ac:dyDescent="0.35">
      <c r="A164">
        <v>115</v>
      </c>
      <c r="B164">
        <v>5080</v>
      </c>
      <c r="C164" t="s">
        <v>19</v>
      </c>
      <c r="D164" t="s">
        <v>19</v>
      </c>
      <c r="E164" s="2">
        <v>46098</v>
      </c>
      <c r="F164" s="2">
        <v>46097</v>
      </c>
      <c r="G164" t="s">
        <v>199</v>
      </c>
      <c r="H164">
        <v>451173650</v>
      </c>
      <c r="I164">
        <v>452903600</v>
      </c>
      <c r="J164">
        <v>1640000</v>
      </c>
      <c r="K164">
        <v>0</v>
      </c>
      <c r="L164">
        <v>0</v>
      </c>
      <c r="M164">
        <f>I164-(H164+J164-K164)- L164</f>
        <v>89950</v>
      </c>
      <c r="N164" t="str">
        <f>IF(M164=0,"Cuadrado",IF(M164&gt;0,"Faltante","Sobrante"))</f>
        <v>Faltante</v>
      </c>
      <c r="P164">
        <v>42158306</v>
      </c>
    </row>
    <row r="165" spans="1:16" hidden="1" x14ac:dyDescent="0.35">
      <c r="A165">
        <v>115</v>
      </c>
      <c r="B165">
        <v>5080</v>
      </c>
      <c r="C165" t="s">
        <v>19</v>
      </c>
      <c r="D165" t="s">
        <v>19</v>
      </c>
      <c r="E165" s="2">
        <v>46094</v>
      </c>
      <c r="F165" s="2">
        <v>46093</v>
      </c>
      <c r="G165" t="s">
        <v>301</v>
      </c>
      <c r="H165">
        <v>116914600</v>
      </c>
      <c r="I165">
        <v>112384600</v>
      </c>
      <c r="J165">
        <v>100000</v>
      </c>
      <c r="K165">
        <v>4630000</v>
      </c>
      <c r="M165">
        <f>I165-(H165+J165-K165)- L165</f>
        <v>0</v>
      </c>
      <c r="N165" t="str">
        <f>IF(M165=0,"Cuadrado",IF(M165&gt;0,"Faltante","Sobrante"))</f>
        <v>Cuadrado</v>
      </c>
      <c r="O165" t="s">
        <v>37</v>
      </c>
      <c r="P165">
        <v>42158306</v>
      </c>
    </row>
    <row r="166" spans="1:16" hidden="1" x14ac:dyDescent="0.35">
      <c r="A166">
        <v>115</v>
      </c>
      <c r="B166">
        <v>5080</v>
      </c>
      <c r="C166" t="s">
        <v>19</v>
      </c>
      <c r="D166" t="s">
        <v>19</v>
      </c>
      <c r="E166" s="2">
        <v>46093</v>
      </c>
      <c r="F166" s="2">
        <v>46092</v>
      </c>
      <c r="G166" t="s">
        <v>45</v>
      </c>
      <c r="H166">
        <v>307006600</v>
      </c>
      <c r="I166">
        <v>295086600</v>
      </c>
      <c r="J166">
        <v>180000</v>
      </c>
      <c r="K166">
        <v>12100000</v>
      </c>
      <c r="M166">
        <f>I166-(H166+J166-K166)- L166</f>
        <v>0</v>
      </c>
      <c r="N166" t="str">
        <f>IF(M166=0,"Cuadrado",IF(M166&gt;0,"Faltante","Sobrante"))</f>
        <v>Cuadrado</v>
      </c>
      <c r="O166" t="s">
        <v>37</v>
      </c>
      <c r="P166">
        <v>42158306</v>
      </c>
    </row>
    <row r="167" spans="1:16" hidden="1" x14ac:dyDescent="0.35">
      <c r="A167">
        <v>115</v>
      </c>
      <c r="B167">
        <v>5080</v>
      </c>
      <c r="C167" t="s">
        <v>19</v>
      </c>
      <c r="D167" t="s">
        <v>19</v>
      </c>
      <c r="E167" s="2">
        <v>46091</v>
      </c>
      <c r="F167" s="2">
        <v>46090</v>
      </c>
      <c r="G167" t="s">
        <v>85</v>
      </c>
      <c r="H167">
        <v>420816600</v>
      </c>
      <c r="I167">
        <v>421716600</v>
      </c>
      <c r="J167">
        <v>1600000</v>
      </c>
      <c r="K167">
        <v>0</v>
      </c>
      <c r="M167">
        <f>I167-(H167+J167-K167)- L167</f>
        <v>-700000</v>
      </c>
      <c r="N167" t="str">
        <f>IF(M167=0,"Cuadrado",IF(M167&gt;0,"Faltante","Sobrante"))</f>
        <v>Sobrante</v>
      </c>
      <c r="O167" t="s">
        <v>383</v>
      </c>
      <c r="P167">
        <v>42158306</v>
      </c>
    </row>
    <row r="168" spans="1:16" hidden="1" x14ac:dyDescent="0.35">
      <c r="A168">
        <v>115</v>
      </c>
      <c r="B168">
        <v>5080</v>
      </c>
      <c r="C168" t="s">
        <v>19</v>
      </c>
      <c r="D168" t="s">
        <v>19</v>
      </c>
      <c r="E168" s="2">
        <v>46087</v>
      </c>
      <c r="F168" s="2">
        <v>46086</v>
      </c>
      <c r="G168" t="s">
        <v>71</v>
      </c>
      <c r="H168">
        <v>114724600</v>
      </c>
      <c r="I168">
        <v>104641600</v>
      </c>
      <c r="J168">
        <v>5250000</v>
      </c>
      <c r="K168">
        <v>15333000</v>
      </c>
      <c r="M168">
        <f>I168-(H168+J168-K168)- L168</f>
        <v>0</v>
      </c>
      <c r="N168" t="str">
        <f>IF(M168=0,"Cuadrado",IF(M168&gt;0,"Faltante","Sobrante"))</f>
        <v>Cuadrado</v>
      </c>
      <c r="O168" t="s">
        <v>37</v>
      </c>
      <c r="P168">
        <v>42158306</v>
      </c>
    </row>
    <row r="169" spans="1:16" hidden="1" x14ac:dyDescent="0.35">
      <c r="A169">
        <v>115</v>
      </c>
      <c r="B169">
        <v>5080</v>
      </c>
      <c r="C169" t="s">
        <v>19</v>
      </c>
      <c r="D169" t="s">
        <v>19</v>
      </c>
      <c r="E169" s="2">
        <v>46084</v>
      </c>
      <c r="F169" s="2">
        <v>46083</v>
      </c>
      <c r="G169" t="s">
        <v>48</v>
      </c>
      <c r="H169">
        <v>117021700</v>
      </c>
      <c r="I169">
        <v>127700600</v>
      </c>
      <c r="J169">
        <v>13120000</v>
      </c>
      <c r="K169">
        <v>2441000</v>
      </c>
      <c r="M169">
        <f>I169-(H169+J169-K169)- L169</f>
        <v>-100</v>
      </c>
      <c r="N169" t="str">
        <f>IF(M169=0,"Cuadrado",IF(M169&gt;0,"Faltante","Sobrante"))</f>
        <v>Sobrante</v>
      </c>
      <c r="O169" t="s">
        <v>504</v>
      </c>
      <c r="P169">
        <v>42158306</v>
      </c>
    </row>
    <row r="170" spans="1:16" x14ac:dyDescent="0.35">
      <c r="A170">
        <v>115</v>
      </c>
      <c r="B170">
        <v>5080</v>
      </c>
      <c r="C170" t="s">
        <v>19</v>
      </c>
      <c r="D170" t="s">
        <v>19</v>
      </c>
      <c r="E170" s="2">
        <v>46106</v>
      </c>
      <c r="F170" s="2">
        <v>46105</v>
      </c>
      <c r="G170" t="s">
        <v>412</v>
      </c>
      <c r="H170">
        <v>1035042150</v>
      </c>
      <c r="I170">
        <v>484015650</v>
      </c>
      <c r="J170">
        <v>1040000</v>
      </c>
      <c r="K170">
        <v>35005000</v>
      </c>
      <c r="L170">
        <f>0</f>
        <v>0</v>
      </c>
      <c r="M170">
        <f>I170-(H170+J170-K170)- L170</f>
        <v>-517061500</v>
      </c>
      <c r="N170" t="str">
        <f>IF(M170=0,"Cuadrado",IF(M170&gt;0,"Faltante","Sobrante"))</f>
        <v>Sobrante</v>
      </c>
      <c r="O170" t="s">
        <v>515</v>
      </c>
      <c r="P170">
        <v>42158306</v>
      </c>
    </row>
    <row r="171" spans="1:16" hidden="1" x14ac:dyDescent="0.35">
      <c r="A171">
        <v>523</v>
      </c>
      <c r="B171">
        <v>5082</v>
      </c>
      <c r="C171" t="s">
        <v>19</v>
      </c>
      <c r="D171" t="s">
        <v>19</v>
      </c>
      <c r="E171" s="2">
        <v>46105</v>
      </c>
      <c r="F171" s="2">
        <v>46101</v>
      </c>
      <c r="G171" t="s">
        <v>23</v>
      </c>
      <c r="H171">
        <v>254478900</v>
      </c>
      <c r="I171">
        <v>222367900</v>
      </c>
      <c r="J171">
        <v>4730000</v>
      </c>
      <c r="K171">
        <v>31141000</v>
      </c>
      <c r="L171">
        <v>0</v>
      </c>
      <c r="M171">
        <f>I171-(H171+J171-K171)- L171</f>
        <v>-5700000</v>
      </c>
      <c r="N171" t="str">
        <f>IF(M171=0,"Cuadrado",IF(M171&gt;0,"Faltante","Sobrante"))</f>
        <v>Sobrante</v>
      </c>
      <c r="O171" t="s">
        <v>21</v>
      </c>
      <c r="P171">
        <v>1065609766</v>
      </c>
    </row>
    <row r="172" spans="1:16" hidden="1" x14ac:dyDescent="0.35">
      <c r="A172">
        <v>523</v>
      </c>
      <c r="B172">
        <v>5082</v>
      </c>
      <c r="C172" t="s">
        <v>19</v>
      </c>
      <c r="D172" t="s">
        <v>19</v>
      </c>
      <c r="E172" s="2">
        <v>46099</v>
      </c>
      <c r="F172" s="2">
        <v>46098</v>
      </c>
      <c r="G172" t="s">
        <v>166</v>
      </c>
      <c r="H172">
        <v>167425950</v>
      </c>
      <c r="I172">
        <v>162426000</v>
      </c>
      <c r="J172">
        <v>0</v>
      </c>
      <c r="K172">
        <v>0</v>
      </c>
      <c r="M172">
        <f>I172-(H172+J172-K172)- L172</f>
        <v>-4999950</v>
      </c>
      <c r="N172" t="str">
        <f>IF(M172=0,"Cuadrado",IF(M172&gt;0,"Faltante","Sobrante"))</f>
        <v>Sobrante</v>
      </c>
      <c r="O172" t="s">
        <v>156</v>
      </c>
    </row>
    <row r="173" spans="1:16" hidden="1" x14ac:dyDescent="0.35">
      <c r="A173">
        <v>523</v>
      </c>
      <c r="B173">
        <v>5082</v>
      </c>
      <c r="C173" t="s">
        <v>19</v>
      </c>
      <c r="D173" t="s">
        <v>19</v>
      </c>
      <c r="E173" s="2">
        <v>46092</v>
      </c>
      <c r="F173" s="2">
        <v>46091</v>
      </c>
      <c r="G173" t="s">
        <v>241</v>
      </c>
      <c r="H173">
        <v>232296900</v>
      </c>
      <c r="I173">
        <v>175309750</v>
      </c>
      <c r="J173">
        <v>3000000</v>
      </c>
      <c r="K173">
        <v>49585950</v>
      </c>
      <c r="L173">
        <v>-10400050</v>
      </c>
      <c r="M173">
        <f>I173-(H173+J173-K173)- L173</f>
        <v>-1150</v>
      </c>
      <c r="N173" t="str">
        <f>IF(M173=0,"Cuadrado",IF(M173&gt;0,"Faltante","Sobrante"))</f>
        <v>Sobrante</v>
      </c>
      <c r="O173" t="s">
        <v>357</v>
      </c>
      <c r="P173">
        <v>1065609766</v>
      </c>
    </row>
    <row r="174" spans="1:16" hidden="1" x14ac:dyDescent="0.35">
      <c r="A174">
        <v>523</v>
      </c>
      <c r="B174">
        <v>5082</v>
      </c>
      <c r="C174" t="s">
        <v>19</v>
      </c>
      <c r="D174" t="s">
        <v>19</v>
      </c>
      <c r="E174" s="2">
        <v>46091</v>
      </c>
      <c r="F174" s="2">
        <v>46090</v>
      </c>
      <c r="G174" t="s">
        <v>35</v>
      </c>
      <c r="H174">
        <v>46659900</v>
      </c>
      <c r="I174">
        <v>16257900</v>
      </c>
      <c r="J174">
        <v>0</v>
      </c>
      <c r="K174">
        <v>20001950</v>
      </c>
      <c r="M174">
        <f>I174-(H174+J174-K174)- L174</f>
        <v>-10400050</v>
      </c>
      <c r="N174" t="str">
        <f>IF(M174=0,"Cuadrado",IF(M174&gt;0,"Faltante","Sobrante"))</f>
        <v>Sobrante</v>
      </c>
      <c r="O174" t="s">
        <v>383</v>
      </c>
      <c r="P174">
        <v>1065609766</v>
      </c>
    </row>
    <row r="175" spans="1:16" hidden="1" x14ac:dyDescent="0.35">
      <c r="A175">
        <v>523</v>
      </c>
      <c r="B175">
        <v>5082</v>
      </c>
      <c r="C175" t="s">
        <v>19</v>
      </c>
      <c r="D175" t="s">
        <v>16</v>
      </c>
      <c r="E175" s="2">
        <v>46087</v>
      </c>
      <c r="F175" s="2">
        <v>46086</v>
      </c>
      <c r="G175" t="s">
        <v>141</v>
      </c>
      <c r="H175">
        <v>178570950</v>
      </c>
      <c r="I175">
        <v>100552900</v>
      </c>
      <c r="J175">
        <v>0</v>
      </c>
      <c r="K175">
        <v>0</v>
      </c>
      <c r="M175">
        <f>I175-(H175+J175-K175)- L175</f>
        <v>-78018050</v>
      </c>
      <c r="N175" t="str">
        <f>IF(M175=0,"Cuadrado",IF(M175&gt;0,"Faltante","Sobrante"))</f>
        <v>Sobrante</v>
      </c>
      <c r="O175" t="s">
        <v>260</v>
      </c>
      <c r="P175">
        <v>39491642</v>
      </c>
    </row>
    <row r="176" spans="1:16" hidden="1" x14ac:dyDescent="0.35">
      <c r="A176">
        <v>523</v>
      </c>
      <c r="B176">
        <v>5082</v>
      </c>
      <c r="C176" t="s">
        <v>19</v>
      </c>
      <c r="D176" t="s">
        <v>19</v>
      </c>
      <c r="E176" s="2">
        <v>46086</v>
      </c>
      <c r="F176" s="2">
        <v>46085</v>
      </c>
      <c r="G176" t="s">
        <v>272</v>
      </c>
      <c r="H176">
        <v>45435650</v>
      </c>
      <c r="I176">
        <v>426664400</v>
      </c>
      <c r="J176">
        <v>0</v>
      </c>
      <c r="K176">
        <v>0</v>
      </c>
      <c r="M176">
        <f>I176-(H176+J176-K176)- L176</f>
        <v>381228750</v>
      </c>
      <c r="N176" t="str">
        <f>IF(M176=0,"Cuadrado",IF(M176&gt;0,"Faltante","Sobrante"))</f>
        <v>Faltante</v>
      </c>
      <c r="O176" t="s">
        <v>260</v>
      </c>
      <c r="P176">
        <v>39491642</v>
      </c>
    </row>
    <row r="177" spans="1:16" hidden="1" x14ac:dyDescent="0.35">
      <c r="A177">
        <v>523</v>
      </c>
      <c r="B177">
        <v>5082</v>
      </c>
      <c r="C177" t="s">
        <v>19</v>
      </c>
      <c r="D177" t="s">
        <v>19</v>
      </c>
      <c r="E177" s="2">
        <v>46084</v>
      </c>
      <c r="F177" s="2">
        <v>46083</v>
      </c>
      <c r="G177" t="s">
        <v>105</v>
      </c>
      <c r="H177">
        <v>199521050</v>
      </c>
      <c r="I177">
        <v>200075050</v>
      </c>
      <c r="J177">
        <v>1660000</v>
      </c>
      <c r="K177">
        <v>1100000</v>
      </c>
      <c r="M177">
        <f>I177-(H177+J177-K177)- L177</f>
        <v>-6000</v>
      </c>
      <c r="N177" t="str">
        <f>IF(M177=0,"Cuadrado",IF(M177&gt;0,"Faltante","Sobrante"))</f>
        <v>Sobrante</v>
      </c>
      <c r="O177" t="s">
        <v>504</v>
      </c>
      <c r="P177">
        <v>1065609766</v>
      </c>
    </row>
    <row r="178" spans="1:16" hidden="1" x14ac:dyDescent="0.35">
      <c r="A178">
        <v>265</v>
      </c>
      <c r="B178">
        <v>5083</v>
      </c>
      <c r="C178" t="s">
        <v>19</v>
      </c>
      <c r="D178" t="s">
        <v>19</v>
      </c>
      <c r="E178" s="2">
        <v>46094</v>
      </c>
      <c r="F178" s="2">
        <v>46093</v>
      </c>
      <c r="G178" t="s">
        <v>255</v>
      </c>
      <c r="H178">
        <v>168718750</v>
      </c>
      <c r="I178">
        <v>163720750</v>
      </c>
      <c r="J178">
        <v>10140000</v>
      </c>
      <c r="K178">
        <v>15135000</v>
      </c>
      <c r="M178">
        <f>I178-(H178+J178-K178)- L178</f>
        <v>-3000</v>
      </c>
      <c r="N178" t="str">
        <f>IF(M178=0,"Cuadrado",IF(M178&gt;0,"Faltante","Sobrante"))</f>
        <v>Sobrante</v>
      </c>
      <c r="O178" t="s">
        <v>245</v>
      </c>
      <c r="P178">
        <v>1107081130</v>
      </c>
    </row>
    <row r="179" spans="1:16" hidden="1" x14ac:dyDescent="0.35">
      <c r="A179">
        <v>265</v>
      </c>
      <c r="B179">
        <v>5083</v>
      </c>
      <c r="C179" t="s">
        <v>19</v>
      </c>
      <c r="D179" t="s">
        <v>19</v>
      </c>
      <c r="E179" s="2">
        <v>46091</v>
      </c>
      <c r="F179" s="2">
        <v>46090</v>
      </c>
      <c r="G179" t="s">
        <v>169</v>
      </c>
      <c r="H179">
        <v>316858750</v>
      </c>
      <c r="I179">
        <v>330808750</v>
      </c>
      <c r="J179">
        <v>13950000</v>
      </c>
      <c r="K179">
        <v>0</v>
      </c>
      <c r="M179">
        <f>I179-(H179+J179-K179)- L179</f>
        <v>0</v>
      </c>
      <c r="N179" t="str">
        <f>IF(M179=0,"Cuadrado",IF(M179&gt;0,"Faltante","Sobrante"))</f>
        <v>Cuadrado</v>
      </c>
      <c r="O179" t="s">
        <v>37</v>
      </c>
      <c r="P179">
        <v>1107081130</v>
      </c>
    </row>
    <row r="180" spans="1:16" hidden="1" x14ac:dyDescent="0.35">
      <c r="A180">
        <v>265</v>
      </c>
      <c r="B180">
        <v>5083</v>
      </c>
      <c r="C180" t="s">
        <v>19</v>
      </c>
      <c r="D180" t="s">
        <v>19</v>
      </c>
      <c r="E180" s="2">
        <v>46087</v>
      </c>
      <c r="F180" s="2">
        <v>46086</v>
      </c>
      <c r="G180" t="s">
        <v>99</v>
      </c>
      <c r="H180">
        <v>144767750</v>
      </c>
      <c r="I180">
        <v>130715750</v>
      </c>
      <c r="J180">
        <v>0</v>
      </c>
      <c r="K180">
        <v>0</v>
      </c>
      <c r="M180">
        <f>I180-(H180+J180-K180)- L180</f>
        <v>-14052000</v>
      </c>
      <c r="N180" t="str">
        <f>IF(M180=0,"Cuadrado",IF(M180&gt;0,"Faltante","Sobrante"))</f>
        <v>Sobrante</v>
      </c>
      <c r="O180" t="s">
        <v>423</v>
      </c>
      <c r="P180">
        <v>1107081130</v>
      </c>
    </row>
    <row r="181" spans="1:16" hidden="1" x14ac:dyDescent="0.35">
      <c r="A181">
        <v>197</v>
      </c>
      <c r="B181">
        <v>5084</v>
      </c>
      <c r="C181" t="s">
        <v>19</v>
      </c>
      <c r="D181" t="s">
        <v>19</v>
      </c>
      <c r="E181" s="2">
        <v>46094</v>
      </c>
      <c r="F181" s="2">
        <v>46093</v>
      </c>
      <c r="G181" t="s">
        <v>256</v>
      </c>
      <c r="H181">
        <v>126202900</v>
      </c>
      <c r="I181">
        <v>335703700</v>
      </c>
      <c r="J181">
        <v>8820000</v>
      </c>
      <c r="K181">
        <v>123940200</v>
      </c>
      <c r="L181">
        <v>326401000</v>
      </c>
      <c r="M181">
        <f>I181-(H181+J181-K181)- L181</f>
        <v>-1780000</v>
      </c>
      <c r="N181" t="str">
        <f>IF(M181=0,"Cuadrado",IF(M181&gt;0,"Faltante","Sobrante"))</f>
        <v>Sobrante</v>
      </c>
      <c r="O181" t="s">
        <v>245</v>
      </c>
      <c r="P181">
        <v>1065652660</v>
      </c>
    </row>
    <row r="182" spans="1:16" hidden="1" x14ac:dyDescent="0.35">
      <c r="A182">
        <v>197</v>
      </c>
      <c r="B182">
        <v>5084</v>
      </c>
      <c r="C182" t="s">
        <v>19</v>
      </c>
      <c r="D182" t="s">
        <v>19</v>
      </c>
      <c r="E182" s="2">
        <v>46090</v>
      </c>
      <c r="F182" s="2">
        <v>46087</v>
      </c>
      <c r="G182" t="s">
        <v>81</v>
      </c>
      <c r="H182">
        <v>500452950</v>
      </c>
      <c r="I182">
        <v>479702950</v>
      </c>
      <c r="J182">
        <v>0</v>
      </c>
      <c r="K182">
        <v>17850000</v>
      </c>
      <c r="M182">
        <f>I182-(H182+J182-K182)- L182</f>
        <v>-2900000</v>
      </c>
      <c r="N182" t="str">
        <f>IF(M182=0,"Cuadrado",IF(M182&gt;0,"Faltante","Sobrante"))</f>
        <v>Sobrante</v>
      </c>
      <c r="O182" t="s">
        <v>406</v>
      </c>
      <c r="P182">
        <v>1065652660</v>
      </c>
    </row>
    <row r="183" spans="1:16" hidden="1" x14ac:dyDescent="0.35">
      <c r="A183">
        <v>197</v>
      </c>
      <c r="B183">
        <v>5084</v>
      </c>
      <c r="C183" t="s">
        <v>19</v>
      </c>
      <c r="D183" t="s">
        <v>19</v>
      </c>
      <c r="E183" s="2">
        <v>46086</v>
      </c>
      <c r="F183" s="2">
        <v>46084</v>
      </c>
      <c r="G183" t="s">
        <v>81</v>
      </c>
      <c r="H183">
        <v>547184600</v>
      </c>
      <c r="I183">
        <v>547479600</v>
      </c>
      <c r="J183">
        <v>0</v>
      </c>
      <c r="K183">
        <v>0</v>
      </c>
      <c r="M183">
        <f>I183-(H183+J183-K183)- L183</f>
        <v>295000</v>
      </c>
      <c r="N183" t="str">
        <f>IF(M183=0,"Cuadrado",IF(M183&gt;0,"Faltante","Sobrante"))</f>
        <v>Faltante</v>
      </c>
      <c r="O183" t="s">
        <v>260</v>
      </c>
      <c r="P183">
        <v>1065607404</v>
      </c>
    </row>
    <row r="184" spans="1:16" hidden="1" x14ac:dyDescent="0.35">
      <c r="A184">
        <v>634</v>
      </c>
      <c r="B184">
        <v>5087</v>
      </c>
      <c r="C184" t="s">
        <v>19</v>
      </c>
      <c r="D184" t="s">
        <v>19</v>
      </c>
      <c r="E184" s="2">
        <v>46094</v>
      </c>
      <c r="F184" s="2">
        <v>46093</v>
      </c>
      <c r="G184" t="s">
        <v>257</v>
      </c>
      <c r="H184">
        <v>184957000</v>
      </c>
      <c r="I184">
        <v>200857000</v>
      </c>
      <c r="J184">
        <v>19380000</v>
      </c>
      <c r="K184">
        <v>6550000</v>
      </c>
      <c r="L184">
        <v>3070000</v>
      </c>
      <c r="M184">
        <f>I184-(H184+J184-K184)- L184</f>
        <v>0</v>
      </c>
      <c r="N184" t="str">
        <f>IF(M184=0,"Cuadrado",IF(M184&gt;0,"Faltante","Sobrante"))</f>
        <v>Cuadrado</v>
      </c>
      <c r="O184" t="s">
        <v>258</v>
      </c>
      <c r="P184">
        <v>1032424944</v>
      </c>
    </row>
    <row r="185" spans="1:16" hidden="1" x14ac:dyDescent="0.35">
      <c r="A185">
        <v>634</v>
      </c>
      <c r="B185">
        <v>5087</v>
      </c>
      <c r="C185" t="s">
        <v>19</v>
      </c>
      <c r="D185" t="s">
        <v>19</v>
      </c>
      <c r="E185" s="2">
        <v>46087</v>
      </c>
      <c r="F185" s="2">
        <v>46086</v>
      </c>
      <c r="G185" t="s">
        <v>431</v>
      </c>
      <c r="H185">
        <v>106089700</v>
      </c>
      <c r="I185">
        <v>105511700</v>
      </c>
      <c r="J185">
        <v>75740000</v>
      </c>
      <c r="K185">
        <v>76311000</v>
      </c>
      <c r="M185">
        <f>I185-(H185+J185-K185)- L185</f>
        <v>-7000</v>
      </c>
      <c r="N185" t="str">
        <f>IF(M185=0,"Cuadrado",IF(M185&gt;0,"Faltante","Sobrante"))</f>
        <v>Sobrante</v>
      </c>
      <c r="O185" t="s">
        <v>423</v>
      </c>
      <c r="P185">
        <v>1032424944</v>
      </c>
    </row>
    <row r="186" spans="1:16" hidden="1" x14ac:dyDescent="0.35">
      <c r="A186">
        <v>634</v>
      </c>
      <c r="B186">
        <v>5087</v>
      </c>
      <c r="C186" t="s">
        <v>19</v>
      </c>
      <c r="D186" t="s">
        <v>19</v>
      </c>
      <c r="E186" s="2">
        <v>46084</v>
      </c>
      <c r="F186" s="2">
        <v>46083</v>
      </c>
      <c r="G186" t="s">
        <v>346</v>
      </c>
      <c r="H186">
        <v>242530800</v>
      </c>
      <c r="I186">
        <v>254556300</v>
      </c>
      <c r="J186">
        <v>12040000</v>
      </c>
      <c r="K186">
        <v>0</v>
      </c>
      <c r="M186">
        <f>I186-(H186+J186-K186)- L186</f>
        <v>-14500</v>
      </c>
      <c r="N186" t="str">
        <f>IF(M186=0,"Cuadrado",IF(M186&gt;0,"Faltante","Sobrante"))</f>
        <v>Sobrante</v>
      </c>
      <c r="O186" t="s">
        <v>504</v>
      </c>
      <c r="P186">
        <v>1032424944</v>
      </c>
    </row>
    <row r="187" spans="1:16" x14ac:dyDescent="0.35">
      <c r="A187">
        <v>634</v>
      </c>
      <c r="B187">
        <v>5087</v>
      </c>
      <c r="C187" t="s">
        <v>19</v>
      </c>
      <c r="D187" t="s">
        <v>19</v>
      </c>
      <c r="E187" s="2">
        <v>46106</v>
      </c>
      <c r="F187" s="2">
        <v>46105</v>
      </c>
      <c r="G187" t="s">
        <v>48</v>
      </c>
      <c r="H187">
        <v>212583000</v>
      </c>
      <c r="I187">
        <v>214753000</v>
      </c>
      <c r="J187">
        <v>0</v>
      </c>
      <c r="K187">
        <v>0</v>
      </c>
      <c r="L187">
        <f>2021000+149000</f>
        <v>2170000</v>
      </c>
      <c r="M187">
        <f>I187-(H187+J187-K187)- L187</f>
        <v>0</v>
      </c>
      <c r="N187" t="str">
        <f>IF(M187=0,"Cuadrado",IF(M187&gt;0,"Faltante","Sobrante"))</f>
        <v>Cuadrado</v>
      </c>
      <c r="O187" t="s">
        <v>523</v>
      </c>
      <c r="P187">
        <v>1032424944</v>
      </c>
    </row>
    <row r="188" spans="1:16" hidden="1" x14ac:dyDescent="0.35">
      <c r="A188">
        <v>659</v>
      </c>
      <c r="B188">
        <v>5102</v>
      </c>
      <c r="C188" t="s">
        <v>19</v>
      </c>
      <c r="D188" t="s">
        <v>19</v>
      </c>
      <c r="E188" s="2">
        <v>46101</v>
      </c>
      <c r="F188" s="2">
        <v>46100</v>
      </c>
      <c r="G188" t="s">
        <v>54</v>
      </c>
      <c r="H188">
        <v>225627000</v>
      </c>
      <c r="I188">
        <v>228618250</v>
      </c>
      <c r="J188">
        <v>12260000</v>
      </c>
      <c r="K188">
        <v>9118750</v>
      </c>
      <c r="M188">
        <f>I188-(H188+J188-K188)- L188</f>
        <v>-150000</v>
      </c>
      <c r="N188" t="str">
        <f>IF(M188=0,"Cuadrado",IF(M188&gt;0,"Faltante","Sobrante"))</f>
        <v>Sobrante</v>
      </c>
      <c r="O188" t="s">
        <v>39</v>
      </c>
      <c r="P188">
        <v>39575034</v>
      </c>
    </row>
    <row r="189" spans="1:16" hidden="1" x14ac:dyDescent="0.35">
      <c r="A189">
        <v>659</v>
      </c>
      <c r="B189">
        <v>5102</v>
      </c>
      <c r="C189" t="s">
        <v>19</v>
      </c>
      <c r="D189" t="s">
        <v>19</v>
      </c>
      <c r="E189" s="2">
        <v>46092</v>
      </c>
      <c r="F189" s="2">
        <v>46091</v>
      </c>
      <c r="G189" t="s">
        <v>42</v>
      </c>
      <c r="H189">
        <v>306329950</v>
      </c>
      <c r="I189">
        <v>304148950</v>
      </c>
      <c r="J189">
        <v>12900000</v>
      </c>
      <c r="K189">
        <v>15015000</v>
      </c>
      <c r="M189">
        <f>I189-(H189+J189-K189)- L189</f>
        <v>-66000</v>
      </c>
      <c r="N189" t="str">
        <f>IF(M189=0,"Cuadrado",IF(M189&gt;0,"Faltante","Sobrante"))</f>
        <v>Sobrante</v>
      </c>
      <c r="O189" t="s">
        <v>357</v>
      </c>
      <c r="P189">
        <v>39575034</v>
      </c>
    </row>
    <row r="190" spans="1:16" hidden="1" x14ac:dyDescent="0.35">
      <c r="A190">
        <v>659</v>
      </c>
      <c r="B190">
        <v>5102</v>
      </c>
      <c r="C190" t="s">
        <v>19</v>
      </c>
      <c r="D190" t="s">
        <v>19</v>
      </c>
      <c r="E190" s="2">
        <v>46090</v>
      </c>
      <c r="F190" s="2">
        <v>46087</v>
      </c>
      <c r="G190" t="s">
        <v>166</v>
      </c>
      <c r="H190">
        <v>187313950</v>
      </c>
      <c r="I190">
        <v>197533950</v>
      </c>
      <c r="J190">
        <v>19910000</v>
      </c>
      <c r="K190">
        <v>9720000</v>
      </c>
      <c r="M190">
        <f>I190-(H190+J190-K190)- L190</f>
        <v>30000</v>
      </c>
      <c r="N190" t="str">
        <f>IF(M190=0,"Cuadrado",IF(M190&gt;0,"Faltante","Sobrante"))</f>
        <v>Faltante</v>
      </c>
      <c r="O190" t="s">
        <v>407</v>
      </c>
      <c r="P190">
        <v>39575034</v>
      </c>
    </row>
    <row r="191" spans="1:16" hidden="1" x14ac:dyDescent="0.35">
      <c r="A191">
        <v>659</v>
      </c>
      <c r="B191">
        <v>5102</v>
      </c>
      <c r="C191" t="s">
        <v>19</v>
      </c>
      <c r="D191" t="s">
        <v>19</v>
      </c>
      <c r="E191" s="2">
        <v>46084</v>
      </c>
      <c r="F191" s="2">
        <v>46083</v>
      </c>
      <c r="G191" t="s">
        <v>170</v>
      </c>
      <c r="H191">
        <v>147494150</v>
      </c>
      <c r="I191">
        <v>162044150</v>
      </c>
      <c r="J191">
        <v>18760000</v>
      </c>
      <c r="K191">
        <v>4240000</v>
      </c>
      <c r="M191">
        <f>I191-(H191+J191-K191)- L191</f>
        <v>30000</v>
      </c>
      <c r="N191" t="str">
        <f>IF(M191=0,"Cuadrado",IF(M191&gt;0,"Faltante","Sobrante"))</f>
        <v>Faltante</v>
      </c>
      <c r="O191" t="s">
        <v>260</v>
      </c>
      <c r="P191">
        <v>1110555222</v>
      </c>
    </row>
    <row r="192" spans="1:16" x14ac:dyDescent="0.35">
      <c r="A192">
        <v>659</v>
      </c>
      <c r="B192">
        <v>5102</v>
      </c>
      <c r="C192" t="s">
        <v>19</v>
      </c>
      <c r="D192" t="s">
        <v>19</v>
      </c>
      <c r="E192" s="2">
        <v>46106</v>
      </c>
      <c r="F192" s="2">
        <v>46105</v>
      </c>
      <c r="G192" t="s">
        <v>529</v>
      </c>
      <c r="H192">
        <v>301494600</v>
      </c>
      <c r="I192">
        <v>311005900</v>
      </c>
      <c r="J192">
        <v>16860000</v>
      </c>
      <c r="K192">
        <v>7348700</v>
      </c>
      <c r="L192">
        <f>0</f>
        <v>0</v>
      </c>
      <c r="M192">
        <f>I192-(H192+J192-K192)- L192</f>
        <v>0</v>
      </c>
      <c r="N192" t="str">
        <f>IF(M192=0,"Cuadrado",IF(M192&gt;0,"Faltante","Sobrante"))</f>
        <v>Cuadrado</v>
      </c>
      <c r="O192" t="s">
        <v>37</v>
      </c>
      <c r="P192">
        <v>39575034</v>
      </c>
    </row>
    <row r="193" spans="1:16" hidden="1" x14ac:dyDescent="0.35">
      <c r="A193">
        <v>430</v>
      </c>
      <c r="B193">
        <v>5104</v>
      </c>
      <c r="C193" t="s">
        <v>19</v>
      </c>
      <c r="D193" t="s">
        <v>19</v>
      </c>
      <c r="E193" s="2">
        <v>46101</v>
      </c>
      <c r="F193" s="2">
        <v>46100</v>
      </c>
      <c r="G193" t="s">
        <v>55</v>
      </c>
      <c r="H193">
        <v>99103200</v>
      </c>
      <c r="I193">
        <v>99978800</v>
      </c>
      <c r="J193">
        <v>20040000</v>
      </c>
      <c r="K193">
        <v>19058400</v>
      </c>
      <c r="M193">
        <f>I193-(H193+J193-K193)- L193</f>
        <v>-106000</v>
      </c>
      <c r="N193" t="str">
        <f>IF(M193=0,"Cuadrado",IF(M193&gt;0,"Faltante","Sobrante"))</f>
        <v>Sobrante</v>
      </c>
      <c r="O193" t="s">
        <v>39</v>
      </c>
      <c r="P193">
        <v>1035234232</v>
      </c>
    </row>
    <row r="194" spans="1:16" hidden="1" x14ac:dyDescent="0.35">
      <c r="A194">
        <v>430</v>
      </c>
      <c r="B194">
        <v>5104</v>
      </c>
      <c r="C194" t="s">
        <v>19</v>
      </c>
      <c r="D194" t="s">
        <v>19</v>
      </c>
      <c r="E194" s="2">
        <v>46087</v>
      </c>
      <c r="F194" s="2">
        <v>46086</v>
      </c>
      <c r="G194" t="s">
        <v>150</v>
      </c>
      <c r="H194">
        <v>369806800</v>
      </c>
      <c r="I194">
        <v>362667750</v>
      </c>
      <c r="J194">
        <v>41480000</v>
      </c>
      <c r="K194">
        <v>48593700</v>
      </c>
      <c r="M194">
        <f>I194-(H194+J194-K194)- L194</f>
        <v>-25350</v>
      </c>
      <c r="N194" t="str">
        <f>IF(M194=0,"Cuadrado",IF(M194&gt;0,"Faltante","Sobrante"))</f>
        <v>Sobrante</v>
      </c>
      <c r="O194" t="s">
        <v>423</v>
      </c>
      <c r="P194">
        <v>1035234232</v>
      </c>
    </row>
    <row r="195" spans="1:16" hidden="1" x14ac:dyDescent="0.35">
      <c r="A195">
        <v>430</v>
      </c>
      <c r="B195">
        <v>5104</v>
      </c>
      <c r="C195" t="s">
        <v>19</v>
      </c>
      <c r="D195" t="s">
        <v>19</v>
      </c>
      <c r="E195" s="2">
        <v>46085</v>
      </c>
      <c r="F195" s="2">
        <v>46084</v>
      </c>
      <c r="G195" t="s">
        <v>365</v>
      </c>
      <c r="H195">
        <v>336412000</v>
      </c>
      <c r="I195">
        <v>303428650</v>
      </c>
      <c r="J195">
        <v>15920000</v>
      </c>
      <c r="K195">
        <v>49488000</v>
      </c>
      <c r="M195">
        <f>I195-(H195+J195-K195)- L195</f>
        <v>584650</v>
      </c>
      <c r="N195" t="str">
        <f>IF(M195=0,"Cuadrado",IF(M195&gt;0,"Faltante","Sobrante"))</f>
        <v>Faltante</v>
      </c>
      <c r="O195" t="s">
        <v>260</v>
      </c>
      <c r="P195">
        <v>1035234232</v>
      </c>
    </row>
    <row r="196" spans="1:16" hidden="1" x14ac:dyDescent="0.35">
      <c r="A196">
        <v>743</v>
      </c>
      <c r="B196">
        <v>5106</v>
      </c>
      <c r="C196" t="s">
        <v>19</v>
      </c>
      <c r="D196" t="s">
        <v>19</v>
      </c>
      <c r="E196" s="2">
        <v>46094</v>
      </c>
      <c r="F196" s="2">
        <v>46093</v>
      </c>
      <c r="G196" t="s">
        <v>302</v>
      </c>
      <c r="H196">
        <v>92463350</v>
      </c>
      <c r="I196">
        <v>58595050</v>
      </c>
      <c r="J196">
        <v>8350000</v>
      </c>
      <c r="K196">
        <v>42218300</v>
      </c>
      <c r="M196">
        <f>I196-(H196+J196-K196)- L196</f>
        <v>0</v>
      </c>
      <c r="N196" t="str">
        <f>IF(M196=0,"Cuadrado",IF(M196&gt;0,"Faltante","Sobrante"))</f>
        <v>Cuadrado</v>
      </c>
      <c r="O196" t="s">
        <v>37</v>
      </c>
      <c r="P196">
        <v>79887183</v>
      </c>
    </row>
    <row r="197" spans="1:16" hidden="1" x14ac:dyDescent="0.35">
      <c r="A197">
        <v>743</v>
      </c>
      <c r="B197">
        <v>5106</v>
      </c>
      <c r="C197" t="s">
        <v>19</v>
      </c>
      <c r="D197" t="s">
        <v>19</v>
      </c>
      <c r="E197" s="2">
        <v>46087</v>
      </c>
      <c r="F197" s="2">
        <v>46086</v>
      </c>
      <c r="G197" t="s">
        <v>432</v>
      </c>
      <c r="H197">
        <v>58298000</v>
      </c>
      <c r="I197">
        <v>52889000</v>
      </c>
      <c r="J197">
        <v>27880000</v>
      </c>
      <c r="K197">
        <v>15092000</v>
      </c>
      <c r="M197">
        <f>I197-(H197+J197-K197)- L197</f>
        <v>-18197000</v>
      </c>
      <c r="N197" t="str">
        <f>IF(M197=0,"Cuadrado",IF(M197&gt;0,"Faltante","Sobrante"))</f>
        <v>Sobrante</v>
      </c>
      <c r="O197" t="s">
        <v>423</v>
      </c>
      <c r="P197">
        <v>79887183</v>
      </c>
    </row>
    <row r="198" spans="1:16" hidden="1" x14ac:dyDescent="0.35">
      <c r="A198">
        <v>73</v>
      </c>
      <c r="B198">
        <v>5108</v>
      </c>
      <c r="C198" t="s">
        <v>19</v>
      </c>
      <c r="D198" t="s">
        <v>19</v>
      </c>
      <c r="E198" s="2">
        <v>46101</v>
      </c>
      <c r="F198" s="2">
        <v>46100</v>
      </c>
      <c r="G198" t="s">
        <v>87</v>
      </c>
      <c r="H198">
        <v>93824500</v>
      </c>
      <c r="I198">
        <v>93824500</v>
      </c>
      <c r="J198">
        <v>0</v>
      </c>
      <c r="K198">
        <v>0</v>
      </c>
      <c r="M198">
        <f>I198-(H198+J198-K198)- L198</f>
        <v>0</v>
      </c>
      <c r="N198" t="str">
        <f>IF(M198=0,"Cuadrado",IF(M198&gt;0,"Faltante","Sobrante"))</f>
        <v>Cuadrado</v>
      </c>
      <c r="O198" t="s">
        <v>37</v>
      </c>
      <c r="P198">
        <v>42157515</v>
      </c>
    </row>
    <row r="199" spans="1:16" hidden="1" x14ac:dyDescent="0.35">
      <c r="A199">
        <v>73</v>
      </c>
      <c r="B199">
        <v>5108</v>
      </c>
      <c r="C199" t="s">
        <v>19</v>
      </c>
      <c r="D199" t="s">
        <v>19</v>
      </c>
      <c r="E199" s="2">
        <v>46099</v>
      </c>
      <c r="F199" s="2">
        <v>46098</v>
      </c>
      <c r="G199" t="s">
        <v>167</v>
      </c>
      <c r="H199">
        <v>52492050</v>
      </c>
      <c r="I199">
        <v>40036050</v>
      </c>
      <c r="J199">
        <v>2000000</v>
      </c>
      <c r="K199">
        <v>6591000</v>
      </c>
      <c r="M199">
        <f>I199-(H199+J199-K199)- L199</f>
        <v>-7865000</v>
      </c>
      <c r="N199" t="str">
        <f>IF(M199=0,"Cuadrado",IF(M199&gt;0,"Faltante","Sobrante"))</f>
        <v>Sobrante</v>
      </c>
      <c r="O199" t="s">
        <v>156</v>
      </c>
    </row>
    <row r="200" spans="1:16" hidden="1" x14ac:dyDescent="0.35">
      <c r="A200">
        <v>73</v>
      </c>
      <c r="B200">
        <v>5108</v>
      </c>
      <c r="C200" t="s">
        <v>19</v>
      </c>
      <c r="D200" t="s">
        <v>19</v>
      </c>
      <c r="E200" s="2">
        <v>46086</v>
      </c>
      <c r="F200" s="2">
        <v>46085</v>
      </c>
      <c r="G200" t="s">
        <v>469</v>
      </c>
      <c r="H200">
        <v>161090900</v>
      </c>
      <c r="I200">
        <v>161415900</v>
      </c>
      <c r="J200">
        <v>1680000</v>
      </c>
      <c r="K200">
        <v>1324950</v>
      </c>
      <c r="L200">
        <v>-30000</v>
      </c>
      <c r="M200">
        <f>I200-(H200+J200-K200)- L200</f>
        <v>-50</v>
      </c>
      <c r="N200" t="str">
        <f>IF(M200=0,"Cuadrado",IF(M200&gt;0,"Faltante","Sobrante"))</f>
        <v>Sobrante</v>
      </c>
      <c r="O200" t="s">
        <v>467</v>
      </c>
      <c r="P200">
        <v>42157515</v>
      </c>
    </row>
    <row r="201" spans="1:16" hidden="1" x14ac:dyDescent="0.35">
      <c r="A201">
        <v>88</v>
      </c>
      <c r="B201">
        <v>5111</v>
      </c>
      <c r="C201" t="s">
        <v>19</v>
      </c>
      <c r="D201" t="s">
        <v>19</v>
      </c>
      <c r="E201" s="2">
        <v>46098</v>
      </c>
      <c r="F201" s="2">
        <v>46097</v>
      </c>
      <c r="G201" t="s">
        <v>200</v>
      </c>
      <c r="H201">
        <v>161772350</v>
      </c>
      <c r="I201">
        <v>162587950</v>
      </c>
      <c r="J201">
        <v>2420000</v>
      </c>
      <c r="K201">
        <v>1304400</v>
      </c>
      <c r="L201">
        <v>0</v>
      </c>
      <c r="M201">
        <f>I201-(H201+J201-K201)- L201</f>
        <v>-300000</v>
      </c>
      <c r="N201" t="str">
        <f>IF(M201=0,"Cuadrado",IF(M201&gt;0,"Faltante","Sobrante"))</f>
        <v>Sobrante</v>
      </c>
      <c r="P201">
        <v>27697484</v>
      </c>
    </row>
    <row r="202" spans="1:16" hidden="1" x14ac:dyDescent="0.35">
      <c r="A202">
        <v>88</v>
      </c>
      <c r="B202">
        <v>5111</v>
      </c>
      <c r="C202" t="s">
        <v>19</v>
      </c>
      <c r="D202" t="s">
        <v>19</v>
      </c>
      <c r="E202" s="2">
        <v>46094</v>
      </c>
      <c r="F202" s="2">
        <v>46093</v>
      </c>
      <c r="G202" t="s">
        <v>259</v>
      </c>
      <c r="H202">
        <v>373087100</v>
      </c>
      <c r="I202">
        <v>381382100</v>
      </c>
      <c r="J202">
        <v>8090000</v>
      </c>
      <c r="K202">
        <v>0</v>
      </c>
      <c r="M202">
        <f>I202-(H202+J202-K202)- L202</f>
        <v>205000</v>
      </c>
      <c r="N202" t="str">
        <f>IF(M202=0,"Cuadrado",IF(M202&gt;0,"Faltante","Sobrante"))</f>
        <v>Faltante</v>
      </c>
      <c r="O202" t="s">
        <v>260</v>
      </c>
      <c r="P202">
        <v>27697484</v>
      </c>
    </row>
    <row r="203" spans="1:16" hidden="1" x14ac:dyDescent="0.35">
      <c r="A203">
        <v>191</v>
      </c>
      <c r="B203">
        <v>5112</v>
      </c>
      <c r="C203" t="s">
        <v>19</v>
      </c>
      <c r="D203" t="s">
        <v>19</v>
      </c>
      <c r="E203" s="2">
        <v>46100</v>
      </c>
      <c r="F203" s="2">
        <v>46099</v>
      </c>
      <c r="G203" t="s">
        <v>143</v>
      </c>
      <c r="H203">
        <v>502447500</v>
      </c>
      <c r="I203">
        <v>457237500</v>
      </c>
      <c r="J203">
        <v>4140000</v>
      </c>
      <c r="K203">
        <v>49350000</v>
      </c>
      <c r="M203">
        <f>I203-(H203+J203-K203)- L203</f>
        <v>0</v>
      </c>
      <c r="N203" t="str">
        <f>IF(M203=0,"Cuadrado",IF(M203&gt;0,"Faltante","Sobrante"))</f>
        <v>Cuadrado</v>
      </c>
      <c r="O203" t="s">
        <v>37</v>
      </c>
      <c r="P203">
        <v>80812756</v>
      </c>
    </row>
    <row r="204" spans="1:16" hidden="1" x14ac:dyDescent="0.35">
      <c r="A204">
        <v>191</v>
      </c>
      <c r="B204">
        <v>5112</v>
      </c>
      <c r="C204" t="s">
        <v>19</v>
      </c>
      <c r="D204" t="s">
        <v>19</v>
      </c>
      <c r="E204" s="2">
        <v>46092</v>
      </c>
      <c r="F204" s="2">
        <v>46091</v>
      </c>
      <c r="G204" t="s">
        <v>50</v>
      </c>
      <c r="H204">
        <v>241471100</v>
      </c>
      <c r="I204">
        <v>178543950</v>
      </c>
      <c r="J204">
        <v>14660000</v>
      </c>
      <c r="K204">
        <v>77586150</v>
      </c>
      <c r="M204">
        <f>I204-(H204+J204-K204)- L204</f>
        <v>-1000</v>
      </c>
      <c r="N204" t="str">
        <f>IF(M204=0,"Cuadrado",IF(M204&gt;0,"Faltante","Sobrante"))</f>
        <v>Sobrante</v>
      </c>
      <c r="O204" t="s">
        <v>357</v>
      </c>
      <c r="P204">
        <v>80812756</v>
      </c>
    </row>
    <row r="205" spans="1:16" hidden="1" x14ac:dyDescent="0.35">
      <c r="A205">
        <v>191</v>
      </c>
      <c r="B205">
        <v>5112</v>
      </c>
      <c r="C205" t="s">
        <v>19</v>
      </c>
      <c r="D205" t="s">
        <v>19</v>
      </c>
      <c r="E205" s="2">
        <v>46087</v>
      </c>
      <c r="F205" s="2">
        <v>46086</v>
      </c>
      <c r="G205" t="s">
        <v>342</v>
      </c>
      <c r="H205">
        <v>246928850</v>
      </c>
      <c r="I205">
        <v>244729050</v>
      </c>
      <c r="J205">
        <v>800000</v>
      </c>
      <c r="K205">
        <v>0</v>
      </c>
      <c r="M205">
        <f>I205-(H205+J205-K205)- L205</f>
        <v>-2999800</v>
      </c>
      <c r="N205" t="str">
        <f>IF(M205=0,"Cuadrado",IF(M205&gt;0,"Faltante","Sobrante"))</f>
        <v>Sobrante</v>
      </c>
      <c r="O205" t="s">
        <v>423</v>
      </c>
      <c r="P205">
        <v>80812756</v>
      </c>
    </row>
    <row r="206" spans="1:16" hidden="1" x14ac:dyDescent="0.35">
      <c r="A206">
        <v>191</v>
      </c>
      <c r="B206">
        <v>5112</v>
      </c>
      <c r="C206" t="s">
        <v>19</v>
      </c>
      <c r="D206" t="s">
        <v>19</v>
      </c>
      <c r="E206" s="2">
        <v>46084</v>
      </c>
      <c r="F206" s="2">
        <v>46081</v>
      </c>
      <c r="G206" t="s">
        <v>57</v>
      </c>
      <c r="H206">
        <v>293735350</v>
      </c>
      <c r="I206">
        <v>293735350</v>
      </c>
      <c r="J206">
        <v>0</v>
      </c>
      <c r="K206">
        <v>0</v>
      </c>
      <c r="M206">
        <f>I206-(H206+J206-K206)- L206</f>
        <v>0</v>
      </c>
      <c r="N206" t="str">
        <f>IF(M206=0,"Cuadrado",IF(M206&gt;0,"Faltante","Sobrante"))</f>
        <v>Cuadrado</v>
      </c>
      <c r="O206" t="s">
        <v>37</v>
      </c>
      <c r="P206">
        <v>80812756</v>
      </c>
    </row>
    <row r="207" spans="1:16" x14ac:dyDescent="0.35">
      <c r="A207">
        <v>191</v>
      </c>
      <c r="B207">
        <v>5112</v>
      </c>
      <c r="C207" t="s">
        <v>19</v>
      </c>
      <c r="D207" t="s">
        <v>19</v>
      </c>
      <c r="E207" s="2">
        <v>46106</v>
      </c>
      <c r="F207" s="2">
        <v>46105</v>
      </c>
      <c r="G207" t="s">
        <v>180</v>
      </c>
      <c r="H207">
        <v>167552650</v>
      </c>
      <c r="I207">
        <v>147269450</v>
      </c>
      <c r="J207">
        <v>12000000</v>
      </c>
      <c r="K207">
        <v>29333200</v>
      </c>
      <c r="L207">
        <f>0</f>
        <v>0</v>
      </c>
      <c r="M207">
        <f>I207-(H207+J207-K207)- L207</f>
        <v>-2950000</v>
      </c>
      <c r="N207" t="str">
        <f>IF(M207=0,"Cuadrado",IF(M207&gt;0,"Faltante","Sobrante"))</f>
        <v>Sobrante</v>
      </c>
      <c r="O207" t="s">
        <v>515</v>
      </c>
      <c r="P207">
        <v>80812756</v>
      </c>
    </row>
    <row r="208" spans="1:16" hidden="1" x14ac:dyDescent="0.35">
      <c r="A208">
        <v>291</v>
      </c>
      <c r="B208">
        <v>5114</v>
      </c>
      <c r="C208" t="s">
        <v>19</v>
      </c>
      <c r="D208" t="s">
        <v>19</v>
      </c>
      <c r="E208" s="2">
        <v>46100</v>
      </c>
      <c r="F208" s="2">
        <v>46099</v>
      </c>
      <c r="G208" t="s">
        <v>111</v>
      </c>
      <c r="H208">
        <v>226871200</v>
      </c>
      <c r="I208">
        <v>201461200</v>
      </c>
      <c r="J208">
        <v>1340000</v>
      </c>
      <c r="K208">
        <v>26680000</v>
      </c>
      <c r="M208">
        <f>I208-(H208+J208-K208)- L208</f>
        <v>-70000</v>
      </c>
      <c r="N208" t="str">
        <f>IF(M208=0,"Cuadrado",IF(M208&gt;0,"Faltante","Sobrante"))</f>
        <v>Sobrante</v>
      </c>
      <c r="O208" t="s">
        <v>95</v>
      </c>
      <c r="P208">
        <v>1095930956</v>
      </c>
    </row>
    <row r="209" spans="1:16" hidden="1" x14ac:dyDescent="0.35">
      <c r="A209">
        <v>291</v>
      </c>
      <c r="B209">
        <v>5114</v>
      </c>
      <c r="C209" t="s">
        <v>19</v>
      </c>
      <c r="D209" t="s">
        <v>19</v>
      </c>
      <c r="E209" s="2">
        <v>46094</v>
      </c>
      <c r="F209" s="2">
        <v>46093</v>
      </c>
      <c r="G209" t="s">
        <v>195</v>
      </c>
      <c r="H209">
        <v>117934000</v>
      </c>
      <c r="I209">
        <v>120999000</v>
      </c>
      <c r="J209">
        <v>9680000</v>
      </c>
      <c r="K209">
        <v>4609000</v>
      </c>
      <c r="L209">
        <v>-6000</v>
      </c>
      <c r="M209">
        <f>I209-(H209+J209-K209)- L209</f>
        <v>-2000000</v>
      </c>
      <c r="N209" t="str">
        <f>IF(M209=0,"Cuadrado",IF(M209&gt;0,"Faltante","Sobrante"))</f>
        <v>Sobrante</v>
      </c>
      <c r="O209" t="s">
        <v>245</v>
      </c>
      <c r="P209">
        <v>1095930956</v>
      </c>
    </row>
    <row r="210" spans="1:16" hidden="1" x14ac:dyDescent="0.35">
      <c r="A210">
        <v>291</v>
      </c>
      <c r="B210">
        <v>5114</v>
      </c>
      <c r="C210" t="s">
        <v>19</v>
      </c>
      <c r="D210" t="s">
        <v>19</v>
      </c>
      <c r="E210" s="2">
        <v>46093</v>
      </c>
      <c r="F210" s="2">
        <v>46092</v>
      </c>
      <c r="G210" t="s">
        <v>314</v>
      </c>
      <c r="H210">
        <v>311523400</v>
      </c>
      <c r="I210">
        <v>311907400</v>
      </c>
      <c r="J210">
        <v>10370000</v>
      </c>
      <c r="K210">
        <v>9980000</v>
      </c>
      <c r="M210">
        <f>I210-(H210+J210-K210)- L210</f>
        <v>-6000</v>
      </c>
      <c r="N210" t="str">
        <f>IF(M210=0,"Cuadrado",IF(M210&gt;0,"Faltante","Sobrante"))</f>
        <v>Sobrante</v>
      </c>
      <c r="O210" t="s">
        <v>311</v>
      </c>
      <c r="P210">
        <v>1095930956</v>
      </c>
    </row>
    <row r="211" spans="1:16" hidden="1" x14ac:dyDescent="0.35">
      <c r="A211">
        <v>291</v>
      </c>
      <c r="B211">
        <v>5114</v>
      </c>
      <c r="C211" t="s">
        <v>19</v>
      </c>
      <c r="D211" t="s">
        <v>19</v>
      </c>
      <c r="E211" s="2">
        <v>46091</v>
      </c>
      <c r="F211" s="2">
        <v>46090</v>
      </c>
      <c r="G211" t="s">
        <v>117</v>
      </c>
      <c r="H211">
        <v>420878050</v>
      </c>
      <c r="I211">
        <v>407308650</v>
      </c>
      <c r="J211">
        <v>6500000</v>
      </c>
      <c r="K211">
        <v>20075000</v>
      </c>
      <c r="L211">
        <v>5600</v>
      </c>
      <c r="M211">
        <f>I211-(H211+J211-K211)- L211</f>
        <v>0</v>
      </c>
      <c r="N211" t="str">
        <f>IF(M211=0,"Cuadrado",IF(M211&gt;0,"Faltante","Sobrante"))</f>
        <v>Cuadrado</v>
      </c>
      <c r="O211" t="s">
        <v>386</v>
      </c>
      <c r="P211">
        <v>1095930956</v>
      </c>
    </row>
    <row r="212" spans="1:16" hidden="1" x14ac:dyDescent="0.35">
      <c r="A212">
        <v>291</v>
      </c>
      <c r="B212">
        <v>5114</v>
      </c>
      <c r="C212" t="s">
        <v>19</v>
      </c>
      <c r="D212" t="s">
        <v>19</v>
      </c>
      <c r="E212" s="2">
        <v>46086</v>
      </c>
      <c r="F212" s="2">
        <v>46085</v>
      </c>
      <c r="G212" t="s">
        <v>345</v>
      </c>
      <c r="H212">
        <v>269360100</v>
      </c>
      <c r="I212">
        <v>267510800</v>
      </c>
      <c r="J212">
        <v>3700000</v>
      </c>
      <c r="K212">
        <v>3989300</v>
      </c>
      <c r="M212">
        <f>I212-(H212+J212-K212)- L212</f>
        <v>-1560000</v>
      </c>
      <c r="N212" t="str">
        <f>IF(M212=0,"Cuadrado",IF(M212&gt;0,"Faltante","Sobrante"))</f>
        <v>Sobrante</v>
      </c>
      <c r="O212" t="s">
        <v>467</v>
      </c>
      <c r="P212">
        <v>1095930956</v>
      </c>
    </row>
    <row r="213" spans="1:16" hidden="1" x14ac:dyDescent="0.35">
      <c r="A213">
        <v>291</v>
      </c>
      <c r="B213">
        <v>5114</v>
      </c>
      <c r="C213" t="s">
        <v>19</v>
      </c>
      <c r="D213" t="s">
        <v>19</v>
      </c>
      <c r="E213" s="2">
        <v>46084</v>
      </c>
      <c r="F213" s="2">
        <v>46080</v>
      </c>
      <c r="G213" t="s">
        <v>141</v>
      </c>
      <c r="H213">
        <v>129953250</v>
      </c>
      <c r="I213">
        <v>145821250</v>
      </c>
      <c r="J213">
        <v>29550000</v>
      </c>
      <c r="K213">
        <v>13682000</v>
      </c>
      <c r="M213">
        <f>I213-(H213+J213-K213)- L213</f>
        <v>0</v>
      </c>
      <c r="N213" t="str">
        <f>IF(M213=0,"Cuadrado",IF(M213&gt;0,"Faltante","Sobrante"))</f>
        <v>Cuadrado</v>
      </c>
      <c r="O213" t="s">
        <v>37</v>
      </c>
      <c r="P213">
        <v>1095930956</v>
      </c>
    </row>
    <row r="214" spans="1:16" hidden="1" x14ac:dyDescent="0.35">
      <c r="A214">
        <v>291</v>
      </c>
      <c r="B214">
        <v>5114</v>
      </c>
      <c r="C214" t="s">
        <v>19</v>
      </c>
      <c r="D214" t="s">
        <v>19</v>
      </c>
      <c r="E214" s="2">
        <v>46084</v>
      </c>
      <c r="F214" s="2">
        <v>46083</v>
      </c>
      <c r="G214" t="s">
        <v>382</v>
      </c>
      <c r="H214">
        <v>201253250</v>
      </c>
      <c r="I214">
        <v>207333250</v>
      </c>
      <c r="J214">
        <v>17450000</v>
      </c>
      <c r="K214">
        <v>11190000</v>
      </c>
      <c r="M214">
        <f>I214-(H214+J214-K214)- L214</f>
        <v>-180000</v>
      </c>
      <c r="N214" t="str">
        <f>IF(M214=0,"Cuadrado",IF(M214&gt;0,"Faltante","Sobrante"))</f>
        <v>Sobrante</v>
      </c>
      <c r="O214" t="s">
        <v>504</v>
      </c>
      <c r="P214">
        <v>1095930956</v>
      </c>
    </row>
    <row r="215" spans="1:16" hidden="1" x14ac:dyDescent="0.35">
      <c r="A215">
        <v>937</v>
      </c>
      <c r="B215">
        <v>5115</v>
      </c>
      <c r="C215" t="s">
        <v>19</v>
      </c>
      <c r="D215" t="s">
        <v>19</v>
      </c>
      <c r="E215" s="2">
        <v>46087</v>
      </c>
      <c r="F215" s="2">
        <v>46086</v>
      </c>
      <c r="G215" t="s">
        <v>100</v>
      </c>
      <c r="H215">
        <v>171168750</v>
      </c>
      <c r="I215">
        <v>170696850</v>
      </c>
      <c r="J215">
        <v>0</v>
      </c>
      <c r="K215">
        <v>473000</v>
      </c>
      <c r="L215">
        <v>1100</v>
      </c>
      <c r="M215">
        <f>I215-(H215+J215-K215)- L215</f>
        <v>0</v>
      </c>
      <c r="N215" t="str">
        <f>IF(M215=0,"Cuadrado",IF(M215&gt;0,"Faltante","Sobrante"))</f>
        <v>Cuadrado</v>
      </c>
      <c r="O215" t="s">
        <v>433</v>
      </c>
      <c r="P215">
        <v>1061702364</v>
      </c>
    </row>
    <row r="216" spans="1:16" hidden="1" x14ac:dyDescent="0.35">
      <c r="A216">
        <v>937</v>
      </c>
      <c r="B216">
        <v>5115</v>
      </c>
      <c r="C216" t="s">
        <v>19</v>
      </c>
      <c r="D216" t="s">
        <v>16</v>
      </c>
      <c r="E216" s="2">
        <v>46085</v>
      </c>
      <c r="F216" s="2">
        <v>46084</v>
      </c>
      <c r="G216" t="s">
        <v>501</v>
      </c>
      <c r="H216">
        <v>108987600</v>
      </c>
      <c r="I216">
        <v>109516500</v>
      </c>
      <c r="J216">
        <v>2310000</v>
      </c>
      <c r="K216">
        <v>1750000</v>
      </c>
      <c r="M216">
        <f>I216-(H216+J216-K216)- L216</f>
        <v>-31100</v>
      </c>
      <c r="N216" t="str">
        <f>IF(M216=0,"Cuadrado",IF(M216&gt;0,"Faltante","Sobrante"))</f>
        <v>Sobrante</v>
      </c>
      <c r="O216" t="s">
        <v>489</v>
      </c>
      <c r="P216">
        <v>1061702364</v>
      </c>
    </row>
    <row r="217" spans="1:16" hidden="1" x14ac:dyDescent="0.35">
      <c r="A217">
        <v>292</v>
      </c>
      <c r="B217">
        <v>5116</v>
      </c>
      <c r="C217" t="s">
        <v>19</v>
      </c>
      <c r="D217" t="s">
        <v>19</v>
      </c>
      <c r="E217" s="2">
        <v>46099</v>
      </c>
      <c r="F217" s="2">
        <v>46098</v>
      </c>
      <c r="G217" t="s">
        <v>198</v>
      </c>
      <c r="H217">
        <v>133941700</v>
      </c>
      <c r="I217">
        <v>117836700</v>
      </c>
      <c r="J217">
        <v>14450000</v>
      </c>
      <c r="K217">
        <v>30555000</v>
      </c>
      <c r="M217">
        <f>I217-(H217+J217-K217)- L217</f>
        <v>0</v>
      </c>
      <c r="N217" t="str">
        <f>IF(M217=0,"Cuadrado",IF(M217&gt;0,"Faltante","Sobrante"))</f>
        <v>Cuadrado</v>
      </c>
      <c r="O217" t="s">
        <v>37</v>
      </c>
    </row>
    <row r="218" spans="1:16" hidden="1" x14ac:dyDescent="0.35">
      <c r="A218">
        <v>292</v>
      </c>
      <c r="B218">
        <v>5116</v>
      </c>
      <c r="C218" t="s">
        <v>19</v>
      </c>
      <c r="D218" t="s">
        <v>19</v>
      </c>
      <c r="E218" s="2">
        <v>46087</v>
      </c>
      <c r="F218" s="2">
        <v>46086</v>
      </c>
      <c r="G218" t="s">
        <v>354</v>
      </c>
      <c r="H218">
        <v>198569250</v>
      </c>
      <c r="I218">
        <v>207441850</v>
      </c>
      <c r="J218">
        <v>15890000</v>
      </c>
      <c r="K218">
        <v>12444000</v>
      </c>
      <c r="L218">
        <v>5426600</v>
      </c>
      <c r="M218">
        <f>I218-(H218+J218-K218)- L218</f>
        <v>0</v>
      </c>
      <c r="N218" t="str">
        <f>IF(M218=0,"Cuadrado",IF(M218&gt;0,"Faltante","Sobrante"))</f>
        <v>Cuadrado</v>
      </c>
      <c r="O218" t="s">
        <v>434</v>
      </c>
      <c r="P218">
        <v>44006127</v>
      </c>
    </row>
    <row r="219" spans="1:16" x14ac:dyDescent="0.35">
      <c r="A219">
        <v>292</v>
      </c>
      <c r="B219">
        <v>5116</v>
      </c>
      <c r="C219" t="s">
        <v>19</v>
      </c>
      <c r="D219" t="s">
        <v>19</v>
      </c>
      <c r="E219" s="2">
        <v>46106</v>
      </c>
      <c r="F219" s="2">
        <v>46105</v>
      </c>
      <c r="G219" t="s">
        <v>64</v>
      </c>
      <c r="H219">
        <v>249051300</v>
      </c>
      <c r="I219">
        <v>249023650</v>
      </c>
      <c r="J219">
        <v>0</v>
      </c>
      <c r="K219">
        <v>0</v>
      </c>
      <c r="L219">
        <f>0</f>
        <v>0</v>
      </c>
      <c r="M219">
        <f>I219-(H219+J219-K219)- L219</f>
        <v>-27650</v>
      </c>
      <c r="N219" t="str">
        <f>IF(M219=0,"Cuadrado",IF(M219&gt;0,"Faltante","Sobrante"))</f>
        <v>Sobrante</v>
      </c>
      <c r="O219" t="s">
        <v>515</v>
      </c>
      <c r="P219">
        <v>15490871</v>
      </c>
    </row>
    <row r="220" spans="1:16" hidden="1" x14ac:dyDescent="0.35">
      <c r="A220">
        <v>789</v>
      </c>
      <c r="B220">
        <v>5118</v>
      </c>
      <c r="C220" t="s">
        <v>19</v>
      </c>
      <c r="D220" t="s">
        <v>19</v>
      </c>
      <c r="E220" s="2">
        <v>46097</v>
      </c>
      <c r="F220" s="2">
        <v>46094</v>
      </c>
      <c r="G220" t="s">
        <v>50</v>
      </c>
      <c r="H220">
        <v>268698800</v>
      </c>
      <c r="I220">
        <v>141932800</v>
      </c>
      <c r="J220">
        <v>25990000</v>
      </c>
      <c r="K220">
        <v>142716000</v>
      </c>
      <c r="M220">
        <f>I220-(H220+J220-K220)- L220</f>
        <v>-10040000</v>
      </c>
      <c r="N220" t="str">
        <f>IF(M220=0,"Cuadrado",IF(M220&gt;0,"Faltante","Sobrante"))</f>
        <v>Sobrante</v>
      </c>
      <c r="P220">
        <v>1102835683</v>
      </c>
    </row>
    <row r="221" spans="1:16" hidden="1" x14ac:dyDescent="0.35">
      <c r="A221">
        <v>789</v>
      </c>
      <c r="B221">
        <v>5118</v>
      </c>
      <c r="C221" t="s">
        <v>19</v>
      </c>
      <c r="D221" t="s">
        <v>19</v>
      </c>
      <c r="E221" s="2">
        <v>46092</v>
      </c>
      <c r="F221" s="2">
        <v>46091</v>
      </c>
      <c r="G221" t="s">
        <v>361</v>
      </c>
      <c r="H221">
        <v>47322000</v>
      </c>
      <c r="I221">
        <v>239926000</v>
      </c>
      <c r="J221">
        <v>4220000</v>
      </c>
      <c r="K221">
        <v>35089000</v>
      </c>
      <c r="L221" t="s">
        <v>362</v>
      </c>
      <c r="M221" t="e">
        <f>I221-(H221+J221-K221)- L221</f>
        <v>#VALUE!</v>
      </c>
      <c r="N221" t="e">
        <f>IF(M221=0,"Cuadrado",IF(M221&gt;0,"Faltante","Sobrante"))</f>
        <v>#VALUE!</v>
      </c>
      <c r="O221" t="s">
        <v>357</v>
      </c>
      <c r="P221">
        <v>1102835683</v>
      </c>
    </row>
    <row r="222" spans="1:16" hidden="1" x14ac:dyDescent="0.35">
      <c r="A222">
        <v>511</v>
      </c>
      <c r="B222">
        <v>5122</v>
      </c>
      <c r="C222" t="s">
        <v>19</v>
      </c>
      <c r="D222" t="s">
        <v>19</v>
      </c>
      <c r="E222" s="2">
        <v>46097</v>
      </c>
      <c r="F222" s="2">
        <v>46094</v>
      </c>
      <c r="G222" t="s">
        <v>127</v>
      </c>
      <c r="H222">
        <v>283207050</v>
      </c>
      <c r="I222">
        <v>284982050</v>
      </c>
      <c r="J222">
        <v>9670000</v>
      </c>
      <c r="K222">
        <v>7895000</v>
      </c>
      <c r="M222">
        <f>I222-(H222+J222-K222)- L222</f>
        <v>0</v>
      </c>
      <c r="N222" t="str">
        <f>IF(M222=0,"Cuadrado",IF(M222&gt;0,"Faltante","Sobrante"))</f>
        <v>Cuadrado</v>
      </c>
      <c r="O222" t="s">
        <v>37</v>
      </c>
      <c r="P222">
        <v>1152438348</v>
      </c>
    </row>
    <row r="223" spans="1:16" hidden="1" x14ac:dyDescent="0.35">
      <c r="A223">
        <v>511</v>
      </c>
      <c r="B223">
        <v>5122</v>
      </c>
      <c r="C223" t="s">
        <v>19</v>
      </c>
      <c r="D223" t="s">
        <v>19</v>
      </c>
      <c r="E223" s="2">
        <v>46092</v>
      </c>
      <c r="F223" s="2">
        <v>46091</v>
      </c>
      <c r="G223" t="s">
        <v>379</v>
      </c>
      <c r="H223">
        <v>281279000</v>
      </c>
      <c r="I223">
        <v>281279000</v>
      </c>
      <c r="J223">
        <v>0</v>
      </c>
      <c r="K223">
        <v>0</v>
      </c>
      <c r="M223">
        <f>I223-(H223+J223-K223)- L223</f>
        <v>0</v>
      </c>
      <c r="N223" t="str">
        <f>IF(M223=0,"Cuadrado",IF(M223&gt;0,"Faltante","Sobrante"))</f>
        <v>Cuadrado</v>
      </c>
      <c r="O223" t="s">
        <v>37</v>
      </c>
      <c r="P223">
        <v>1152438348</v>
      </c>
    </row>
    <row r="224" spans="1:16" hidden="1" x14ac:dyDescent="0.35">
      <c r="A224">
        <v>511</v>
      </c>
      <c r="B224">
        <v>5122</v>
      </c>
      <c r="C224" t="s">
        <v>19</v>
      </c>
      <c r="D224" t="s">
        <v>19</v>
      </c>
      <c r="E224" s="2">
        <v>46090</v>
      </c>
      <c r="F224" s="2">
        <v>46087</v>
      </c>
      <c r="G224" t="s">
        <v>408</v>
      </c>
      <c r="H224">
        <v>213679800</v>
      </c>
      <c r="I224">
        <v>151493550</v>
      </c>
      <c r="J224">
        <v>22830000</v>
      </c>
      <c r="K224">
        <v>85016200</v>
      </c>
      <c r="M224">
        <f>I224-(H224+J224-K224)- L224</f>
        <v>-50</v>
      </c>
      <c r="N224" t="str">
        <f>IF(M224=0,"Cuadrado",IF(M224&gt;0,"Faltante","Sobrante"))</f>
        <v>Sobrante</v>
      </c>
      <c r="O224" t="s">
        <v>406</v>
      </c>
      <c r="P224">
        <v>1152438348</v>
      </c>
    </row>
    <row r="225" spans="1:16" hidden="1" x14ac:dyDescent="0.35">
      <c r="A225">
        <v>511</v>
      </c>
      <c r="B225">
        <v>5122</v>
      </c>
      <c r="C225" t="s">
        <v>19</v>
      </c>
      <c r="D225" t="s">
        <v>19</v>
      </c>
      <c r="E225" s="2">
        <v>46087</v>
      </c>
      <c r="F225" s="2">
        <v>46086</v>
      </c>
      <c r="G225" t="s">
        <v>435</v>
      </c>
      <c r="H225">
        <v>161839300</v>
      </c>
      <c r="I225">
        <v>202510250</v>
      </c>
      <c r="J225">
        <v>19110000</v>
      </c>
      <c r="K225">
        <v>18439000</v>
      </c>
      <c r="M225">
        <f>I225-(H225+J225-K225)- L225</f>
        <v>39999950</v>
      </c>
      <c r="N225" t="str">
        <f>IF(M225=0,"Cuadrado",IF(M225&gt;0,"Faltante","Sobrante"))</f>
        <v>Faltante</v>
      </c>
      <c r="O225" t="s">
        <v>260</v>
      </c>
      <c r="P225">
        <v>1037597003</v>
      </c>
    </row>
    <row r="226" spans="1:16" hidden="1" x14ac:dyDescent="0.35">
      <c r="A226">
        <v>76</v>
      </c>
      <c r="B226">
        <v>5126</v>
      </c>
      <c r="C226" t="s">
        <v>19</v>
      </c>
      <c r="D226" t="s">
        <v>19</v>
      </c>
      <c r="E226" s="2">
        <v>46094</v>
      </c>
      <c r="F226" s="2">
        <v>46093</v>
      </c>
      <c r="G226" t="s">
        <v>261</v>
      </c>
      <c r="H226">
        <v>98635700</v>
      </c>
      <c r="I226">
        <v>106975700</v>
      </c>
      <c r="J226">
        <v>24850000</v>
      </c>
      <c r="K226">
        <v>16853000</v>
      </c>
      <c r="L226">
        <v>343000</v>
      </c>
      <c r="M226">
        <f>I226-(H226+J226-K226)- L226</f>
        <v>0</v>
      </c>
      <c r="N226" t="str">
        <f>IF(M226=0,"Cuadrado",IF(M226&gt;0,"Faltante","Sobrante"))</f>
        <v>Cuadrado</v>
      </c>
      <c r="O226" t="s">
        <v>37</v>
      </c>
      <c r="P226">
        <v>7688705</v>
      </c>
    </row>
    <row r="227" spans="1:16" hidden="1" x14ac:dyDescent="0.35">
      <c r="A227">
        <v>76</v>
      </c>
      <c r="B227">
        <v>5126</v>
      </c>
      <c r="C227" t="s">
        <v>19</v>
      </c>
      <c r="D227" t="s">
        <v>19</v>
      </c>
      <c r="E227" s="2">
        <v>46091</v>
      </c>
      <c r="F227" s="2">
        <v>46090</v>
      </c>
      <c r="G227" t="s">
        <v>263</v>
      </c>
      <c r="H227">
        <v>163419000</v>
      </c>
      <c r="I227">
        <v>195474000</v>
      </c>
      <c r="J227">
        <v>47250000</v>
      </c>
      <c r="K227">
        <v>97632000</v>
      </c>
      <c r="L227">
        <v>82437000</v>
      </c>
      <c r="M227">
        <f>I227-(H227+J227-K227)- L227</f>
        <v>0</v>
      </c>
      <c r="N227" t="str">
        <f>IF(M227=0,"Cuadrado",IF(M227&gt;0,"Faltante","Sobrante"))</f>
        <v>Cuadrado</v>
      </c>
      <c r="O227" t="s">
        <v>37</v>
      </c>
      <c r="P227">
        <v>1075274187</v>
      </c>
    </row>
    <row r="228" spans="1:16" hidden="1" x14ac:dyDescent="0.35">
      <c r="A228">
        <v>101</v>
      </c>
      <c r="B228">
        <v>5128</v>
      </c>
      <c r="C228" t="s">
        <v>19</v>
      </c>
      <c r="D228" t="s">
        <v>19</v>
      </c>
      <c r="E228" s="2">
        <v>46090</v>
      </c>
      <c r="F228" s="2">
        <v>46087</v>
      </c>
      <c r="G228" t="s">
        <v>257</v>
      </c>
      <c r="H228">
        <v>269904400</v>
      </c>
      <c r="I228">
        <v>173597900</v>
      </c>
      <c r="J228">
        <v>17440000</v>
      </c>
      <c r="K228">
        <v>108350000</v>
      </c>
      <c r="M228">
        <f>I228-(H228+J228-K228)- L228</f>
        <v>-5396500</v>
      </c>
      <c r="N228" t="str">
        <f>IF(M228=0,"Cuadrado",IF(M228&gt;0,"Faltante","Sobrante"))</f>
        <v>Sobrante</v>
      </c>
      <c r="O228" t="s">
        <v>406</v>
      </c>
      <c r="P228">
        <v>1033724729</v>
      </c>
    </row>
    <row r="229" spans="1:16" x14ac:dyDescent="0.35">
      <c r="A229">
        <v>101</v>
      </c>
      <c r="B229">
        <v>5128</v>
      </c>
      <c r="C229" t="s">
        <v>19</v>
      </c>
      <c r="D229" t="s">
        <v>19</v>
      </c>
      <c r="E229" s="2">
        <v>46106</v>
      </c>
      <c r="F229" s="2">
        <v>46105</v>
      </c>
      <c r="G229" t="s">
        <v>254</v>
      </c>
      <c r="H229">
        <v>106442550</v>
      </c>
      <c r="I229">
        <v>357532550</v>
      </c>
      <c r="J229">
        <v>13400000</v>
      </c>
      <c r="K229">
        <v>103723000</v>
      </c>
      <c r="L229">
        <f>343033000</f>
        <v>343033000</v>
      </c>
      <c r="M229">
        <f>I229-(H229+J229-K229)- L229</f>
        <v>-1620000</v>
      </c>
      <c r="N229" t="str">
        <f>IF(M229=0,"Cuadrado",IF(M229&gt;0,"Faltante","Sobrante"))</f>
        <v>Sobrante</v>
      </c>
      <c r="O229" t="s">
        <v>515</v>
      </c>
      <c r="P229">
        <v>1033724729</v>
      </c>
    </row>
    <row r="230" spans="1:16" hidden="1" x14ac:dyDescent="0.35">
      <c r="A230">
        <v>244</v>
      </c>
      <c r="B230">
        <v>5129</v>
      </c>
      <c r="C230" t="s">
        <v>19</v>
      </c>
      <c r="D230" t="s">
        <v>19</v>
      </c>
      <c r="E230" s="2">
        <v>46100</v>
      </c>
      <c r="F230" s="2">
        <v>46099</v>
      </c>
      <c r="G230" t="s">
        <v>112</v>
      </c>
      <c r="H230">
        <v>301292350</v>
      </c>
      <c r="I230">
        <v>295077400</v>
      </c>
      <c r="J230">
        <v>7140000</v>
      </c>
      <c r="K230">
        <v>13850000</v>
      </c>
      <c r="L230">
        <v>495050</v>
      </c>
      <c r="M230">
        <f>I230-(H230+J230-K230)- L230</f>
        <v>0</v>
      </c>
      <c r="N230" t="str">
        <f>IF(M230=0,"Cuadrado",IF(M230&gt;0,"Faltante","Sobrante"))</f>
        <v>Cuadrado</v>
      </c>
      <c r="O230" t="s">
        <v>113</v>
      </c>
      <c r="P230">
        <v>52525769</v>
      </c>
    </row>
    <row r="231" spans="1:16" hidden="1" x14ac:dyDescent="0.35">
      <c r="A231">
        <v>366</v>
      </c>
      <c r="B231">
        <v>5132</v>
      </c>
      <c r="C231" t="s">
        <v>19</v>
      </c>
      <c r="D231" t="s">
        <v>19</v>
      </c>
      <c r="E231" s="2">
        <v>46087</v>
      </c>
      <c r="F231" s="2">
        <v>46086</v>
      </c>
      <c r="G231" t="s">
        <v>66</v>
      </c>
      <c r="H231">
        <v>281513100</v>
      </c>
      <c r="I231">
        <v>264048100</v>
      </c>
      <c r="J231">
        <v>32420000</v>
      </c>
      <c r="K231">
        <v>46374000</v>
      </c>
      <c r="M231">
        <f>I231-(H231+J231-K231)- L231</f>
        <v>-3511000</v>
      </c>
      <c r="N231" t="str">
        <f>IF(M231=0,"Cuadrado",IF(M231&gt;0,"Faltante","Sobrante"))</f>
        <v>Sobrante</v>
      </c>
      <c r="O231" t="s">
        <v>423</v>
      </c>
      <c r="P231">
        <v>1035426009</v>
      </c>
    </row>
    <row r="232" spans="1:16" hidden="1" x14ac:dyDescent="0.35">
      <c r="A232">
        <v>68</v>
      </c>
      <c r="B232">
        <v>5135</v>
      </c>
      <c r="C232" t="s">
        <v>19</v>
      </c>
      <c r="D232" t="s">
        <v>19</v>
      </c>
      <c r="E232" s="2">
        <v>46101</v>
      </c>
      <c r="F232" s="2">
        <v>46100</v>
      </c>
      <c r="G232" t="s">
        <v>56</v>
      </c>
      <c r="H232">
        <v>459649750</v>
      </c>
      <c r="I232">
        <v>365793050</v>
      </c>
      <c r="J232">
        <v>15040000</v>
      </c>
      <c r="K232">
        <v>97857950</v>
      </c>
      <c r="M232">
        <f>I232-(H232+J232-K232)- L232</f>
        <v>-11038750</v>
      </c>
      <c r="N232" t="str">
        <f>IF(M232=0,"Cuadrado",IF(M232&gt;0,"Faltante","Sobrante"))</f>
        <v>Sobrante</v>
      </c>
      <c r="O232" t="s">
        <v>39</v>
      </c>
      <c r="P232">
        <v>38363386</v>
      </c>
    </row>
    <row r="233" spans="1:16" hidden="1" x14ac:dyDescent="0.35">
      <c r="A233">
        <v>318</v>
      </c>
      <c r="B233">
        <v>5136</v>
      </c>
      <c r="C233" t="s">
        <v>19</v>
      </c>
      <c r="D233" t="s">
        <v>19</v>
      </c>
      <c r="E233" s="2">
        <v>46093</v>
      </c>
      <c r="F233" s="2">
        <v>46092</v>
      </c>
      <c r="G233" t="s">
        <v>102</v>
      </c>
      <c r="H233">
        <v>394667050</v>
      </c>
      <c r="I233">
        <v>310297050</v>
      </c>
      <c r="J233">
        <v>2880000</v>
      </c>
      <c r="K233">
        <v>87250000</v>
      </c>
      <c r="M233">
        <f>I233-(H233+J233-K233)- L233</f>
        <v>0</v>
      </c>
      <c r="N233" t="str">
        <f>IF(M233=0,"Cuadrado",IF(M233&gt;0,"Faltante","Sobrante"))</f>
        <v>Cuadrado</v>
      </c>
      <c r="O233" t="s">
        <v>37</v>
      </c>
      <c r="P233">
        <v>1065862494</v>
      </c>
    </row>
    <row r="234" spans="1:16" hidden="1" x14ac:dyDescent="0.35">
      <c r="A234">
        <v>318</v>
      </c>
      <c r="B234">
        <v>5136</v>
      </c>
      <c r="C234" t="s">
        <v>19</v>
      </c>
      <c r="D234" t="s">
        <v>16</v>
      </c>
      <c r="E234" s="2">
        <v>46084</v>
      </c>
      <c r="F234" s="2">
        <v>46083</v>
      </c>
      <c r="G234" t="s">
        <v>508</v>
      </c>
      <c r="H234">
        <v>107378550</v>
      </c>
      <c r="I234">
        <v>98473550</v>
      </c>
      <c r="J234">
        <v>2870000</v>
      </c>
      <c r="K234">
        <v>11300000</v>
      </c>
      <c r="M234">
        <f>I234-(H234+J234-K234)- L234</f>
        <v>-475000</v>
      </c>
      <c r="N234" t="str">
        <f>IF(M234=0,"Cuadrado",IF(M234&gt;0,"Faltante","Sobrante"))</f>
        <v>Sobrante</v>
      </c>
      <c r="O234" t="s">
        <v>504</v>
      </c>
      <c r="P234">
        <v>1065862494</v>
      </c>
    </row>
    <row r="235" spans="1:16" hidden="1" x14ac:dyDescent="0.35">
      <c r="A235">
        <v>829</v>
      </c>
      <c r="B235">
        <v>5137</v>
      </c>
      <c r="C235" t="s">
        <v>19</v>
      </c>
      <c r="D235" t="s">
        <v>19</v>
      </c>
      <c r="E235" s="2">
        <v>46099</v>
      </c>
      <c r="F235" s="2">
        <v>46098</v>
      </c>
      <c r="G235" t="s">
        <v>168</v>
      </c>
      <c r="H235">
        <v>264842300</v>
      </c>
      <c r="I235">
        <v>261322300</v>
      </c>
      <c r="J235">
        <v>590000</v>
      </c>
      <c r="K235">
        <v>4100000</v>
      </c>
      <c r="M235">
        <f>I235-(H235+J235-K235)- L235</f>
        <v>-10000</v>
      </c>
      <c r="N235" t="str">
        <f>IF(M235=0,"Cuadrado",IF(M235&gt;0,"Faltante","Sobrante"))</f>
        <v>Sobrante</v>
      </c>
      <c r="O235" t="s">
        <v>156</v>
      </c>
    </row>
    <row r="236" spans="1:16" hidden="1" x14ac:dyDescent="0.35">
      <c r="A236">
        <v>829</v>
      </c>
      <c r="B236">
        <v>5137</v>
      </c>
      <c r="C236" t="s">
        <v>19</v>
      </c>
      <c r="D236" t="s">
        <v>19</v>
      </c>
      <c r="E236" s="2">
        <v>46094</v>
      </c>
      <c r="F236" s="2">
        <v>46093</v>
      </c>
      <c r="G236" t="s">
        <v>168</v>
      </c>
      <c r="H236">
        <v>167145500</v>
      </c>
      <c r="I236">
        <v>139165000</v>
      </c>
      <c r="J236">
        <v>1290000</v>
      </c>
      <c r="K236">
        <v>17770000</v>
      </c>
      <c r="L236">
        <v>-3910500</v>
      </c>
      <c r="M236">
        <f>I236-(H236+J236-K236)- L236</f>
        <v>-7590000</v>
      </c>
      <c r="N236" t="str">
        <f>IF(M236=0,"Cuadrado",IF(M236&gt;0,"Faltante","Sobrante"))</f>
        <v>Sobrante</v>
      </c>
      <c r="O236" t="s">
        <v>245</v>
      </c>
      <c r="P236">
        <v>31306454</v>
      </c>
    </row>
    <row r="237" spans="1:16" hidden="1" x14ac:dyDescent="0.35">
      <c r="A237">
        <v>829</v>
      </c>
      <c r="B237">
        <v>5137</v>
      </c>
      <c r="C237" t="s">
        <v>19</v>
      </c>
      <c r="D237" t="s">
        <v>19</v>
      </c>
      <c r="E237" s="2">
        <v>46090</v>
      </c>
      <c r="F237" s="2">
        <v>46087</v>
      </c>
      <c r="G237" t="s">
        <v>298</v>
      </c>
      <c r="H237">
        <v>277574300</v>
      </c>
      <c r="I237">
        <v>229823300</v>
      </c>
      <c r="J237">
        <v>4670000</v>
      </c>
      <c r="K237">
        <v>44900000</v>
      </c>
      <c r="M237">
        <f>I237-(H237+J237-K237)- L237</f>
        <v>-7521000</v>
      </c>
      <c r="N237" t="str">
        <f>IF(M237=0,"Cuadrado",IF(M237&gt;0,"Faltante","Sobrante"))</f>
        <v>Sobrante</v>
      </c>
      <c r="O237" t="s">
        <v>406</v>
      </c>
      <c r="P237">
        <v>31306454</v>
      </c>
    </row>
    <row r="238" spans="1:16" hidden="1" x14ac:dyDescent="0.35">
      <c r="A238">
        <v>300</v>
      </c>
      <c r="B238">
        <v>5139</v>
      </c>
      <c r="C238" t="s">
        <v>19</v>
      </c>
      <c r="D238" t="s">
        <v>19</v>
      </c>
      <c r="E238" s="2">
        <v>46100</v>
      </c>
      <c r="F238" s="2">
        <v>46099</v>
      </c>
      <c r="G238" t="s">
        <v>114</v>
      </c>
      <c r="H238">
        <v>184683800</v>
      </c>
      <c r="I238">
        <v>187004800</v>
      </c>
      <c r="J238">
        <v>10920000</v>
      </c>
      <c r="K238">
        <v>7629000</v>
      </c>
      <c r="M238">
        <f>I238-(H238+J238-K238)- L238</f>
        <v>-970000</v>
      </c>
      <c r="N238" t="str">
        <f>IF(M238=0,"Cuadrado",IF(M238&gt;0,"Faltante","Sobrante"))</f>
        <v>Sobrante</v>
      </c>
      <c r="O238" t="s">
        <v>95</v>
      </c>
      <c r="P238">
        <v>53097567</v>
      </c>
    </row>
    <row r="239" spans="1:16" hidden="1" x14ac:dyDescent="0.35">
      <c r="A239">
        <v>300</v>
      </c>
      <c r="B239">
        <v>5139</v>
      </c>
      <c r="C239" t="s">
        <v>19</v>
      </c>
      <c r="D239" t="s">
        <v>19</v>
      </c>
      <c r="E239" s="2">
        <v>46097</v>
      </c>
      <c r="F239" s="2">
        <v>46094</v>
      </c>
      <c r="G239" t="s">
        <v>240</v>
      </c>
      <c r="H239">
        <v>281699650</v>
      </c>
      <c r="I239">
        <v>268433650</v>
      </c>
      <c r="J239">
        <v>15500000</v>
      </c>
      <c r="K239">
        <v>28766000</v>
      </c>
      <c r="M239">
        <f>I239-(H239+J239-K239)- L239</f>
        <v>0</v>
      </c>
      <c r="N239" t="str">
        <f>IF(M239=0,"Cuadrado",IF(M239&gt;0,"Faltante","Sobrante"))</f>
        <v>Cuadrado</v>
      </c>
      <c r="O239" t="s">
        <v>37</v>
      </c>
      <c r="P239">
        <v>53097567</v>
      </c>
    </row>
    <row r="240" spans="1:16" hidden="1" x14ac:dyDescent="0.35">
      <c r="A240">
        <v>300</v>
      </c>
      <c r="B240">
        <v>5139</v>
      </c>
      <c r="C240" t="s">
        <v>19</v>
      </c>
      <c r="D240" t="s">
        <v>19</v>
      </c>
      <c r="E240" s="2">
        <v>46092</v>
      </c>
      <c r="F240" s="2">
        <v>46091</v>
      </c>
      <c r="G240" t="s">
        <v>106</v>
      </c>
      <c r="H240">
        <v>152779650</v>
      </c>
      <c r="I240">
        <v>140756650</v>
      </c>
      <c r="J240">
        <v>25720000</v>
      </c>
      <c r="K240">
        <v>37743000</v>
      </c>
      <c r="M240">
        <f>I240-(H240+J240-K240)- L240</f>
        <v>0</v>
      </c>
      <c r="N240" t="str">
        <f>IF(M240=0,"Cuadrado",IF(M240&gt;0,"Faltante","Sobrante"))</f>
        <v>Cuadrado</v>
      </c>
      <c r="O240" t="s">
        <v>37</v>
      </c>
      <c r="P240">
        <v>53097567</v>
      </c>
    </row>
    <row r="241" spans="1:16" hidden="1" x14ac:dyDescent="0.35">
      <c r="A241">
        <v>300</v>
      </c>
      <c r="B241">
        <v>5139</v>
      </c>
      <c r="C241" t="s">
        <v>19</v>
      </c>
      <c r="D241" t="s">
        <v>19</v>
      </c>
      <c r="E241" s="2">
        <v>46090</v>
      </c>
      <c r="F241" s="2">
        <v>46087</v>
      </c>
      <c r="G241" t="s">
        <v>256</v>
      </c>
      <c r="H241">
        <v>386433750</v>
      </c>
      <c r="I241">
        <v>370535200</v>
      </c>
      <c r="J241">
        <v>10440000</v>
      </c>
      <c r="K241">
        <v>26338550</v>
      </c>
      <c r="M241">
        <f>I241-(H241+J241-K241)- L241</f>
        <v>0</v>
      </c>
      <c r="N241" t="str">
        <f>IF(M241=0,"Cuadrado",IF(M241&gt;0,"Faltante","Sobrante"))</f>
        <v>Cuadrado</v>
      </c>
      <c r="O241" t="s">
        <v>37</v>
      </c>
      <c r="P241">
        <v>53097567</v>
      </c>
    </row>
    <row r="242" spans="1:16" hidden="1" x14ac:dyDescent="0.35">
      <c r="A242">
        <v>53</v>
      </c>
      <c r="B242">
        <v>5141</v>
      </c>
      <c r="C242" t="s">
        <v>19</v>
      </c>
      <c r="D242" t="s">
        <v>19</v>
      </c>
      <c r="E242" s="2">
        <v>46100</v>
      </c>
      <c r="F242" s="2">
        <v>46099</v>
      </c>
      <c r="G242" t="s">
        <v>115</v>
      </c>
      <c r="H242">
        <v>295378000</v>
      </c>
      <c r="I242">
        <v>288627700</v>
      </c>
      <c r="J242">
        <v>4850000</v>
      </c>
      <c r="K242">
        <v>1900000</v>
      </c>
      <c r="M242">
        <f>I242-(H242+J242-K242)- L242</f>
        <v>-9700300</v>
      </c>
      <c r="N242" t="str">
        <f>IF(M242=0,"Cuadrado",IF(M242&gt;0,"Faltante","Sobrante"))</f>
        <v>Sobrante</v>
      </c>
      <c r="O242" t="s">
        <v>95</v>
      </c>
      <c r="P242">
        <v>52778719</v>
      </c>
    </row>
    <row r="243" spans="1:16" hidden="1" x14ac:dyDescent="0.35">
      <c r="A243">
        <v>40</v>
      </c>
      <c r="B243">
        <v>5142</v>
      </c>
      <c r="C243" t="s">
        <v>19</v>
      </c>
      <c r="D243" t="s">
        <v>19</v>
      </c>
      <c r="E243" s="2">
        <v>46092</v>
      </c>
      <c r="F243" s="2">
        <v>46091</v>
      </c>
      <c r="G243" t="s">
        <v>151</v>
      </c>
      <c r="H243">
        <v>360066200</v>
      </c>
      <c r="I243">
        <v>372136200</v>
      </c>
      <c r="J243">
        <v>13500000</v>
      </c>
      <c r="K243">
        <v>0</v>
      </c>
      <c r="M243">
        <f>I243-(H243+J243-K243)- L243</f>
        <v>-1430000</v>
      </c>
      <c r="N243" t="str">
        <f>IF(M243=0,"Cuadrado",IF(M243&gt;0,"Faltante","Sobrante"))</f>
        <v>Sobrante</v>
      </c>
      <c r="O243" t="s">
        <v>357</v>
      </c>
      <c r="P243">
        <v>36312040</v>
      </c>
    </row>
    <row r="244" spans="1:16" hidden="1" x14ac:dyDescent="0.35">
      <c r="A244">
        <v>927</v>
      </c>
      <c r="B244">
        <v>5143</v>
      </c>
      <c r="C244" t="s">
        <v>19</v>
      </c>
      <c r="D244" t="s">
        <v>19</v>
      </c>
      <c r="E244" s="2">
        <v>46100</v>
      </c>
      <c r="F244" s="2">
        <v>46099</v>
      </c>
      <c r="G244" t="s">
        <v>116</v>
      </c>
      <c r="H244">
        <v>264458650</v>
      </c>
      <c r="I244">
        <v>232366950</v>
      </c>
      <c r="J244">
        <v>11310000</v>
      </c>
      <c r="K244">
        <v>43365000</v>
      </c>
      <c r="M244">
        <f>I244-(H244+J244-K244)- L244</f>
        <v>-36700</v>
      </c>
      <c r="N244" t="str">
        <f>IF(M244=0,"Cuadrado",IF(M244&gt;0,"Faltante","Sobrante"))</f>
        <v>Sobrante</v>
      </c>
      <c r="O244" t="s">
        <v>95</v>
      </c>
      <c r="P244">
        <v>1124849676</v>
      </c>
    </row>
    <row r="245" spans="1:16" hidden="1" x14ac:dyDescent="0.35">
      <c r="A245">
        <v>927</v>
      </c>
      <c r="B245">
        <v>5143</v>
      </c>
      <c r="C245" t="s">
        <v>19</v>
      </c>
      <c r="D245" t="s">
        <v>19</v>
      </c>
      <c r="E245" s="2">
        <v>46085</v>
      </c>
      <c r="F245" s="2">
        <v>46084</v>
      </c>
      <c r="G245" t="s">
        <v>500</v>
      </c>
      <c r="H245">
        <v>235905950</v>
      </c>
      <c r="I245">
        <v>118917350</v>
      </c>
      <c r="J245">
        <v>53080000</v>
      </c>
      <c r="K245">
        <v>160828000</v>
      </c>
      <c r="M245">
        <f>I245-(H245+J245-K245)- L245</f>
        <v>-9240600</v>
      </c>
      <c r="N245" t="str">
        <f>IF(M245=0,"Cuadrado",IF(M245&gt;0,"Faltante","Sobrante"))</f>
        <v>Sobrante</v>
      </c>
      <c r="O245" t="s">
        <v>489</v>
      </c>
      <c r="P245">
        <v>1124849676</v>
      </c>
    </row>
    <row r="246" spans="1:16" hidden="1" x14ac:dyDescent="0.35">
      <c r="A246">
        <v>812</v>
      </c>
      <c r="B246">
        <v>5144</v>
      </c>
      <c r="C246" t="s">
        <v>19</v>
      </c>
      <c r="D246" t="s">
        <v>19</v>
      </c>
      <c r="E246" s="2">
        <v>46092</v>
      </c>
      <c r="F246" s="2">
        <v>46091</v>
      </c>
      <c r="G246" t="s">
        <v>363</v>
      </c>
      <c r="H246">
        <v>365382300</v>
      </c>
      <c r="I246">
        <v>268682200</v>
      </c>
      <c r="J246">
        <v>15640000</v>
      </c>
      <c r="K246">
        <v>107739600</v>
      </c>
      <c r="M246">
        <f>I246-(H246+J246-K246)- L246</f>
        <v>-4600500</v>
      </c>
      <c r="N246" t="str">
        <f>IF(M246=0,"Cuadrado",IF(M246&gt;0,"Faltante","Sobrante"))</f>
        <v>Sobrante</v>
      </c>
      <c r="O246" t="s">
        <v>357</v>
      </c>
      <c r="P246">
        <v>31711383</v>
      </c>
    </row>
    <row r="247" spans="1:16" hidden="1" x14ac:dyDescent="0.35">
      <c r="A247">
        <v>279</v>
      </c>
      <c r="B247">
        <v>5147</v>
      </c>
      <c r="C247" t="s">
        <v>19</v>
      </c>
      <c r="D247" t="s">
        <v>16</v>
      </c>
      <c r="E247" s="2">
        <v>46099</v>
      </c>
      <c r="F247" s="2">
        <v>46098</v>
      </c>
      <c r="G247" t="s">
        <v>169</v>
      </c>
      <c r="H247">
        <v>164220600</v>
      </c>
      <c r="I247">
        <v>163918600</v>
      </c>
      <c r="J247">
        <v>0</v>
      </c>
      <c r="K247">
        <v>0</v>
      </c>
      <c r="M247">
        <f>I247-(H247+J247-K247)- L247</f>
        <v>-302000</v>
      </c>
      <c r="N247" t="str">
        <f>IF(M247=0,"Cuadrado",IF(M247&gt;0,"Faltante","Sobrante"))</f>
        <v>Sobrante</v>
      </c>
      <c r="O247" t="s">
        <v>156</v>
      </c>
    </row>
    <row r="248" spans="1:16" hidden="1" x14ac:dyDescent="0.35">
      <c r="A248">
        <v>279</v>
      </c>
      <c r="B248">
        <v>5147</v>
      </c>
      <c r="C248" t="s">
        <v>19</v>
      </c>
      <c r="D248" t="s">
        <v>19</v>
      </c>
      <c r="E248" s="2">
        <v>46086</v>
      </c>
      <c r="F248" s="2">
        <v>46084</v>
      </c>
      <c r="G248" t="s">
        <v>475</v>
      </c>
      <c r="H248">
        <v>144642850</v>
      </c>
      <c r="I248">
        <v>108730700</v>
      </c>
      <c r="J248">
        <v>32610000</v>
      </c>
      <c r="K248">
        <v>68305150</v>
      </c>
      <c r="M248">
        <f>I248-(H248+J248-K248)- L248</f>
        <v>-217000</v>
      </c>
      <c r="N248" t="str">
        <f>IF(M248=0,"Cuadrado",IF(M248&gt;0,"Faltante","Sobrante"))</f>
        <v>Sobrante</v>
      </c>
      <c r="O248" t="s">
        <v>467</v>
      </c>
      <c r="P248">
        <v>42826913</v>
      </c>
    </row>
    <row r="249" spans="1:16" hidden="1" x14ac:dyDescent="0.35">
      <c r="A249">
        <v>91</v>
      </c>
      <c r="B249">
        <v>5148</v>
      </c>
      <c r="C249" t="s">
        <v>19</v>
      </c>
      <c r="D249" t="s">
        <v>19</v>
      </c>
      <c r="E249" s="2">
        <v>46093</v>
      </c>
      <c r="F249" s="2">
        <v>46092</v>
      </c>
      <c r="G249" t="s">
        <v>171</v>
      </c>
      <c r="H249">
        <v>474899700</v>
      </c>
      <c r="I249">
        <v>452386550</v>
      </c>
      <c r="J249">
        <v>3360000</v>
      </c>
      <c r="K249">
        <v>15000000</v>
      </c>
      <c r="M249">
        <f>I249-(H249+J249-K249)- L249</f>
        <v>-10873150</v>
      </c>
      <c r="N249" t="str">
        <f>IF(M249=0,"Cuadrado",IF(M249&gt;0,"Faltante","Sobrante"))</f>
        <v>Sobrante</v>
      </c>
      <c r="O249" t="s">
        <v>311</v>
      </c>
      <c r="P249">
        <v>1067844638</v>
      </c>
    </row>
    <row r="250" spans="1:16" hidden="1" x14ac:dyDescent="0.35">
      <c r="A250">
        <v>91</v>
      </c>
      <c r="B250">
        <v>5148</v>
      </c>
      <c r="C250" t="s">
        <v>19</v>
      </c>
      <c r="D250" t="s">
        <v>19</v>
      </c>
      <c r="E250" s="2">
        <v>46086</v>
      </c>
      <c r="F250" s="2">
        <v>46085</v>
      </c>
      <c r="G250" t="s">
        <v>471</v>
      </c>
      <c r="H250">
        <v>254880550</v>
      </c>
      <c r="I250">
        <v>221930400</v>
      </c>
      <c r="J250">
        <v>4180000</v>
      </c>
      <c r="K250">
        <v>26257000</v>
      </c>
      <c r="M250">
        <f>I250-(H250+J250-K250)- L250</f>
        <v>-10873150</v>
      </c>
      <c r="N250" t="str">
        <f>IF(M250=0,"Cuadrado",IF(M250&gt;0,"Faltante","Sobrante"))</f>
        <v>Sobrante</v>
      </c>
      <c r="O250" t="s">
        <v>260</v>
      </c>
      <c r="P250">
        <v>1067844638</v>
      </c>
    </row>
    <row r="251" spans="1:16" hidden="1" x14ac:dyDescent="0.35">
      <c r="A251">
        <v>358</v>
      </c>
      <c r="B251">
        <v>5149</v>
      </c>
      <c r="C251" t="s">
        <v>19</v>
      </c>
      <c r="D251" t="s">
        <v>19</v>
      </c>
      <c r="E251" s="2">
        <v>46105</v>
      </c>
      <c r="F251" s="2">
        <v>46101</v>
      </c>
      <c r="G251" t="s">
        <v>24</v>
      </c>
      <c r="H251">
        <v>302385550</v>
      </c>
      <c r="I251">
        <v>133016250</v>
      </c>
      <c r="J251">
        <v>33500000</v>
      </c>
      <c r="K251">
        <v>195282650</v>
      </c>
      <c r="L251">
        <v>0</v>
      </c>
      <c r="M251">
        <f>I251-(H251+J251-K251)- L251</f>
        <v>-7586650</v>
      </c>
      <c r="N251" t="str">
        <f>IF(M251=0,"Cuadrado",IF(M251&gt;0,"Faltante","Sobrante"))</f>
        <v>Sobrante</v>
      </c>
      <c r="O251" t="s">
        <v>21</v>
      </c>
      <c r="P251">
        <v>46456877</v>
      </c>
    </row>
    <row r="252" spans="1:16" hidden="1" x14ac:dyDescent="0.35">
      <c r="A252">
        <v>358</v>
      </c>
      <c r="B252">
        <v>5149</v>
      </c>
      <c r="C252" t="s">
        <v>19</v>
      </c>
      <c r="D252" t="s">
        <v>19</v>
      </c>
      <c r="E252" s="2">
        <v>46100</v>
      </c>
      <c r="F252" s="2">
        <v>46099</v>
      </c>
      <c r="G252" t="s">
        <v>117</v>
      </c>
      <c r="H252">
        <v>229435600</v>
      </c>
      <c r="I252">
        <v>167748600</v>
      </c>
      <c r="J252">
        <v>15310000</v>
      </c>
      <c r="K252">
        <v>76000000</v>
      </c>
      <c r="L252">
        <v>-992000</v>
      </c>
      <c r="M252">
        <f>I252-(H252+J252-K252)- L252</f>
        <v>-5000</v>
      </c>
      <c r="N252" t="str">
        <f>IF(M252=0,"Cuadrado",IF(M252&gt;0,"Faltante","Sobrante"))</f>
        <v>Sobrante</v>
      </c>
      <c r="O252" t="s">
        <v>95</v>
      </c>
      <c r="P252">
        <v>46456877</v>
      </c>
    </row>
    <row r="253" spans="1:16" hidden="1" x14ac:dyDescent="0.35">
      <c r="A253">
        <v>358</v>
      </c>
      <c r="B253">
        <v>5149</v>
      </c>
      <c r="C253" t="s">
        <v>19</v>
      </c>
      <c r="D253" t="s">
        <v>19</v>
      </c>
      <c r="E253" s="2">
        <v>46099</v>
      </c>
      <c r="F253" s="2">
        <v>46098</v>
      </c>
      <c r="G253" t="s">
        <v>170</v>
      </c>
      <c r="H253">
        <v>369948450</v>
      </c>
      <c r="I253">
        <v>345906450</v>
      </c>
      <c r="J253">
        <v>2100000</v>
      </c>
      <c r="K253">
        <v>25150000</v>
      </c>
      <c r="M253">
        <f>I253-(H253+J253-K253)- L253</f>
        <v>-992000</v>
      </c>
      <c r="N253" t="str">
        <f>IF(M253=0,"Cuadrado",IF(M253&gt;0,"Faltante","Sobrante"))</f>
        <v>Sobrante</v>
      </c>
      <c r="O253" t="s">
        <v>156</v>
      </c>
    </row>
    <row r="254" spans="1:16" hidden="1" x14ac:dyDescent="0.35">
      <c r="A254">
        <v>358</v>
      </c>
      <c r="B254">
        <v>5149</v>
      </c>
      <c r="C254" t="s">
        <v>19</v>
      </c>
      <c r="D254" t="s">
        <v>19</v>
      </c>
      <c r="E254" s="2">
        <v>46092</v>
      </c>
      <c r="F254" s="2">
        <v>46091</v>
      </c>
      <c r="G254" t="s">
        <v>250</v>
      </c>
      <c r="H254">
        <v>215885950</v>
      </c>
      <c r="I254">
        <v>206727800</v>
      </c>
      <c r="J254">
        <v>15100000</v>
      </c>
      <c r="K254">
        <v>19062150</v>
      </c>
      <c r="M254">
        <f>I254-(H254+J254-K254)- L254</f>
        <v>-5196000</v>
      </c>
      <c r="N254" t="str">
        <f>IF(M254=0,"Cuadrado",IF(M254&gt;0,"Faltante","Sobrante"))</f>
        <v>Sobrante</v>
      </c>
      <c r="O254" t="s">
        <v>357</v>
      </c>
      <c r="P254">
        <v>46456877</v>
      </c>
    </row>
    <row r="255" spans="1:16" hidden="1" x14ac:dyDescent="0.35">
      <c r="A255">
        <v>358</v>
      </c>
      <c r="B255">
        <v>5149</v>
      </c>
      <c r="C255" t="s">
        <v>19</v>
      </c>
      <c r="D255" t="s">
        <v>19</v>
      </c>
      <c r="E255" s="2">
        <v>46087</v>
      </c>
      <c r="F255" s="2">
        <v>46086</v>
      </c>
      <c r="G255" t="s">
        <v>436</v>
      </c>
      <c r="H255">
        <v>22620350</v>
      </c>
      <c r="I255">
        <v>22570850</v>
      </c>
      <c r="J255">
        <v>0</v>
      </c>
      <c r="K255">
        <v>0</v>
      </c>
      <c r="M255">
        <f>I255-(H255+J255-K255)- L255</f>
        <v>-49500</v>
      </c>
      <c r="N255" t="str">
        <f>IF(M255=0,"Cuadrado",IF(M255&gt;0,"Faltante","Sobrante"))</f>
        <v>Sobrante</v>
      </c>
      <c r="O255" t="s">
        <v>423</v>
      </c>
      <c r="P255">
        <v>46456877</v>
      </c>
    </row>
    <row r="256" spans="1:16" hidden="1" x14ac:dyDescent="0.35">
      <c r="A256">
        <v>262</v>
      </c>
      <c r="B256">
        <v>5153</v>
      </c>
      <c r="C256" t="s">
        <v>19</v>
      </c>
      <c r="D256" t="s">
        <v>19</v>
      </c>
      <c r="E256" s="2">
        <v>46101</v>
      </c>
      <c r="F256" s="2">
        <v>46100</v>
      </c>
      <c r="G256" t="s">
        <v>57</v>
      </c>
      <c r="H256">
        <v>282090000</v>
      </c>
      <c r="I256">
        <v>280774200</v>
      </c>
      <c r="J256">
        <v>13280000</v>
      </c>
      <c r="K256">
        <v>0</v>
      </c>
      <c r="M256">
        <f>I256-(H256+J256-K256)- L256</f>
        <v>-14595800</v>
      </c>
      <c r="N256" t="str">
        <f>IF(M256=0,"Cuadrado",IF(M256&gt;0,"Faltante","Sobrante"))</f>
        <v>Sobrante</v>
      </c>
      <c r="O256" t="s">
        <v>39</v>
      </c>
      <c r="P256">
        <v>46456340</v>
      </c>
    </row>
    <row r="257" spans="1:16" hidden="1" x14ac:dyDescent="0.35">
      <c r="A257">
        <v>262</v>
      </c>
      <c r="B257">
        <v>5153</v>
      </c>
      <c r="C257" t="s">
        <v>19</v>
      </c>
      <c r="D257" t="s">
        <v>19</v>
      </c>
      <c r="E257" s="2">
        <v>46084</v>
      </c>
      <c r="F257" s="2">
        <v>46083</v>
      </c>
      <c r="G257" t="s">
        <v>142</v>
      </c>
      <c r="H257">
        <v>41691750</v>
      </c>
      <c r="I257">
        <v>75511750</v>
      </c>
      <c r="J257">
        <v>35520000</v>
      </c>
      <c r="K257">
        <v>1700000</v>
      </c>
      <c r="M257">
        <f>I257-(H257+J257-K257)- L257</f>
        <v>0</v>
      </c>
      <c r="N257" t="str">
        <f>IF(M257=0,"Cuadrado",IF(M257&gt;0,"Faltante","Sobrante"))</f>
        <v>Cuadrado</v>
      </c>
      <c r="O257" t="s">
        <v>37</v>
      </c>
      <c r="P257">
        <v>1052378530</v>
      </c>
    </row>
    <row r="258" spans="1:16" hidden="1" x14ac:dyDescent="0.35">
      <c r="A258">
        <v>258</v>
      </c>
      <c r="B258">
        <v>5155</v>
      </c>
      <c r="C258" t="s">
        <v>19</v>
      </c>
      <c r="D258" t="s">
        <v>19</v>
      </c>
      <c r="E258" s="2">
        <v>46094</v>
      </c>
      <c r="F258" s="2">
        <v>46093</v>
      </c>
      <c r="G258" t="s">
        <v>262</v>
      </c>
      <c r="H258">
        <v>219171850</v>
      </c>
      <c r="I258">
        <v>213369650</v>
      </c>
      <c r="J258">
        <v>0</v>
      </c>
      <c r="K258">
        <v>0</v>
      </c>
      <c r="M258">
        <f>I258-(H258+J258-K258)- L258</f>
        <v>-5802200</v>
      </c>
      <c r="N258" t="str">
        <f>IF(M258=0,"Cuadrado",IF(M258&gt;0,"Faltante","Sobrante"))</f>
        <v>Sobrante</v>
      </c>
      <c r="O258" t="s">
        <v>245</v>
      </c>
      <c r="P258">
        <v>1049625867</v>
      </c>
    </row>
    <row r="259" spans="1:16" hidden="1" x14ac:dyDescent="0.35">
      <c r="A259">
        <v>806</v>
      </c>
      <c r="B259">
        <v>5156</v>
      </c>
      <c r="C259" t="s">
        <v>19</v>
      </c>
      <c r="D259" t="s">
        <v>19</v>
      </c>
      <c r="E259" s="2">
        <v>46093</v>
      </c>
      <c r="F259" s="2">
        <v>46092</v>
      </c>
      <c r="G259" t="s">
        <v>319</v>
      </c>
      <c r="H259">
        <v>59166300</v>
      </c>
      <c r="I259">
        <v>64432300</v>
      </c>
      <c r="J259">
        <v>12750000</v>
      </c>
      <c r="K259">
        <v>3308000</v>
      </c>
      <c r="M259">
        <f>I259-(H259+J259-K259)- L259</f>
        <v>-4176000</v>
      </c>
      <c r="N259" t="str">
        <f>IF(M259=0,"Cuadrado",IF(M259&gt;0,"Faltante","Sobrante"))</f>
        <v>Sobrante</v>
      </c>
      <c r="O259" t="s">
        <v>311</v>
      </c>
      <c r="P259">
        <v>7335993</v>
      </c>
    </row>
    <row r="260" spans="1:16" hidden="1" x14ac:dyDescent="0.35">
      <c r="A260">
        <v>750</v>
      </c>
      <c r="B260">
        <v>5157</v>
      </c>
      <c r="C260" t="s">
        <v>19</v>
      </c>
      <c r="D260" t="s">
        <v>19</v>
      </c>
      <c r="E260" s="2">
        <v>46100</v>
      </c>
      <c r="F260" s="2">
        <v>46099</v>
      </c>
      <c r="G260" t="s">
        <v>144</v>
      </c>
      <c r="H260">
        <v>193810050</v>
      </c>
      <c r="I260">
        <v>193148050</v>
      </c>
      <c r="J260">
        <v>6810000</v>
      </c>
      <c r="K260">
        <v>7472000</v>
      </c>
      <c r="M260">
        <f>I260-(H260+J260-K260)- L260</f>
        <v>0</v>
      </c>
      <c r="N260" t="str">
        <f>IF(M260=0,"Cuadrado",IF(M260&gt;0,"Faltante","Sobrante"))</f>
        <v>Cuadrado</v>
      </c>
      <c r="O260" t="s">
        <v>37</v>
      </c>
      <c r="P260">
        <v>31529631</v>
      </c>
    </row>
    <row r="261" spans="1:16" hidden="1" x14ac:dyDescent="0.35">
      <c r="A261">
        <v>750</v>
      </c>
      <c r="B261">
        <v>5157</v>
      </c>
      <c r="C261" t="s">
        <v>19</v>
      </c>
      <c r="D261" t="s">
        <v>19</v>
      </c>
      <c r="E261" s="2">
        <v>46093</v>
      </c>
      <c r="F261" s="2">
        <v>46092</v>
      </c>
      <c r="G261" t="s">
        <v>320</v>
      </c>
      <c r="H261">
        <v>156805850</v>
      </c>
      <c r="I261">
        <v>145853050</v>
      </c>
      <c r="J261">
        <v>4880000</v>
      </c>
      <c r="K261">
        <v>20922800</v>
      </c>
      <c r="L261">
        <v>1929550</v>
      </c>
      <c r="M261">
        <f>I261-(H261+J261-K261)- L261</f>
        <v>3160450</v>
      </c>
      <c r="N261" t="str">
        <f>IF(M261=0,"Cuadrado",IF(M261&gt;0,"Faltante","Sobrante"))</f>
        <v>Faltante</v>
      </c>
      <c r="O261" t="s">
        <v>321</v>
      </c>
      <c r="P261">
        <v>31529631</v>
      </c>
    </row>
    <row r="262" spans="1:16" hidden="1" x14ac:dyDescent="0.35">
      <c r="A262">
        <v>750</v>
      </c>
      <c r="B262">
        <v>5157</v>
      </c>
      <c r="C262" t="s">
        <v>19</v>
      </c>
      <c r="D262" t="s">
        <v>19</v>
      </c>
      <c r="E262" s="2">
        <v>46086</v>
      </c>
      <c r="F262" s="2">
        <v>46085</v>
      </c>
      <c r="G262" t="s">
        <v>484</v>
      </c>
      <c r="H262">
        <v>302661050</v>
      </c>
      <c r="I262">
        <v>294514350</v>
      </c>
      <c r="J262">
        <v>5670000</v>
      </c>
      <c r="K262">
        <v>18017700</v>
      </c>
      <c r="L262">
        <v>1041000</v>
      </c>
      <c r="M262">
        <f>I262-(H262+J262-K262)- L262</f>
        <v>3160000</v>
      </c>
      <c r="N262" t="str">
        <f>IF(M262=0,"Cuadrado",IF(M262&gt;0,"Faltante","Sobrante"))</f>
        <v>Faltante</v>
      </c>
      <c r="O262" t="s">
        <v>260</v>
      </c>
      <c r="P262">
        <v>31529631</v>
      </c>
    </row>
    <row r="263" spans="1:16" hidden="1" x14ac:dyDescent="0.35">
      <c r="A263">
        <v>70</v>
      </c>
      <c r="B263">
        <v>5164</v>
      </c>
      <c r="C263" t="s">
        <v>19</v>
      </c>
      <c r="D263" t="s">
        <v>19</v>
      </c>
      <c r="E263" s="2">
        <v>46098</v>
      </c>
      <c r="F263" s="2">
        <v>46097</v>
      </c>
      <c r="G263" t="s">
        <v>35</v>
      </c>
      <c r="H263">
        <v>41185300</v>
      </c>
      <c r="I263">
        <v>41085300</v>
      </c>
      <c r="J263">
        <v>100000</v>
      </c>
      <c r="K263">
        <v>0</v>
      </c>
      <c r="L263">
        <v>0</v>
      </c>
      <c r="M263">
        <f>I263-(H263+J263-K263)- L263</f>
        <v>-200000</v>
      </c>
      <c r="N263" t="str">
        <f>IF(M263=0,"Cuadrado",IF(M263&gt;0,"Faltante","Sobrante"))</f>
        <v>Sobrante</v>
      </c>
      <c r="P263">
        <v>1053770486</v>
      </c>
    </row>
    <row r="264" spans="1:16" hidden="1" x14ac:dyDescent="0.35">
      <c r="A264">
        <v>70</v>
      </c>
      <c r="B264">
        <v>5164</v>
      </c>
      <c r="C264" t="s">
        <v>19</v>
      </c>
      <c r="D264" t="s">
        <v>19</v>
      </c>
      <c r="E264" s="2">
        <v>46094</v>
      </c>
      <c r="F264" s="2">
        <v>46093</v>
      </c>
      <c r="G264" t="s">
        <v>263</v>
      </c>
      <c r="H264">
        <v>61802150</v>
      </c>
      <c r="I264">
        <v>143882150</v>
      </c>
      <c r="J264">
        <v>10760000</v>
      </c>
      <c r="K264">
        <v>18060000</v>
      </c>
      <c r="L264">
        <v>93155000</v>
      </c>
      <c r="M264">
        <f>I264-(H264+J264-K264)- L264</f>
        <v>-3775000</v>
      </c>
      <c r="N264" t="str">
        <f>IF(M264=0,"Cuadrado",IF(M264&gt;0,"Faltante","Sobrante"))</f>
        <v>Sobrante</v>
      </c>
      <c r="O264" t="s">
        <v>245</v>
      </c>
      <c r="P264">
        <v>1053770486</v>
      </c>
    </row>
    <row r="265" spans="1:16" hidden="1" x14ac:dyDescent="0.35">
      <c r="A265">
        <v>70</v>
      </c>
      <c r="B265">
        <v>5164</v>
      </c>
      <c r="C265" t="s">
        <v>19</v>
      </c>
      <c r="D265" t="s">
        <v>19</v>
      </c>
      <c r="E265" s="2">
        <v>46092</v>
      </c>
      <c r="F265" s="2">
        <v>46091</v>
      </c>
      <c r="G265" t="s">
        <v>255</v>
      </c>
      <c r="H265">
        <v>263572150</v>
      </c>
      <c r="I265">
        <v>238456500</v>
      </c>
      <c r="J265">
        <v>3570000</v>
      </c>
      <c r="K265">
        <v>30530650</v>
      </c>
      <c r="M265">
        <f>I265-(H265+J265-K265)- L265</f>
        <v>1845000</v>
      </c>
      <c r="N265" t="str">
        <f>IF(M265=0,"Cuadrado",IF(M265&gt;0,"Faltante","Sobrante"))</f>
        <v>Faltante</v>
      </c>
      <c r="O265" t="s">
        <v>260</v>
      </c>
      <c r="P265">
        <v>1053770486</v>
      </c>
    </row>
    <row r="266" spans="1:16" hidden="1" x14ac:dyDescent="0.35">
      <c r="A266">
        <v>70</v>
      </c>
      <c r="B266">
        <v>5164</v>
      </c>
      <c r="C266" t="s">
        <v>19</v>
      </c>
      <c r="D266" t="s">
        <v>19</v>
      </c>
      <c r="E266" s="2">
        <v>46090</v>
      </c>
      <c r="F266" s="2">
        <v>46087</v>
      </c>
      <c r="G266" t="s">
        <v>204</v>
      </c>
      <c r="H266">
        <v>328925950</v>
      </c>
      <c r="I266">
        <v>325082100</v>
      </c>
      <c r="J266">
        <v>10040000</v>
      </c>
      <c r="K266">
        <v>17348850</v>
      </c>
      <c r="L266">
        <v>3465000</v>
      </c>
      <c r="M266">
        <f>I266-(H266+J266-K266)- L266</f>
        <v>0</v>
      </c>
      <c r="N266" t="str">
        <f>IF(M266=0,"Cuadrado",IF(M266&gt;0,"Faltante","Sobrante"))</f>
        <v>Cuadrado</v>
      </c>
      <c r="O266" t="s">
        <v>409</v>
      </c>
      <c r="P266">
        <v>30231139</v>
      </c>
    </row>
    <row r="267" spans="1:16" hidden="1" x14ac:dyDescent="0.35">
      <c r="A267">
        <v>70</v>
      </c>
      <c r="B267">
        <v>5164</v>
      </c>
      <c r="C267" t="s">
        <v>19</v>
      </c>
      <c r="D267" t="s">
        <v>19</v>
      </c>
      <c r="E267" s="2">
        <v>46086</v>
      </c>
      <c r="F267" s="2">
        <v>46085</v>
      </c>
      <c r="G267" t="s">
        <v>468</v>
      </c>
      <c r="H267">
        <v>254910900</v>
      </c>
      <c r="I267">
        <v>236263200</v>
      </c>
      <c r="J267">
        <v>7010000</v>
      </c>
      <c r="K267">
        <v>17266000</v>
      </c>
      <c r="M267">
        <f>I267-(H267+J267-K267)- L267</f>
        <v>-8391700</v>
      </c>
      <c r="N267" t="str">
        <f>IF(M267=0,"Cuadrado",IF(M267&gt;0,"Faltante","Sobrante"))</f>
        <v>Sobrante</v>
      </c>
      <c r="O267" t="s">
        <v>467</v>
      </c>
      <c r="P267">
        <v>30231139</v>
      </c>
    </row>
    <row r="268" spans="1:16" hidden="1" x14ac:dyDescent="0.35">
      <c r="A268">
        <v>725</v>
      </c>
      <c r="B268">
        <v>5166</v>
      </c>
      <c r="C268" t="s">
        <v>19</v>
      </c>
      <c r="D268" t="s">
        <v>19</v>
      </c>
      <c r="E268" s="2">
        <v>46093</v>
      </c>
      <c r="F268" s="2">
        <v>46092</v>
      </c>
      <c r="G268" t="s">
        <v>347</v>
      </c>
      <c r="H268">
        <v>249486000</v>
      </c>
      <c r="I268">
        <v>216256000</v>
      </c>
      <c r="J268">
        <v>770000</v>
      </c>
      <c r="K268">
        <v>34000000</v>
      </c>
      <c r="L268">
        <v>0</v>
      </c>
      <c r="M268">
        <f>I268-(H268+J268-K268)- L268</f>
        <v>0</v>
      </c>
      <c r="N268" t="str">
        <f>IF(M268=0,"Cuadrado",IF(M268&gt;0,"Faltante","Sobrante"))</f>
        <v>Cuadrado</v>
      </c>
      <c r="O268" t="s">
        <v>348</v>
      </c>
      <c r="P268">
        <v>1093220078</v>
      </c>
    </row>
    <row r="269" spans="1:16" hidden="1" x14ac:dyDescent="0.35">
      <c r="A269">
        <v>725</v>
      </c>
      <c r="B269">
        <v>5166</v>
      </c>
      <c r="C269" t="s">
        <v>19</v>
      </c>
      <c r="D269" t="s">
        <v>19</v>
      </c>
      <c r="E269" s="2">
        <v>46091</v>
      </c>
      <c r="F269" s="2">
        <v>46090</v>
      </c>
      <c r="G269" t="s">
        <v>387</v>
      </c>
      <c r="H269">
        <v>45913050</v>
      </c>
      <c r="I269">
        <v>46688050</v>
      </c>
      <c r="J269">
        <v>0</v>
      </c>
      <c r="K269">
        <v>0</v>
      </c>
      <c r="L269">
        <v>775000</v>
      </c>
      <c r="M269">
        <f>I269-(H269+J269-K269)- L269</f>
        <v>0</v>
      </c>
      <c r="N269" t="str">
        <f>IF(M269=0,"Cuadrado",IF(M269&gt;0,"Faltante","Sobrante"))</f>
        <v>Cuadrado</v>
      </c>
      <c r="O269" t="s">
        <v>388</v>
      </c>
      <c r="P269">
        <v>1088032608</v>
      </c>
    </row>
    <row r="270" spans="1:16" hidden="1" x14ac:dyDescent="0.35">
      <c r="A270">
        <v>667</v>
      </c>
      <c r="B270">
        <v>5167</v>
      </c>
      <c r="C270" t="s">
        <v>19</v>
      </c>
      <c r="D270" t="s">
        <v>19</v>
      </c>
      <c r="E270" s="2">
        <v>46101</v>
      </c>
      <c r="F270" s="2">
        <v>46100</v>
      </c>
      <c r="G270" t="s">
        <v>58</v>
      </c>
      <c r="H270">
        <v>277204500</v>
      </c>
      <c r="I270">
        <v>286314550</v>
      </c>
      <c r="J270">
        <v>5240000</v>
      </c>
      <c r="K270">
        <v>0</v>
      </c>
      <c r="M270">
        <f>I270-(H270+J270-K270)- L270</f>
        <v>3870050</v>
      </c>
      <c r="N270" t="str">
        <f>IF(M270=0,"Cuadrado",IF(M270&gt;0,"Faltante","Sobrante"))</f>
        <v>Faltante</v>
      </c>
      <c r="O270" t="s">
        <v>59</v>
      </c>
      <c r="P270">
        <v>79953058</v>
      </c>
    </row>
    <row r="271" spans="1:16" hidden="1" x14ac:dyDescent="0.35">
      <c r="A271">
        <v>667</v>
      </c>
      <c r="B271">
        <v>5167</v>
      </c>
      <c r="C271" t="s">
        <v>19</v>
      </c>
      <c r="D271" t="s">
        <v>19</v>
      </c>
      <c r="E271" s="2">
        <v>46097</v>
      </c>
      <c r="F271" s="2">
        <v>46093</v>
      </c>
      <c r="G271" t="s">
        <v>216</v>
      </c>
      <c r="H271">
        <v>323195550</v>
      </c>
      <c r="I271">
        <v>323415550</v>
      </c>
      <c r="J271">
        <v>0</v>
      </c>
      <c r="K271">
        <v>0</v>
      </c>
      <c r="M271">
        <f>I271-(H271+J271-K271)- L271</f>
        <v>220000</v>
      </c>
      <c r="N271" t="str">
        <f>IF(M271=0,"Cuadrado",IF(M271&gt;0,"Faltante","Sobrante"))</f>
        <v>Faltante</v>
      </c>
      <c r="O271" t="s">
        <v>217</v>
      </c>
      <c r="P271">
        <v>79953058</v>
      </c>
    </row>
    <row r="272" spans="1:16" hidden="1" x14ac:dyDescent="0.35">
      <c r="A272">
        <v>667</v>
      </c>
      <c r="B272">
        <v>5167</v>
      </c>
      <c r="C272" t="s">
        <v>19</v>
      </c>
      <c r="D272" t="s">
        <v>19</v>
      </c>
      <c r="E272" s="2">
        <v>46091</v>
      </c>
      <c r="F272" s="2">
        <v>46090</v>
      </c>
      <c r="G272" t="s">
        <v>314</v>
      </c>
      <c r="H272">
        <v>127546750</v>
      </c>
      <c r="I272">
        <v>129216700</v>
      </c>
      <c r="J272">
        <v>4920000</v>
      </c>
      <c r="K272">
        <v>3250000</v>
      </c>
      <c r="M272">
        <f>I272-(H272+J272-K272)- L272</f>
        <v>-50</v>
      </c>
      <c r="N272" t="str">
        <f>IF(M272=0,"Cuadrado",IF(M272&gt;0,"Faltante","Sobrante"))</f>
        <v>Sobrante</v>
      </c>
      <c r="O272" t="s">
        <v>383</v>
      </c>
      <c r="P272">
        <v>79953058</v>
      </c>
    </row>
    <row r="273" spans="1:16" hidden="1" x14ac:dyDescent="0.35">
      <c r="A273">
        <v>667</v>
      </c>
      <c r="B273">
        <v>5167</v>
      </c>
      <c r="C273" t="s">
        <v>19</v>
      </c>
      <c r="D273" t="s">
        <v>19</v>
      </c>
      <c r="E273" s="2">
        <v>46090</v>
      </c>
      <c r="F273" s="2">
        <v>46087</v>
      </c>
      <c r="G273" t="s">
        <v>250</v>
      </c>
      <c r="H273">
        <v>188012450</v>
      </c>
      <c r="I273">
        <v>144037450</v>
      </c>
      <c r="J273">
        <v>4860000</v>
      </c>
      <c r="K273">
        <v>48835000</v>
      </c>
      <c r="M273">
        <f>I273-(H273+J273-K273)- L273</f>
        <v>0</v>
      </c>
      <c r="N273" t="str">
        <f>IF(M273=0,"Cuadrado",IF(M273&gt;0,"Faltante","Sobrante"))</f>
        <v>Cuadrado</v>
      </c>
      <c r="O273" t="s">
        <v>37</v>
      </c>
      <c r="P273">
        <v>79953058</v>
      </c>
    </row>
    <row r="274" spans="1:16" hidden="1" x14ac:dyDescent="0.35">
      <c r="A274">
        <v>667</v>
      </c>
      <c r="B274">
        <v>5167</v>
      </c>
      <c r="C274" t="s">
        <v>19</v>
      </c>
      <c r="D274" t="s">
        <v>19</v>
      </c>
      <c r="E274" s="2">
        <v>46086</v>
      </c>
      <c r="F274" s="2">
        <v>46085</v>
      </c>
      <c r="G274" t="s">
        <v>345</v>
      </c>
      <c r="H274">
        <v>314483250</v>
      </c>
      <c r="I274">
        <v>325793150</v>
      </c>
      <c r="J274">
        <v>11220000</v>
      </c>
      <c r="K274">
        <v>0</v>
      </c>
      <c r="L274">
        <v>89900</v>
      </c>
      <c r="M274">
        <f>I274-(H274+J274-K274)- L274</f>
        <v>0</v>
      </c>
      <c r="N274" t="str">
        <f>IF(M274=0,"Cuadrado",IF(M274&gt;0,"Faltante","Sobrante"))</f>
        <v>Cuadrado</v>
      </c>
      <c r="O274" t="s">
        <v>483</v>
      </c>
      <c r="P274">
        <v>79953058</v>
      </c>
    </row>
    <row r="275" spans="1:16" hidden="1" x14ac:dyDescent="0.35">
      <c r="A275">
        <v>667</v>
      </c>
      <c r="B275">
        <v>5167</v>
      </c>
      <c r="C275" t="s">
        <v>19</v>
      </c>
      <c r="D275" t="s">
        <v>19</v>
      </c>
      <c r="E275" s="2">
        <v>46084</v>
      </c>
      <c r="F275" s="2">
        <v>46083</v>
      </c>
      <c r="G275" t="s">
        <v>89</v>
      </c>
      <c r="H275">
        <v>137263550</v>
      </c>
      <c r="I275">
        <v>137654200</v>
      </c>
      <c r="J275">
        <v>500000</v>
      </c>
      <c r="K275">
        <v>0</v>
      </c>
      <c r="M275">
        <f>I275-(H275+J275-K275)- L275</f>
        <v>-109350</v>
      </c>
      <c r="N275" t="str">
        <f>IF(M275=0,"Cuadrado",IF(M275&gt;0,"Faltante","Sobrante"))</f>
        <v>Sobrante</v>
      </c>
      <c r="O275" t="s">
        <v>504</v>
      </c>
      <c r="P275">
        <v>79953058</v>
      </c>
    </row>
    <row r="276" spans="1:16" hidden="1" x14ac:dyDescent="0.35">
      <c r="A276">
        <v>363</v>
      </c>
      <c r="B276">
        <v>5168</v>
      </c>
      <c r="C276" t="s">
        <v>19</v>
      </c>
      <c r="D276" t="s">
        <v>19</v>
      </c>
      <c r="E276" s="2">
        <v>46101</v>
      </c>
      <c r="F276" s="2">
        <v>46100</v>
      </c>
      <c r="G276" t="s">
        <v>53</v>
      </c>
      <c r="H276">
        <v>434672050</v>
      </c>
      <c r="I276">
        <v>403359050</v>
      </c>
      <c r="J276">
        <v>19620000</v>
      </c>
      <c r="K276">
        <v>50953000</v>
      </c>
      <c r="M276">
        <f>I276-(H276+J276-K276)- L276</f>
        <v>20000</v>
      </c>
      <c r="N276" t="str">
        <f>IF(M276=0,"Cuadrado",IF(M276&gt;0,"Faltante","Sobrante"))</f>
        <v>Faltante</v>
      </c>
      <c r="O276" t="s">
        <v>59</v>
      </c>
      <c r="P276">
        <v>33646675</v>
      </c>
    </row>
    <row r="277" spans="1:16" hidden="1" x14ac:dyDescent="0.35">
      <c r="A277">
        <v>363</v>
      </c>
      <c r="B277">
        <v>5168</v>
      </c>
      <c r="C277" t="s">
        <v>19</v>
      </c>
      <c r="D277" t="s">
        <v>19</v>
      </c>
      <c r="E277" s="2">
        <v>46100</v>
      </c>
      <c r="F277" s="2">
        <v>46099</v>
      </c>
      <c r="G277" t="s">
        <v>27</v>
      </c>
      <c r="H277">
        <v>326633950</v>
      </c>
      <c r="I277">
        <v>309946950</v>
      </c>
      <c r="J277">
        <v>13940000</v>
      </c>
      <c r="K277">
        <v>30597000</v>
      </c>
      <c r="M277">
        <f>I277-(H277+J277-K277)- L277</f>
        <v>-30000</v>
      </c>
      <c r="N277" t="str">
        <f>IF(M277=0,"Cuadrado",IF(M277&gt;0,"Faltante","Sobrante"))</f>
        <v>Sobrante</v>
      </c>
      <c r="O277" t="s">
        <v>95</v>
      </c>
      <c r="P277">
        <v>33646675</v>
      </c>
    </row>
    <row r="278" spans="1:16" hidden="1" x14ac:dyDescent="0.35">
      <c r="A278">
        <v>363</v>
      </c>
      <c r="B278">
        <v>5168</v>
      </c>
      <c r="C278" t="s">
        <v>19</v>
      </c>
      <c r="D278" t="s">
        <v>19</v>
      </c>
      <c r="E278" s="2">
        <v>46092</v>
      </c>
      <c r="F278" s="2">
        <v>46091</v>
      </c>
      <c r="G278" t="s">
        <v>85</v>
      </c>
      <c r="H278">
        <v>340579350</v>
      </c>
      <c r="I278">
        <v>345006350</v>
      </c>
      <c r="J278">
        <v>9810000</v>
      </c>
      <c r="K278">
        <v>3100000</v>
      </c>
      <c r="M278">
        <f>I278-(H278+J278-K278)- L278</f>
        <v>-2283000</v>
      </c>
      <c r="N278" t="str">
        <f>IF(M278=0,"Cuadrado",IF(M278&gt;0,"Faltante","Sobrante"))</f>
        <v>Sobrante</v>
      </c>
      <c r="O278" t="s">
        <v>357</v>
      </c>
      <c r="P278">
        <v>33646675</v>
      </c>
    </row>
    <row r="279" spans="1:16" hidden="1" x14ac:dyDescent="0.35">
      <c r="A279">
        <v>388</v>
      </c>
      <c r="B279">
        <v>5169</v>
      </c>
      <c r="C279" t="s">
        <v>19</v>
      </c>
      <c r="D279" t="s">
        <v>19</v>
      </c>
      <c r="E279" s="2">
        <v>46100</v>
      </c>
      <c r="F279" s="2">
        <v>46099</v>
      </c>
      <c r="G279" t="s">
        <v>23</v>
      </c>
      <c r="H279">
        <v>505916700</v>
      </c>
      <c r="I279">
        <v>506343700</v>
      </c>
      <c r="J279">
        <v>40000</v>
      </c>
      <c r="L279">
        <v>387000</v>
      </c>
      <c r="M279">
        <f>I279-(H279+J279-K279)- L279</f>
        <v>0</v>
      </c>
      <c r="N279" t="str">
        <f>IF(M279=0,"Cuadrado",IF(M279&gt;0,"Faltante","Sobrante"))</f>
        <v>Cuadrado</v>
      </c>
      <c r="O279" t="s">
        <v>118</v>
      </c>
      <c r="P279">
        <v>1023890720</v>
      </c>
    </row>
    <row r="280" spans="1:16" hidden="1" x14ac:dyDescent="0.35">
      <c r="A280">
        <v>388</v>
      </c>
      <c r="B280">
        <v>5169</v>
      </c>
      <c r="C280" t="s">
        <v>19</v>
      </c>
      <c r="D280" t="s">
        <v>19</v>
      </c>
      <c r="E280" s="2">
        <v>46087</v>
      </c>
      <c r="F280" s="2">
        <v>46086</v>
      </c>
      <c r="G280" t="s">
        <v>437</v>
      </c>
      <c r="H280">
        <v>22055900</v>
      </c>
      <c r="I280">
        <v>329397900</v>
      </c>
      <c r="J280">
        <v>630000</v>
      </c>
      <c r="K280">
        <v>0</v>
      </c>
      <c r="L280">
        <v>306712000</v>
      </c>
      <c r="M280">
        <f>I280-(H280+J280-K280)- L280</f>
        <v>0</v>
      </c>
      <c r="N280" t="str">
        <f>IF(M280=0,"Cuadrado",IF(M280&gt;0,"Faltante","Sobrante"))</f>
        <v>Cuadrado</v>
      </c>
      <c r="O280" t="s">
        <v>438</v>
      </c>
      <c r="P280">
        <v>1023890720</v>
      </c>
    </row>
    <row r="281" spans="1:16" hidden="1" x14ac:dyDescent="0.35">
      <c r="A281">
        <v>302</v>
      </c>
      <c r="B281">
        <v>5170</v>
      </c>
      <c r="C281" t="s">
        <v>19</v>
      </c>
      <c r="D281" t="s">
        <v>19</v>
      </c>
      <c r="E281" s="2">
        <v>46093</v>
      </c>
      <c r="F281" s="2">
        <v>46092</v>
      </c>
      <c r="G281" t="s">
        <v>71</v>
      </c>
      <c r="H281">
        <v>165896900</v>
      </c>
      <c r="I281">
        <v>176856900</v>
      </c>
      <c r="J281">
        <v>11760000</v>
      </c>
      <c r="K281">
        <v>800000</v>
      </c>
      <c r="L281">
        <v>10000</v>
      </c>
      <c r="M281">
        <f>I281-(H281+J281-K281)- L281</f>
        <v>-10000</v>
      </c>
      <c r="N281" t="str">
        <f>IF(M281=0,"Cuadrado",IF(M281&gt;0,"Faltante","Sobrante"))</f>
        <v>Sobrante</v>
      </c>
      <c r="O281" t="s">
        <v>311</v>
      </c>
      <c r="P281">
        <v>1102374502</v>
      </c>
    </row>
    <row r="282" spans="1:16" hidden="1" x14ac:dyDescent="0.35">
      <c r="A282">
        <v>302</v>
      </c>
      <c r="B282">
        <v>5170</v>
      </c>
      <c r="C282" t="s">
        <v>19</v>
      </c>
      <c r="D282" t="s">
        <v>19</v>
      </c>
      <c r="E282" s="2">
        <v>46092</v>
      </c>
      <c r="F282" s="2">
        <v>46091</v>
      </c>
      <c r="G282" t="s">
        <v>302</v>
      </c>
      <c r="H282">
        <v>99606900</v>
      </c>
      <c r="I282">
        <v>204753100</v>
      </c>
      <c r="J282">
        <v>13120000</v>
      </c>
      <c r="K282">
        <v>31223800</v>
      </c>
      <c r="L282">
        <v>123240000</v>
      </c>
      <c r="M282">
        <f>I282-(H282+J282-K282)- L282</f>
        <v>10000</v>
      </c>
      <c r="N282" t="str">
        <f>IF(M282=0,"Cuadrado",IF(M282&gt;0,"Faltante","Sobrante"))</f>
        <v>Faltante</v>
      </c>
      <c r="O282" t="s">
        <v>352</v>
      </c>
      <c r="P282">
        <v>1102374502</v>
      </c>
    </row>
    <row r="283" spans="1:16" hidden="1" x14ac:dyDescent="0.35">
      <c r="A283">
        <v>420</v>
      </c>
      <c r="B283">
        <v>5173</v>
      </c>
      <c r="C283" t="s">
        <v>19</v>
      </c>
      <c r="D283" t="s">
        <v>19</v>
      </c>
      <c r="E283" s="2">
        <v>46099</v>
      </c>
      <c r="F283" s="2">
        <v>46098</v>
      </c>
      <c r="G283" t="s">
        <v>99</v>
      </c>
      <c r="H283">
        <v>79545200</v>
      </c>
      <c r="I283">
        <v>79725200</v>
      </c>
      <c r="J283">
        <v>180000</v>
      </c>
      <c r="K283">
        <v>0</v>
      </c>
      <c r="M283">
        <f>I283-(H283+J283-K283)- L283</f>
        <v>0</v>
      </c>
      <c r="N283" t="str">
        <f>IF(M283=0,"Cuadrado",IF(M283&gt;0,"Faltante","Sobrante"))</f>
        <v>Cuadrado</v>
      </c>
      <c r="O283" t="s">
        <v>37</v>
      </c>
    </row>
    <row r="284" spans="1:16" hidden="1" x14ac:dyDescent="0.35">
      <c r="A284">
        <v>420</v>
      </c>
      <c r="B284">
        <v>5173</v>
      </c>
      <c r="C284" t="s">
        <v>19</v>
      </c>
      <c r="D284" t="s">
        <v>19</v>
      </c>
      <c r="E284" s="2">
        <v>46094</v>
      </c>
      <c r="F284" s="2">
        <v>46093</v>
      </c>
      <c r="G284" t="s">
        <v>264</v>
      </c>
      <c r="H284">
        <v>117980200</v>
      </c>
      <c r="I284">
        <v>115825200</v>
      </c>
      <c r="J284">
        <v>3370000</v>
      </c>
      <c r="K284">
        <v>3380000</v>
      </c>
      <c r="M284">
        <f>I284-(H284+J284-K284)- L284</f>
        <v>-2145000</v>
      </c>
      <c r="N284" t="str">
        <f>IF(M284=0,"Cuadrado",IF(M284&gt;0,"Faltante","Sobrante"))</f>
        <v>Sobrante</v>
      </c>
      <c r="O284" t="s">
        <v>245</v>
      </c>
      <c r="P284">
        <v>1020436470</v>
      </c>
    </row>
    <row r="285" spans="1:16" hidden="1" x14ac:dyDescent="0.35">
      <c r="A285">
        <v>253</v>
      </c>
      <c r="B285">
        <v>5176</v>
      </c>
      <c r="C285" t="s">
        <v>19</v>
      </c>
      <c r="D285" t="s">
        <v>19</v>
      </c>
      <c r="E285" s="2">
        <v>46093</v>
      </c>
      <c r="F285" s="2">
        <v>46092</v>
      </c>
      <c r="G285" t="s">
        <v>322</v>
      </c>
      <c r="H285">
        <v>247521750</v>
      </c>
      <c r="I285">
        <v>234089750</v>
      </c>
      <c r="J285">
        <v>0</v>
      </c>
      <c r="K285">
        <v>4490000</v>
      </c>
      <c r="L285">
        <v>-6902000</v>
      </c>
      <c r="M285">
        <f>I285-(H285+J285-K285)- L285</f>
        <v>-2040000</v>
      </c>
      <c r="N285" t="str">
        <f>IF(M285=0,"Cuadrado",IF(M285&gt;0,"Faltante","Sobrante"))</f>
        <v>Sobrante</v>
      </c>
      <c r="O285" t="s">
        <v>311</v>
      </c>
      <c r="P285">
        <v>1017241432</v>
      </c>
    </row>
    <row r="286" spans="1:16" hidden="1" x14ac:dyDescent="0.35">
      <c r="A286">
        <v>253</v>
      </c>
      <c r="B286">
        <v>5176</v>
      </c>
      <c r="C286" t="s">
        <v>19</v>
      </c>
      <c r="D286" t="s">
        <v>19</v>
      </c>
      <c r="E286" s="2">
        <v>46092</v>
      </c>
      <c r="F286" s="2">
        <v>46091</v>
      </c>
      <c r="G286" t="s">
        <v>68</v>
      </c>
      <c r="H286">
        <v>263606750</v>
      </c>
      <c r="I286">
        <v>250669750</v>
      </c>
      <c r="J286">
        <v>7310000</v>
      </c>
      <c r="K286">
        <v>13345000</v>
      </c>
      <c r="M286">
        <f>I286-(H286+J286-K286)- L286</f>
        <v>-6902000</v>
      </c>
      <c r="N286" t="str">
        <f>IF(M286=0,"Cuadrado",IF(M286&gt;0,"Faltante","Sobrante"))</f>
        <v>Sobrante</v>
      </c>
      <c r="O286" t="s">
        <v>357</v>
      </c>
      <c r="P286">
        <v>1017241432</v>
      </c>
    </row>
    <row r="287" spans="1:16" hidden="1" x14ac:dyDescent="0.35">
      <c r="A287">
        <v>253</v>
      </c>
      <c r="B287">
        <v>5176</v>
      </c>
      <c r="C287" t="s">
        <v>19</v>
      </c>
      <c r="D287" t="s">
        <v>19</v>
      </c>
      <c r="E287" s="2">
        <v>46087</v>
      </c>
      <c r="F287" s="2">
        <v>46086</v>
      </c>
      <c r="G287" t="s">
        <v>430</v>
      </c>
      <c r="H287">
        <v>216719950</v>
      </c>
      <c r="I287">
        <v>485872950</v>
      </c>
      <c r="J287">
        <v>9570000</v>
      </c>
      <c r="K287">
        <v>41515000</v>
      </c>
      <c r="L287">
        <v>300900000</v>
      </c>
      <c r="M287">
        <f>I287-(H287+J287-K287)- L287</f>
        <v>198000</v>
      </c>
      <c r="N287" t="str">
        <f>IF(M287=0,"Cuadrado",IF(M287&gt;0,"Faltante","Sobrante"))</f>
        <v>Faltante</v>
      </c>
      <c r="O287" t="s">
        <v>260</v>
      </c>
      <c r="P287">
        <v>1017241432</v>
      </c>
    </row>
    <row r="288" spans="1:16" hidden="1" x14ac:dyDescent="0.35">
      <c r="A288">
        <v>198</v>
      </c>
      <c r="B288">
        <v>5179</v>
      </c>
      <c r="C288" t="s">
        <v>19</v>
      </c>
      <c r="D288" t="s">
        <v>19</v>
      </c>
      <c r="E288" s="2">
        <v>46094</v>
      </c>
      <c r="F288" s="2">
        <v>46093</v>
      </c>
      <c r="G288" t="s">
        <v>181</v>
      </c>
      <c r="H288">
        <v>178003800</v>
      </c>
      <c r="I288">
        <v>185488800</v>
      </c>
      <c r="J288">
        <v>9620000</v>
      </c>
      <c r="K288">
        <v>8389950</v>
      </c>
      <c r="L288">
        <v>6254950</v>
      </c>
      <c r="M288">
        <f>I288-(H288+J288-K288)- L288</f>
        <v>0</v>
      </c>
      <c r="N288" t="str">
        <f>IF(M288=0,"Cuadrado",IF(M288&gt;0,"Faltante","Sobrante"))</f>
        <v>Cuadrado</v>
      </c>
      <c r="O288" t="s">
        <v>265</v>
      </c>
      <c r="P288">
        <v>53031419</v>
      </c>
    </row>
    <row r="289" spans="1:16" hidden="1" x14ac:dyDescent="0.35">
      <c r="A289">
        <v>198</v>
      </c>
      <c r="B289">
        <v>5179</v>
      </c>
      <c r="C289" t="s">
        <v>19</v>
      </c>
      <c r="D289" t="s">
        <v>19</v>
      </c>
      <c r="E289" s="2">
        <v>46093</v>
      </c>
      <c r="F289" s="2">
        <v>46092</v>
      </c>
      <c r="G289" t="s">
        <v>23</v>
      </c>
      <c r="H289">
        <v>161929700</v>
      </c>
      <c r="I289">
        <v>173903700</v>
      </c>
      <c r="J289">
        <v>6300000</v>
      </c>
      <c r="K289">
        <v>201000</v>
      </c>
      <c r="L289">
        <v>5875000</v>
      </c>
      <c r="M289">
        <f>I289-(H289+J289-K289)- L289</f>
        <v>0</v>
      </c>
      <c r="N289" t="str">
        <f>IF(M289=0,"Cuadrado",IF(M289&gt;0,"Faltante","Sobrante"))</f>
        <v>Cuadrado</v>
      </c>
      <c r="O289" t="s">
        <v>323</v>
      </c>
      <c r="P289">
        <v>53031419</v>
      </c>
    </row>
    <row r="290" spans="1:16" hidden="1" x14ac:dyDescent="0.35">
      <c r="A290">
        <v>762</v>
      </c>
      <c r="B290">
        <v>5181</v>
      </c>
      <c r="C290" t="s">
        <v>19</v>
      </c>
      <c r="D290" t="s">
        <v>19</v>
      </c>
      <c r="E290" s="2">
        <v>46100</v>
      </c>
      <c r="F290" s="2">
        <v>46099</v>
      </c>
      <c r="G290" t="s">
        <v>119</v>
      </c>
      <c r="H290">
        <v>246028750</v>
      </c>
      <c r="I290">
        <v>223428750</v>
      </c>
      <c r="J290" t="s">
        <v>98</v>
      </c>
      <c r="K290">
        <v>14620000</v>
      </c>
      <c r="M290" t="e">
        <f>I290-(H290+J290-K290)- L290</f>
        <v>#VALUE!</v>
      </c>
      <c r="N290" t="e">
        <f>IF(M290=0,"Cuadrado",IF(M290&gt;0,"Faltante","Sobrante"))</f>
        <v>#VALUE!</v>
      </c>
      <c r="O290" t="s">
        <v>95</v>
      </c>
      <c r="P290">
        <v>94364510</v>
      </c>
    </row>
    <row r="291" spans="1:16" hidden="1" x14ac:dyDescent="0.35">
      <c r="A291">
        <v>762</v>
      </c>
      <c r="B291">
        <v>5181</v>
      </c>
      <c r="C291" t="s">
        <v>19</v>
      </c>
      <c r="D291" t="s">
        <v>19</v>
      </c>
      <c r="E291" s="2">
        <v>46086</v>
      </c>
      <c r="F291" s="2">
        <v>46085</v>
      </c>
      <c r="G291" t="s">
        <v>485</v>
      </c>
      <c r="H291">
        <v>164054250</v>
      </c>
      <c r="I291">
        <v>161524250</v>
      </c>
      <c r="J291">
        <v>0</v>
      </c>
      <c r="K291">
        <v>0</v>
      </c>
      <c r="M291">
        <f>I291-(H291+J291-K291)- L291</f>
        <v>-2530000</v>
      </c>
      <c r="N291" t="str">
        <f>IF(M291=0,"Cuadrado",IF(M291&gt;0,"Faltante","Sobrante"))</f>
        <v>Sobrante</v>
      </c>
      <c r="O291" t="s">
        <v>467</v>
      </c>
      <c r="P291">
        <v>94364510</v>
      </c>
    </row>
    <row r="292" spans="1:16" hidden="1" x14ac:dyDescent="0.35">
      <c r="A292">
        <v>756</v>
      </c>
      <c r="B292">
        <v>5183</v>
      </c>
      <c r="C292" t="s">
        <v>16</v>
      </c>
      <c r="D292" t="s">
        <v>16</v>
      </c>
      <c r="E292" s="2">
        <v>46099</v>
      </c>
      <c r="F292" s="2">
        <v>46098</v>
      </c>
      <c r="G292" t="s">
        <v>171</v>
      </c>
      <c r="H292">
        <v>172762350</v>
      </c>
      <c r="I292">
        <v>168571200</v>
      </c>
      <c r="J292">
        <v>6030000</v>
      </c>
      <c r="K292">
        <v>13595100</v>
      </c>
      <c r="M292">
        <f>I292-(H292+J292-K292)- L292</f>
        <v>3373950</v>
      </c>
      <c r="N292" t="str">
        <f>IF(M292=0,"Cuadrado",IF(M292&gt;0,"Faltante","Sobrante"))</f>
        <v>Faltante</v>
      </c>
      <c r="O292" t="s">
        <v>172</v>
      </c>
    </row>
    <row r="293" spans="1:16" hidden="1" x14ac:dyDescent="0.35">
      <c r="A293">
        <v>756</v>
      </c>
      <c r="B293">
        <v>5183</v>
      </c>
      <c r="C293" t="s">
        <v>16</v>
      </c>
      <c r="D293" t="s">
        <v>19</v>
      </c>
      <c r="E293" s="2">
        <v>46091</v>
      </c>
      <c r="F293" s="2">
        <v>46087</v>
      </c>
      <c r="G293" t="s">
        <v>344</v>
      </c>
      <c r="H293">
        <v>39276000</v>
      </c>
      <c r="I293">
        <v>210302000</v>
      </c>
      <c r="J293">
        <v>4170000</v>
      </c>
      <c r="K293">
        <v>5340000</v>
      </c>
      <c r="L293">
        <v>175516000</v>
      </c>
      <c r="M293">
        <f>I293-(H293+J293-K293)- L293</f>
        <v>-3320000</v>
      </c>
      <c r="N293" t="str">
        <f>IF(M293=0,"Cuadrado",IF(M293&gt;0,"Faltante","Sobrante"))</f>
        <v>Sobrante</v>
      </c>
      <c r="O293" t="s">
        <v>383</v>
      </c>
      <c r="P293">
        <v>1094912219</v>
      </c>
    </row>
    <row r="294" spans="1:16" hidden="1" x14ac:dyDescent="0.35">
      <c r="A294">
        <v>541</v>
      </c>
      <c r="B294">
        <v>5185</v>
      </c>
      <c r="C294" t="s">
        <v>19</v>
      </c>
      <c r="D294" t="s">
        <v>19</v>
      </c>
      <c r="E294" s="2">
        <v>46090</v>
      </c>
      <c r="F294" s="2">
        <v>46087</v>
      </c>
      <c r="G294" t="s">
        <v>105</v>
      </c>
      <c r="H294">
        <v>218159800</v>
      </c>
      <c r="I294">
        <v>202037100</v>
      </c>
      <c r="J294">
        <v>620000</v>
      </c>
      <c r="K294">
        <v>16742700</v>
      </c>
      <c r="M294">
        <f>I294-(H294+J294-K294)- L294</f>
        <v>0</v>
      </c>
      <c r="N294" t="str">
        <f>IF(M294=0,"Cuadrado",IF(M294&gt;0,"Faltante","Sobrante"))</f>
        <v>Cuadrado</v>
      </c>
      <c r="O294" t="s">
        <v>37</v>
      </c>
      <c r="P294">
        <v>1090148688</v>
      </c>
    </row>
    <row r="295" spans="1:16" hidden="1" x14ac:dyDescent="0.35">
      <c r="A295">
        <v>698</v>
      </c>
      <c r="B295">
        <v>5187</v>
      </c>
      <c r="C295" t="s">
        <v>19</v>
      </c>
      <c r="D295" t="s">
        <v>19</v>
      </c>
      <c r="E295" s="2">
        <v>46100</v>
      </c>
      <c r="F295" s="2">
        <v>46099</v>
      </c>
      <c r="G295" t="s">
        <v>120</v>
      </c>
      <c r="H295">
        <v>101787050</v>
      </c>
      <c r="I295">
        <v>93386050</v>
      </c>
      <c r="J295" t="s">
        <v>98</v>
      </c>
      <c r="K295" t="s">
        <v>98</v>
      </c>
      <c r="L295">
        <v>-8401000</v>
      </c>
      <c r="M295" t="e">
        <f>I295-(H295+J295-K295)- L295</f>
        <v>#VALUE!</v>
      </c>
      <c r="N295" t="e">
        <f>IF(M295=0,"Cuadrado",IF(M295&gt;0,"Faltante","Sobrante"))</f>
        <v>#VALUE!</v>
      </c>
      <c r="O295" t="s">
        <v>121</v>
      </c>
      <c r="P295">
        <v>80177355</v>
      </c>
    </row>
    <row r="296" spans="1:16" hidden="1" x14ac:dyDescent="0.35">
      <c r="A296">
        <v>698</v>
      </c>
      <c r="B296">
        <v>5187</v>
      </c>
      <c r="C296" t="s">
        <v>19</v>
      </c>
      <c r="D296" t="s">
        <v>19</v>
      </c>
      <c r="E296" s="2">
        <v>46099</v>
      </c>
      <c r="F296" s="2">
        <v>46098</v>
      </c>
      <c r="G296" t="s">
        <v>173</v>
      </c>
      <c r="H296">
        <v>155881650</v>
      </c>
      <c r="I296">
        <v>139470650</v>
      </c>
      <c r="J296">
        <v>10190000</v>
      </c>
      <c r="K296">
        <v>16600000</v>
      </c>
      <c r="M296">
        <f>I296-(H296+J296-K296)- L296</f>
        <v>-10001000</v>
      </c>
      <c r="N296" t="str">
        <f>IF(M296=0,"Cuadrado",IF(M296&gt;0,"Faltante","Sobrante"))</f>
        <v>Sobrante</v>
      </c>
      <c r="O296" t="s">
        <v>156</v>
      </c>
    </row>
    <row r="297" spans="1:16" hidden="1" x14ac:dyDescent="0.35">
      <c r="A297">
        <v>698</v>
      </c>
      <c r="B297">
        <v>5187</v>
      </c>
      <c r="C297" t="s">
        <v>19</v>
      </c>
      <c r="D297" t="s">
        <v>19</v>
      </c>
      <c r="E297" s="2">
        <v>46097</v>
      </c>
      <c r="F297" s="2">
        <v>46094</v>
      </c>
      <c r="G297" t="s">
        <v>218</v>
      </c>
      <c r="H297">
        <v>190586250</v>
      </c>
      <c r="I297">
        <v>189606750</v>
      </c>
      <c r="J297">
        <v>1820000</v>
      </c>
      <c r="K297">
        <v>2800000</v>
      </c>
      <c r="M297">
        <f>I297-(H297+J297-K297)- L297</f>
        <v>500</v>
      </c>
      <c r="N297" t="str">
        <f>IF(M297=0,"Cuadrado",IF(M297&gt;0,"Faltante","Sobrante"))</f>
        <v>Faltante</v>
      </c>
      <c r="P297">
        <v>80177355</v>
      </c>
    </row>
    <row r="298" spans="1:16" hidden="1" x14ac:dyDescent="0.35">
      <c r="A298">
        <v>698</v>
      </c>
      <c r="B298">
        <v>5187</v>
      </c>
      <c r="C298" t="s">
        <v>19</v>
      </c>
      <c r="D298" t="s">
        <v>19</v>
      </c>
      <c r="E298" s="2">
        <v>46091</v>
      </c>
      <c r="F298" s="2">
        <v>46090</v>
      </c>
      <c r="G298" t="s">
        <v>40</v>
      </c>
      <c r="H298">
        <v>278552450</v>
      </c>
      <c r="I298">
        <v>278552400</v>
      </c>
      <c r="J298">
        <v>0</v>
      </c>
      <c r="K298">
        <v>0</v>
      </c>
      <c r="M298">
        <f>I298-(H298+J298-K298)- L298</f>
        <v>-50</v>
      </c>
      <c r="N298" t="str">
        <f>IF(M298=0,"Cuadrado",IF(M298&gt;0,"Faltante","Sobrante"))</f>
        <v>Sobrante</v>
      </c>
      <c r="O298" t="s">
        <v>383</v>
      </c>
      <c r="P298">
        <v>80177355</v>
      </c>
    </row>
    <row r="299" spans="1:16" hidden="1" x14ac:dyDescent="0.35">
      <c r="A299">
        <v>698</v>
      </c>
      <c r="B299">
        <v>5187</v>
      </c>
      <c r="C299" t="s">
        <v>19</v>
      </c>
      <c r="D299" t="s">
        <v>19</v>
      </c>
      <c r="E299" s="2">
        <v>46086</v>
      </c>
      <c r="F299" s="2">
        <v>46085</v>
      </c>
      <c r="G299" t="s">
        <v>105</v>
      </c>
      <c r="H299">
        <v>236650300</v>
      </c>
      <c r="I299">
        <v>236650300</v>
      </c>
      <c r="J299">
        <v>0</v>
      </c>
      <c r="K299">
        <v>0</v>
      </c>
      <c r="M299">
        <f>I299-(H299+J299-K299)- L299</f>
        <v>0</v>
      </c>
      <c r="N299" t="str">
        <f>IF(M299=0,"Cuadrado",IF(M299&gt;0,"Faltante","Sobrante"))</f>
        <v>Cuadrado</v>
      </c>
      <c r="O299" t="s">
        <v>37</v>
      </c>
      <c r="P299">
        <v>80177355</v>
      </c>
    </row>
    <row r="300" spans="1:16" hidden="1" x14ac:dyDescent="0.35">
      <c r="A300">
        <v>698</v>
      </c>
      <c r="B300">
        <v>5187</v>
      </c>
      <c r="C300" t="s">
        <v>19</v>
      </c>
      <c r="D300" t="s">
        <v>19</v>
      </c>
      <c r="E300" s="2">
        <v>46084</v>
      </c>
      <c r="F300" s="2">
        <v>46080</v>
      </c>
      <c r="G300" t="s">
        <v>511</v>
      </c>
      <c r="H300">
        <v>255606100</v>
      </c>
      <c r="I300">
        <v>232013900</v>
      </c>
      <c r="J300">
        <v>25720000</v>
      </c>
      <c r="K300">
        <v>49312200</v>
      </c>
      <c r="M300">
        <f>I300-(H300+J300-K300)- L300</f>
        <v>0</v>
      </c>
      <c r="N300" t="str">
        <f>IF(M300=0,"Cuadrado",IF(M300&gt;0,"Faltante","Sobrante"))</f>
        <v>Cuadrado</v>
      </c>
      <c r="O300" t="s">
        <v>37</v>
      </c>
      <c r="P300">
        <v>1019065205</v>
      </c>
    </row>
    <row r="301" spans="1:16" hidden="1" x14ac:dyDescent="0.35">
      <c r="A301">
        <v>664</v>
      </c>
      <c r="B301">
        <v>5191</v>
      </c>
      <c r="C301" t="s">
        <v>19</v>
      </c>
      <c r="D301" t="s">
        <v>19</v>
      </c>
      <c r="E301" s="2">
        <v>46093</v>
      </c>
      <c r="F301" s="2">
        <v>46092</v>
      </c>
      <c r="G301" t="s">
        <v>112</v>
      </c>
      <c r="H301">
        <v>199055400</v>
      </c>
      <c r="I301">
        <v>223414550</v>
      </c>
      <c r="J301">
        <v>43480000</v>
      </c>
      <c r="K301">
        <v>75451000</v>
      </c>
      <c r="L301">
        <v>86306000</v>
      </c>
      <c r="M301">
        <f>I301-(H301+J301-K301)- L301</f>
        <v>-29975850</v>
      </c>
      <c r="N301" t="str">
        <f>IF(M301=0,"Cuadrado",IF(M301&gt;0,"Faltante","Sobrante"))</f>
        <v>Sobrante</v>
      </c>
      <c r="O301" t="s">
        <v>311</v>
      </c>
      <c r="P301">
        <v>53052650</v>
      </c>
    </row>
    <row r="302" spans="1:16" hidden="1" x14ac:dyDescent="0.35">
      <c r="A302">
        <v>716</v>
      </c>
      <c r="B302">
        <v>5192</v>
      </c>
      <c r="C302" t="s">
        <v>19</v>
      </c>
      <c r="D302" t="s">
        <v>19</v>
      </c>
      <c r="E302" s="2">
        <v>46092</v>
      </c>
      <c r="F302" s="2">
        <v>46091</v>
      </c>
      <c r="G302" t="s">
        <v>25</v>
      </c>
      <c r="H302">
        <v>94632700</v>
      </c>
      <c r="I302">
        <v>59457900</v>
      </c>
      <c r="J302">
        <v>17580000</v>
      </c>
      <c r="K302">
        <v>52750000</v>
      </c>
      <c r="M302">
        <f>I302-(H302+J302-K302)- L302</f>
        <v>-4800</v>
      </c>
      <c r="N302" t="str">
        <f>IF(M302=0,"Cuadrado",IF(M302&gt;0,"Faltante","Sobrante"))</f>
        <v>Sobrante</v>
      </c>
      <c r="O302" t="s">
        <v>357</v>
      </c>
      <c r="P302">
        <v>1144081082</v>
      </c>
    </row>
    <row r="303" spans="1:16" hidden="1" x14ac:dyDescent="0.35">
      <c r="A303">
        <v>383</v>
      </c>
      <c r="B303">
        <v>5194</v>
      </c>
      <c r="C303" t="s">
        <v>19</v>
      </c>
      <c r="D303" t="s">
        <v>19</v>
      </c>
      <c r="E303" s="2">
        <v>46099</v>
      </c>
      <c r="F303" s="2">
        <v>46098</v>
      </c>
      <c r="G303" t="s">
        <v>174</v>
      </c>
      <c r="H303">
        <v>150562200</v>
      </c>
      <c r="I303">
        <v>152422200</v>
      </c>
      <c r="J303">
        <v>12600000</v>
      </c>
      <c r="K303">
        <v>13440000</v>
      </c>
      <c r="M303">
        <f>I303-(H303+J303-K303)- L303</f>
        <v>2700000</v>
      </c>
      <c r="N303" t="str">
        <f>IF(M303=0,"Cuadrado",IF(M303&gt;0,"Faltante","Sobrante"))</f>
        <v>Faltante</v>
      </c>
      <c r="O303" t="s">
        <v>37</v>
      </c>
    </row>
    <row r="304" spans="1:16" hidden="1" x14ac:dyDescent="0.35">
      <c r="A304">
        <v>383</v>
      </c>
      <c r="B304">
        <v>5194</v>
      </c>
      <c r="C304" t="s">
        <v>19</v>
      </c>
      <c r="D304" t="s">
        <v>19</v>
      </c>
      <c r="E304" s="2">
        <v>46098</v>
      </c>
      <c r="F304" s="2">
        <v>46097</v>
      </c>
      <c r="G304" t="s">
        <v>64</v>
      </c>
      <c r="H304">
        <v>157011300</v>
      </c>
      <c r="I304">
        <v>155912300</v>
      </c>
      <c r="J304">
        <v>6600000</v>
      </c>
      <c r="K304">
        <v>7699000</v>
      </c>
      <c r="L304">
        <v>0</v>
      </c>
      <c r="M304">
        <f>I304-(H304+J304-K304)- L304</f>
        <v>0</v>
      </c>
      <c r="N304" t="str">
        <f>IF(M304=0,"Cuadrado",IF(M304&gt;0,"Faltante","Sobrante"))</f>
        <v>Cuadrado</v>
      </c>
      <c r="O304" t="s">
        <v>209</v>
      </c>
      <c r="P304">
        <v>1073160492</v>
      </c>
    </row>
    <row r="305" spans="1:16" hidden="1" x14ac:dyDescent="0.35">
      <c r="A305">
        <v>383</v>
      </c>
      <c r="B305">
        <v>5194</v>
      </c>
      <c r="C305" t="s">
        <v>19</v>
      </c>
      <c r="D305" t="s">
        <v>19</v>
      </c>
      <c r="E305" s="2">
        <v>46094</v>
      </c>
      <c r="F305" s="2">
        <v>46093</v>
      </c>
      <c r="G305" t="s">
        <v>266</v>
      </c>
      <c r="H305">
        <v>128733000</v>
      </c>
      <c r="I305">
        <v>9909000</v>
      </c>
      <c r="J305">
        <v>2550000</v>
      </c>
      <c r="K305">
        <v>5100000</v>
      </c>
      <c r="M305">
        <f>I305-(H305+J305-K305)- L305</f>
        <v>-116274000</v>
      </c>
      <c r="N305" t="str">
        <f>IF(M305=0,"Cuadrado",IF(M305&gt;0,"Faltante","Sobrante"))</f>
        <v>Sobrante</v>
      </c>
      <c r="O305" t="s">
        <v>245</v>
      </c>
      <c r="P305">
        <v>1073160492</v>
      </c>
    </row>
    <row r="306" spans="1:16" hidden="1" x14ac:dyDescent="0.35">
      <c r="A306">
        <v>383</v>
      </c>
      <c r="B306">
        <v>5194</v>
      </c>
      <c r="C306" t="s">
        <v>19</v>
      </c>
      <c r="D306" t="s">
        <v>19</v>
      </c>
      <c r="E306" s="2">
        <v>46091</v>
      </c>
      <c r="F306" s="2">
        <v>46090</v>
      </c>
      <c r="G306" t="s">
        <v>115</v>
      </c>
      <c r="H306">
        <v>294935800</v>
      </c>
      <c r="I306">
        <v>295775800</v>
      </c>
      <c r="J306">
        <v>520000</v>
      </c>
      <c r="K306">
        <v>0</v>
      </c>
      <c r="L306">
        <v>320000</v>
      </c>
      <c r="M306">
        <f>I306-(H306+J306-K306)- L306</f>
        <v>0</v>
      </c>
      <c r="N306" t="str">
        <f>IF(M306=0,"Cuadrado",IF(M306&gt;0,"Faltante","Sobrante"))</f>
        <v>Cuadrado</v>
      </c>
      <c r="O306" t="s">
        <v>389</v>
      </c>
      <c r="P306">
        <v>1073160492</v>
      </c>
    </row>
    <row r="307" spans="1:16" hidden="1" x14ac:dyDescent="0.35">
      <c r="A307">
        <v>383</v>
      </c>
      <c r="B307">
        <v>5194</v>
      </c>
      <c r="C307" t="s">
        <v>19</v>
      </c>
      <c r="D307" t="s">
        <v>19</v>
      </c>
      <c r="E307" s="2">
        <v>46084</v>
      </c>
      <c r="F307" s="2">
        <v>46083</v>
      </c>
      <c r="G307" t="s">
        <v>509</v>
      </c>
      <c r="H307">
        <v>76097750</v>
      </c>
      <c r="I307">
        <v>197826150</v>
      </c>
      <c r="J307">
        <v>30200000</v>
      </c>
      <c r="K307">
        <v>24594000</v>
      </c>
      <c r="M307">
        <f>I307-(H307+J307-K307)- L307</f>
        <v>116122400</v>
      </c>
      <c r="N307" t="str">
        <f>IF(M307=0,"Cuadrado",IF(M307&gt;0,"Faltante","Sobrante"))</f>
        <v>Faltante</v>
      </c>
      <c r="O307" t="s">
        <v>506</v>
      </c>
      <c r="P307">
        <v>1073160492</v>
      </c>
    </row>
    <row r="308" spans="1:16" x14ac:dyDescent="0.35">
      <c r="A308">
        <v>383</v>
      </c>
      <c r="B308">
        <v>5194</v>
      </c>
      <c r="C308" t="s">
        <v>19</v>
      </c>
      <c r="D308" t="s">
        <v>19</v>
      </c>
      <c r="E308" s="2">
        <v>46106</v>
      </c>
      <c r="F308" s="2">
        <v>46105</v>
      </c>
      <c r="G308" t="s">
        <v>203</v>
      </c>
      <c r="H308">
        <v>279517850</v>
      </c>
      <c r="I308">
        <v>249245850</v>
      </c>
      <c r="J308">
        <v>3770000</v>
      </c>
      <c r="K308">
        <v>37112000</v>
      </c>
      <c r="L308">
        <f>1650000+1420000</f>
        <v>3070000</v>
      </c>
      <c r="M308">
        <f>I308-(H308+J308-K308)- L308</f>
        <v>0</v>
      </c>
      <c r="N308" t="str">
        <f>IF(M308=0,"Cuadrado",IF(M308&gt;0,"Faltante","Sobrante"))</f>
        <v>Cuadrado</v>
      </c>
      <c r="O308" t="s">
        <v>521</v>
      </c>
      <c r="P308">
        <v>1073160492</v>
      </c>
    </row>
    <row r="309" spans="1:16" hidden="1" x14ac:dyDescent="0.35">
      <c r="A309">
        <v>432</v>
      </c>
      <c r="B309">
        <v>5195</v>
      </c>
      <c r="C309" t="s">
        <v>19</v>
      </c>
      <c r="D309" t="s">
        <v>19</v>
      </c>
      <c r="E309" s="2">
        <v>46099</v>
      </c>
      <c r="F309" s="2">
        <v>46098</v>
      </c>
      <c r="G309" t="s">
        <v>175</v>
      </c>
      <c r="H309">
        <v>222501750</v>
      </c>
      <c r="I309">
        <v>183242750</v>
      </c>
      <c r="J309">
        <v>21210000</v>
      </c>
      <c r="K309">
        <v>63660000</v>
      </c>
      <c r="M309">
        <f>I309-(H309+J309-K309)- L309</f>
        <v>3191000</v>
      </c>
      <c r="N309" t="str">
        <f>IF(M309=0,"Cuadrado",IF(M309&gt;0,"Faltante","Sobrante"))</f>
        <v>Faltante</v>
      </c>
      <c r="O309" t="s">
        <v>37</v>
      </c>
    </row>
    <row r="310" spans="1:16" hidden="1" x14ac:dyDescent="0.35">
      <c r="A310">
        <v>432</v>
      </c>
      <c r="B310">
        <v>5195</v>
      </c>
      <c r="C310" t="s">
        <v>19</v>
      </c>
      <c r="D310" t="s">
        <v>19</v>
      </c>
      <c r="E310" s="2">
        <v>46098</v>
      </c>
      <c r="F310" s="2">
        <v>46097</v>
      </c>
      <c r="G310" t="s">
        <v>201</v>
      </c>
      <c r="H310">
        <v>186934150</v>
      </c>
      <c r="I310">
        <v>196575150</v>
      </c>
      <c r="J310">
        <v>6450000</v>
      </c>
      <c r="K310">
        <v>0</v>
      </c>
      <c r="L310">
        <v>3191000</v>
      </c>
      <c r="M310">
        <f>I310-(H310+J310-K310)- L310</f>
        <v>0</v>
      </c>
      <c r="N310" t="str">
        <f>IF(M310=0,"Cuadrado",IF(M310&gt;0,"Faltante","Sobrante"))</f>
        <v>Cuadrado</v>
      </c>
      <c r="O310" t="s">
        <v>202</v>
      </c>
      <c r="P310">
        <v>71935844</v>
      </c>
    </row>
    <row r="311" spans="1:16" hidden="1" x14ac:dyDescent="0.35">
      <c r="A311">
        <v>432</v>
      </c>
      <c r="B311">
        <v>5195</v>
      </c>
      <c r="C311" t="s">
        <v>19</v>
      </c>
      <c r="D311" t="s">
        <v>19</v>
      </c>
      <c r="E311" s="2">
        <v>46087</v>
      </c>
      <c r="F311" s="2">
        <v>46086</v>
      </c>
      <c r="G311" t="s">
        <v>439</v>
      </c>
      <c r="H311">
        <v>251120200</v>
      </c>
      <c r="I311">
        <v>209185200</v>
      </c>
      <c r="J311">
        <v>19960000</v>
      </c>
      <c r="K311">
        <v>67749000</v>
      </c>
      <c r="L311">
        <v>5854000</v>
      </c>
      <c r="M311">
        <f>I311-(H311+J311-K311)- L311</f>
        <v>0</v>
      </c>
      <c r="N311" t="str">
        <f>IF(M311=0,"Cuadrado",IF(M311&gt;0,"Faltante","Sobrante"))</f>
        <v>Cuadrado</v>
      </c>
      <c r="O311" t="s">
        <v>440</v>
      </c>
      <c r="P311">
        <v>71935844</v>
      </c>
    </row>
    <row r="312" spans="1:16" hidden="1" x14ac:dyDescent="0.35">
      <c r="A312">
        <v>250</v>
      </c>
      <c r="B312">
        <v>5197</v>
      </c>
      <c r="C312" t="s">
        <v>19</v>
      </c>
      <c r="D312" t="s">
        <v>19</v>
      </c>
      <c r="E312" s="2">
        <v>46101</v>
      </c>
      <c r="F312" s="2">
        <v>46100</v>
      </c>
      <c r="G312" t="s">
        <v>60</v>
      </c>
      <c r="H312">
        <v>315572300</v>
      </c>
      <c r="I312">
        <v>320009800</v>
      </c>
      <c r="J312">
        <v>3080000</v>
      </c>
      <c r="K312">
        <v>0</v>
      </c>
      <c r="M312">
        <f>I312-(H312+J312-K312)- L312</f>
        <v>1357500</v>
      </c>
      <c r="N312" t="str">
        <f>IF(M312=0,"Cuadrado",IF(M312&gt;0,"Faltante","Sobrante"))</f>
        <v>Faltante</v>
      </c>
      <c r="O312" t="s">
        <v>61</v>
      </c>
      <c r="P312">
        <v>1013635279</v>
      </c>
    </row>
    <row r="313" spans="1:16" hidden="1" x14ac:dyDescent="0.35">
      <c r="A313">
        <v>674</v>
      </c>
      <c r="B313">
        <v>5200</v>
      </c>
      <c r="C313" t="s">
        <v>19</v>
      </c>
      <c r="D313" t="s">
        <v>19</v>
      </c>
      <c r="E313" s="2">
        <v>46101</v>
      </c>
      <c r="F313" s="2">
        <v>46100</v>
      </c>
      <c r="G313" t="s">
        <v>54</v>
      </c>
      <c r="H313">
        <v>139590250</v>
      </c>
      <c r="I313">
        <v>132419950</v>
      </c>
      <c r="J313">
        <v>6250000</v>
      </c>
      <c r="K313">
        <v>13489950</v>
      </c>
      <c r="M313">
        <f>I313-(H313+J313-K313)- L313</f>
        <v>69650</v>
      </c>
      <c r="N313" t="str">
        <f>IF(M313=0,"Cuadrado",IF(M313&gt;0,"Faltante","Sobrante"))</f>
        <v>Faltante</v>
      </c>
      <c r="O313" t="s">
        <v>62</v>
      </c>
      <c r="P313">
        <v>79813088</v>
      </c>
    </row>
    <row r="314" spans="1:16" hidden="1" x14ac:dyDescent="0.35">
      <c r="A314">
        <v>674</v>
      </c>
      <c r="B314">
        <v>5200</v>
      </c>
      <c r="C314" t="s">
        <v>19</v>
      </c>
      <c r="D314" t="s">
        <v>19</v>
      </c>
      <c r="E314" s="2">
        <v>46098</v>
      </c>
      <c r="F314" s="2">
        <v>46097</v>
      </c>
      <c r="G314" t="s">
        <v>203</v>
      </c>
      <c r="H314">
        <v>99814250</v>
      </c>
      <c r="I314">
        <v>87980250</v>
      </c>
      <c r="J314">
        <v>2100000</v>
      </c>
      <c r="K314">
        <v>12934000</v>
      </c>
      <c r="L314">
        <v>-1000000</v>
      </c>
      <c r="M314">
        <f>I314-(H314+J314-K314)- L314</f>
        <v>0</v>
      </c>
      <c r="N314" t="str">
        <f>IF(M314=0,"Cuadrado",IF(M314&gt;0,"Faltante","Sobrante"))</f>
        <v>Cuadrado</v>
      </c>
      <c r="O314" t="s">
        <v>37</v>
      </c>
      <c r="P314">
        <v>79813088</v>
      </c>
    </row>
    <row r="315" spans="1:16" hidden="1" x14ac:dyDescent="0.35">
      <c r="A315">
        <v>674</v>
      </c>
      <c r="B315">
        <v>5200</v>
      </c>
      <c r="C315" t="s">
        <v>19</v>
      </c>
      <c r="D315" t="s">
        <v>19</v>
      </c>
      <c r="E315" s="2">
        <v>46097</v>
      </c>
      <c r="F315" s="2">
        <v>46094</v>
      </c>
      <c r="G315" t="s">
        <v>177</v>
      </c>
      <c r="H315">
        <v>116721250</v>
      </c>
      <c r="I315">
        <v>110741250</v>
      </c>
      <c r="J315">
        <v>3960000</v>
      </c>
      <c r="K315">
        <v>9650000</v>
      </c>
      <c r="M315">
        <f>I315-(H315+J315-K315)- L315</f>
        <v>-290000</v>
      </c>
      <c r="N315" t="str">
        <f>IF(M315=0,"Cuadrado",IF(M315&gt;0,"Faltante","Sobrante"))</f>
        <v>Sobrante</v>
      </c>
      <c r="P315">
        <v>5200</v>
      </c>
    </row>
    <row r="316" spans="1:16" hidden="1" x14ac:dyDescent="0.35">
      <c r="A316">
        <v>674</v>
      </c>
      <c r="B316">
        <v>5200</v>
      </c>
      <c r="C316" t="s">
        <v>19</v>
      </c>
      <c r="D316" t="s">
        <v>19</v>
      </c>
      <c r="E316" s="2">
        <v>46094</v>
      </c>
      <c r="F316" s="2">
        <v>46093</v>
      </c>
      <c r="G316" t="s">
        <v>267</v>
      </c>
      <c r="H316">
        <v>144812250</v>
      </c>
      <c r="I316">
        <v>148132250</v>
      </c>
      <c r="J316">
        <v>3420000</v>
      </c>
      <c r="K316">
        <v>100000</v>
      </c>
      <c r="L316">
        <v>0</v>
      </c>
      <c r="M316">
        <f>I316-(H316+J316-K316)- L316</f>
        <v>0</v>
      </c>
      <c r="N316" t="str">
        <f>IF(M316=0,"Cuadrado",IF(M316&gt;0,"Faltante","Sobrante"))</f>
        <v>Cuadrado</v>
      </c>
      <c r="O316" t="s">
        <v>303</v>
      </c>
      <c r="P316">
        <v>79813088</v>
      </c>
    </row>
    <row r="317" spans="1:16" hidden="1" x14ac:dyDescent="0.35">
      <c r="A317">
        <v>674</v>
      </c>
      <c r="B317">
        <v>5200</v>
      </c>
      <c r="C317" t="s">
        <v>19</v>
      </c>
      <c r="D317" t="s">
        <v>19</v>
      </c>
      <c r="E317" s="2">
        <v>46092</v>
      </c>
      <c r="F317" s="2">
        <v>46091</v>
      </c>
      <c r="G317" t="s">
        <v>345</v>
      </c>
      <c r="H317">
        <v>140168250</v>
      </c>
      <c r="I317">
        <v>141329250</v>
      </c>
      <c r="J317">
        <v>5780000</v>
      </c>
      <c r="K317">
        <v>7499000</v>
      </c>
      <c r="L317">
        <v>2880000</v>
      </c>
      <c r="M317">
        <f>I317-(H317+J317-K317)- L317</f>
        <v>0</v>
      </c>
      <c r="N317" t="str">
        <f>IF(M317=0,"Cuadrado",IF(M317&gt;0,"Faltante","Sobrante"))</f>
        <v>Cuadrado</v>
      </c>
      <c r="O317" t="s">
        <v>364</v>
      </c>
      <c r="P317">
        <v>79813088</v>
      </c>
    </row>
    <row r="318" spans="1:16" hidden="1" x14ac:dyDescent="0.35">
      <c r="A318">
        <v>674</v>
      </c>
      <c r="B318">
        <v>5200</v>
      </c>
      <c r="C318" t="s">
        <v>19</v>
      </c>
      <c r="D318" t="s">
        <v>19</v>
      </c>
      <c r="E318" s="2">
        <v>46090</v>
      </c>
      <c r="F318" s="2">
        <v>46087</v>
      </c>
      <c r="G318" t="s">
        <v>419</v>
      </c>
      <c r="H318">
        <v>178260250</v>
      </c>
      <c r="I318">
        <v>192902250</v>
      </c>
      <c r="J318">
        <v>34690000</v>
      </c>
      <c r="K318">
        <v>20048000</v>
      </c>
      <c r="L318">
        <v>0</v>
      </c>
      <c r="M318">
        <f>I318-(H318+J318-K318)- L318</f>
        <v>0</v>
      </c>
      <c r="N318" t="str">
        <f>IF(M318=0,"Cuadrado",IF(M318&gt;0,"Faltante","Sobrante"))</f>
        <v>Cuadrado</v>
      </c>
      <c r="O318" t="s">
        <v>420</v>
      </c>
      <c r="P318">
        <v>79813088</v>
      </c>
    </row>
    <row r="319" spans="1:16" hidden="1" x14ac:dyDescent="0.35">
      <c r="A319">
        <v>674</v>
      </c>
      <c r="B319">
        <v>5200</v>
      </c>
      <c r="C319" t="s">
        <v>19</v>
      </c>
      <c r="D319" t="s">
        <v>19</v>
      </c>
      <c r="E319" s="2">
        <v>46085</v>
      </c>
      <c r="F319" s="2">
        <v>46084</v>
      </c>
      <c r="G319" t="s">
        <v>307</v>
      </c>
      <c r="H319">
        <v>71893250</v>
      </c>
      <c r="I319">
        <v>28043300</v>
      </c>
      <c r="J319">
        <v>19150000</v>
      </c>
      <c r="K319">
        <v>0</v>
      </c>
      <c r="L319">
        <v>-62999950</v>
      </c>
      <c r="M319">
        <f>I319-(H319+J319-K319)- L319</f>
        <v>0</v>
      </c>
      <c r="N319" t="str">
        <f>IF(M319=0,"Cuadrado",IF(M319&gt;0,"Faltante","Sobrante"))</f>
        <v>Cuadrado</v>
      </c>
      <c r="O319" t="s">
        <v>497</v>
      </c>
      <c r="P319">
        <v>79813088</v>
      </c>
    </row>
    <row r="320" spans="1:16" x14ac:dyDescent="0.35">
      <c r="A320">
        <v>674</v>
      </c>
      <c r="B320">
        <v>5200</v>
      </c>
      <c r="C320" t="s">
        <v>19</v>
      </c>
      <c r="D320" t="s">
        <v>19</v>
      </c>
      <c r="E320" s="2">
        <v>46106</v>
      </c>
      <c r="F320" s="2">
        <v>46105</v>
      </c>
      <c r="G320" t="s">
        <v>47</v>
      </c>
      <c r="H320">
        <v>13208250</v>
      </c>
      <c r="I320">
        <v>29768300</v>
      </c>
      <c r="J320">
        <v>16560000</v>
      </c>
      <c r="K320">
        <v>0</v>
      </c>
      <c r="L320">
        <f>0</f>
        <v>0</v>
      </c>
      <c r="M320">
        <f>I320-(H320+J320-K320)- L320</f>
        <v>50</v>
      </c>
      <c r="N320" t="str">
        <f>IF(M320=0,"Cuadrado",IF(M320&gt;0,"Faltante","Sobrante"))</f>
        <v>Faltante</v>
      </c>
      <c r="O320" t="s">
        <v>524</v>
      </c>
      <c r="P320">
        <v>79813088</v>
      </c>
    </row>
    <row r="321" spans="1:16" hidden="1" x14ac:dyDescent="0.35">
      <c r="A321">
        <v>606</v>
      </c>
      <c r="B321">
        <v>5201</v>
      </c>
      <c r="C321" t="s">
        <v>19</v>
      </c>
      <c r="D321" t="s">
        <v>19</v>
      </c>
      <c r="E321" s="2">
        <v>46100</v>
      </c>
      <c r="F321" s="2">
        <v>46099</v>
      </c>
      <c r="G321" t="s">
        <v>122</v>
      </c>
      <c r="H321">
        <v>333872450</v>
      </c>
      <c r="I321">
        <v>265972350</v>
      </c>
      <c r="J321">
        <v>29210000</v>
      </c>
      <c r="K321">
        <v>98110100</v>
      </c>
      <c r="L321" t="s">
        <v>98</v>
      </c>
      <c r="M321" t="e">
        <f>I321-(H321+J321-K321)- L321</f>
        <v>#VALUE!</v>
      </c>
      <c r="N321" t="e">
        <f>IF(M321=0,"Cuadrado",IF(M321&gt;0,"Faltante","Sobrante"))</f>
        <v>#VALUE!</v>
      </c>
      <c r="O321" t="s">
        <v>123</v>
      </c>
      <c r="P321">
        <v>33368879</v>
      </c>
    </row>
    <row r="322" spans="1:16" hidden="1" x14ac:dyDescent="0.35">
      <c r="A322">
        <v>606</v>
      </c>
      <c r="B322">
        <v>5201</v>
      </c>
      <c r="C322" t="s">
        <v>19</v>
      </c>
      <c r="D322" t="s">
        <v>19</v>
      </c>
      <c r="E322" s="2">
        <v>46098</v>
      </c>
      <c r="F322" s="2">
        <v>46097</v>
      </c>
      <c r="G322" t="s">
        <v>154</v>
      </c>
      <c r="H322">
        <v>323399450</v>
      </c>
      <c r="I322">
        <v>330859450</v>
      </c>
      <c r="J322">
        <v>6460000</v>
      </c>
      <c r="K322">
        <v>0</v>
      </c>
      <c r="L322">
        <v>0</v>
      </c>
      <c r="M322">
        <f>I322-(H322+J322-K322)- L322</f>
        <v>1000000</v>
      </c>
      <c r="N322" t="str">
        <f>IF(M322=0,"Cuadrado",IF(M322&gt;0,"Faltante","Sobrante"))</f>
        <v>Faltante</v>
      </c>
      <c r="P322">
        <v>33368879</v>
      </c>
    </row>
    <row r="323" spans="1:16" hidden="1" x14ac:dyDescent="0.35">
      <c r="A323">
        <v>606</v>
      </c>
      <c r="B323">
        <v>5201</v>
      </c>
      <c r="C323" t="s">
        <v>19</v>
      </c>
      <c r="D323" t="s">
        <v>19</v>
      </c>
      <c r="E323" s="2">
        <v>46094</v>
      </c>
      <c r="F323" s="2">
        <v>46093</v>
      </c>
      <c r="G323" t="s">
        <v>264</v>
      </c>
      <c r="H323">
        <v>350567400</v>
      </c>
      <c r="I323">
        <v>351577400</v>
      </c>
      <c r="J323">
        <v>1010000</v>
      </c>
      <c r="K323">
        <v>0</v>
      </c>
      <c r="M323">
        <f>I323-(H323+J323-K323)- L323</f>
        <v>0</v>
      </c>
      <c r="N323" t="str">
        <f>IF(M323=0,"Cuadrado",IF(M323&gt;0,"Faltante","Sobrante"))</f>
        <v>Cuadrado</v>
      </c>
      <c r="O323" t="s">
        <v>37</v>
      </c>
      <c r="P323">
        <v>33368879</v>
      </c>
    </row>
    <row r="324" spans="1:16" hidden="1" x14ac:dyDescent="0.35">
      <c r="A324">
        <v>606</v>
      </c>
      <c r="B324">
        <v>5201</v>
      </c>
      <c r="C324" t="s">
        <v>19</v>
      </c>
      <c r="D324" t="s">
        <v>19</v>
      </c>
      <c r="E324" s="2">
        <v>46092</v>
      </c>
      <c r="F324" s="2">
        <v>46091</v>
      </c>
      <c r="G324" t="s">
        <v>314</v>
      </c>
      <c r="H324">
        <v>172851050</v>
      </c>
      <c r="I324">
        <v>137350250</v>
      </c>
      <c r="J324">
        <v>8780000</v>
      </c>
      <c r="K324">
        <v>43280800</v>
      </c>
      <c r="M324">
        <f>I324-(H324+J324-K324)- L324</f>
        <v>-1000000</v>
      </c>
      <c r="N324" t="str">
        <f>IF(M324=0,"Cuadrado",IF(M324&gt;0,"Faltante","Sobrante"))</f>
        <v>Sobrante</v>
      </c>
      <c r="O324" t="s">
        <v>357</v>
      </c>
      <c r="P324">
        <v>33368879</v>
      </c>
    </row>
    <row r="325" spans="1:16" hidden="1" x14ac:dyDescent="0.35">
      <c r="A325">
        <v>606</v>
      </c>
      <c r="B325">
        <v>5201</v>
      </c>
      <c r="C325" t="s">
        <v>19</v>
      </c>
      <c r="D325" t="s">
        <v>19</v>
      </c>
      <c r="E325" s="2">
        <v>46087</v>
      </c>
      <c r="F325" s="2">
        <v>46086</v>
      </c>
      <c r="G325" t="s">
        <v>441</v>
      </c>
      <c r="H325">
        <v>278527850</v>
      </c>
      <c r="I325">
        <v>269966850</v>
      </c>
      <c r="J325">
        <v>19190000</v>
      </c>
      <c r="K325">
        <v>32881000</v>
      </c>
      <c r="L325">
        <v>5130000</v>
      </c>
      <c r="M325">
        <f>I325-(H325+J325-K325)- L325</f>
        <v>0</v>
      </c>
      <c r="N325" t="str">
        <f>IF(M325=0,"Cuadrado",IF(M325&gt;0,"Faltante","Sobrante"))</f>
        <v>Cuadrado</v>
      </c>
      <c r="O325" t="s">
        <v>442</v>
      </c>
      <c r="P325">
        <v>33368879</v>
      </c>
    </row>
    <row r="326" spans="1:16" hidden="1" x14ac:dyDescent="0.35">
      <c r="A326">
        <v>77</v>
      </c>
      <c r="B326">
        <v>5204</v>
      </c>
      <c r="C326" t="s">
        <v>19</v>
      </c>
      <c r="D326" t="s">
        <v>19</v>
      </c>
      <c r="E326" s="2">
        <v>46093</v>
      </c>
      <c r="F326" s="2">
        <v>46092</v>
      </c>
      <c r="G326" t="s">
        <v>148</v>
      </c>
      <c r="H326">
        <v>176326300</v>
      </c>
      <c r="I326">
        <v>162865300</v>
      </c>
      <c r="J326">
        <v>13450000</v>
      </c>
      <c r="K326">
        <v>22954000</v>
      </c>
      <c r="M326">
        <f>I326-(H326+J326-K326)- L326</f>
        <v>-3957000</v>
      </c>
      <c r="N326" t="str">
        <f>IF(M326=0,"Cuadrado",IF(M326&gt;0,"Faltante","Sobrante"))</f>
        <v>Sobrante</v>
      </c>
      <c r="O326" t="s">
        <v>311</v>
      </c>
      <c r="P326">
        <v>94493031</v>
      </c>
    </row>
    <row r="327" spans="1:16" hidden="1" x14ac:dyDescent="0.35">
      <c r="A327">
        <v>77</v>
      </c>
      <c r="B327">
        <v>5204</v>
      </c>
      <c r="C327" t="s">
        <v>19</v>
      </c>
      <c r="D327" t="s">
        <v>16</v>
      </c>
      <c r="E327" s="2">
        <v>46084</v>
      </c>
      <c r="F327" s="2">
        <v>46080</v>
      </c>
      <c r="G327" t="s">
        <v>145</v>
      </c>
      <c r="H327">
        <v>125379500</v>
      </c>
      <c r="I327">
        <v>138577800</v>
      </c>
      <c r="J327">
        <v>31520000</v>
      </c>
      <c r="K327">
        <v>18321700</v>
      </c>
      <c r="M327">
        <f>I327-(H327+J327-K327)- L327</f>
        <v>0</v>
      </c>
      <c r="N327" t="str">
        <f>IF(M327=0,"Cuadrado",IF(M327&gt;0,"Faltante","Sobrante"))</f>
        <v>Cuadrado</v>
      </c>
      <c r="O327" t="s">
        <v>37</v>
      </c>
      <c r="P327">
        <v>94493031</v>
      </c>
    </row>
    <row r="328" spans="1:16" hidden="1" x14ac:dyDescent="0.35">
      <c r="A328">
        <v>816</v>
      </c>
      <c r="B328">
        <v>5205</v>
      </c>
      <c r="C328" t="s">
        <v>19</v>
      </c>
      <c r="D328" t="s">
        <v>19</v>
      </c>
      <c r="E328" s="2">
        <v>46094</v>
      </c>
      <c r="F328" s="2">
        <v>46093</v>
      </c>
      <c r="G328" t="s">
        <v>267</v>
      </c>
      <c r="H328">
        <v>102244950</v>
      </c>
      <c r="I328">
        <v>86572850</v>
      </c>
      <c r="J328">
        <v>580000</v>
      </c>
      <c r="K328">
        <v>13500000</v>
      </c>
      <c r="M328">
        <f>I328-(H328+J328-K328)- L328</f>
        <v>-2752100</v>
      </c>
      <c r="N328" t="str">
        <f>IF(M328=0,"Cuadrado",IF(M328&gt;0,"Faltante","Sobrante"))</f>
        <v>Sobrante</v>
      </c>
      <c r="O328" t="s">
        <v>245</v>
      </c>
      <c r="P328">
        <v>60396209</v>
      </c>
    </row>
    <row r="329" spans="1:16" hidden="1" x14ac:dyDescent="0.35">
      <c r="A329">
        <v>455</v>
      </c>
      <c r="B329">
        <v>5206</v>
      </c>
      <c r="C329" t="s">
        <v>19</v>
      </c>
      <c r="D329" t="s">
        <v>19</v>
      </c>
      <c r="E329" s="2">
        <v>46100</v>
      </c>
      <c r="F329" s="2">
        <v>46099</v>
      </c>
      <c r="G329" t="s">
        <v>124</v>
      </c>
      <c r="H329">
        <v>382698050</v>
      </c>
      <c r="I329">
        <v>359433050</v>
      </c>
      <c r="J329">
        <v>330000</v>
      </c>
      <c r="K329">
        <v>12500000</v>
      </c>
      <c r="M329">
        <f>I329-(H329+J329-K329)- L329</f>
        <v>-11095000</v>
      </c>
      <c r="N329" t="str">
        <f>IF(M329=0,"Cuadrado",IF(M329&gt;0,"Faltante","Sobrante"))</f>
        <v>Sobrante</v>
      </c>
      <c r="O329" t="s">
        <v>95</v>
      </c>
      <c r="P329">
        <v>1083896352</v>
      </c>
    </row>
    <row r="330" spans="1:16" hidden="1" x14ac:dyDescent="0.35">
      <c r="A330">
        <v>455</v>
      </c>
      <c r="B330">
        <v>5206</v>
      </c>
      <c r="C330" t="s">
        <v>19</v>
      </c>
      <c r="D330" t="s">
        <v>19</v>
      </c>
      <c r="E330" s="2">
        <v>46098</v>
      </c>
      <c r="F330" s="2">
        <v>46097</v>
      </c>
      <c r="G330" t="s">
        <v>204</v>
      </c>
      <c r="H330">
        <v>213364050</v>
      </c>
      <c r="I330">
        <v>206608550</v>
      </c>
      <c r="J330">
        <v>2300000</v>
      </c>
      <c r="K330">
        <v>5100000</v>
      </c>
      <c r="L330">
        <v>0</v>
      </c>
      <c r="M330">
        <f>I330-(H330+J330-K330)- L330</f>
        <v>-3955500</v>
      </c>
      <c r="N330" t="str">
        <f>IF(M330=0,"Cuadrado",IF(M330&gt;0,"Faltante","Sobrante"))</f>
        <v>Sobrante</v>
      </c>
      <c r="P330">
        <v>1083896352</v>
      </c>
    </row>
    <row r="331" spans="1:16" hidden="1" x14ac:dyDescent="0.35">
      <c r="A331">
        <v>455</v>
      </c>
      <c r="B331">
        <v>5206</v>
      </c>
      <c r="C331" t="s">
        <v>19</v>
      </c>
      <c r="D331" t="s">
        <v>19</v>
      </c>
      <c r="E331" s="2">
        <v>46094</v>
      </c>
      <c r="F331" s="2">
        <v>46093</v>
      </c>
      <c r="G331" t="s">
        <v>149</v>
      </c>
      <c r="H331">
        <v>191508150</v>
      </c>
      <c r="I331">
        <v>173237600</v>
      </c>
      <c r="J331">
        <v>2070000</v>
      </c>
      <c r="K331">
        <v>17940000</v>
      </c>
      <c r="M331">
        <f>I331-(H331+J331-K331)- L331</f>
        <v>-2400550</v>
      </c>
      <c r="N331" t="str">
        <f>IF(M331=0,"Cuadrado",IF(M331&gt;0,"Faltante","Sobrante"))</f>
        <v>Sobrante</v>
      </c>
      <c r="O331" t="s">
        <v>245</v>
      </c>
      <c r="P331">
        <v>1083896352</v>
      </c>
    </row>
    <row r="332" spans="1:16" hidden="1" x14ac:dyDescent="0.35">
      <c r="A332">
        <v>455</v>
      </c>
      <c r="B332">
        <v>5206</v>
      </c>
      <c r="C332" t="s">
        <v>19</v>
      </c>
      <c r="D332" t="s">
        <v>19</v>
      </c>
      <c r="E332" s="2">
        <v>46091</v>
      </c>
      <c r="F332" s="2">
        <v>46090</v>
      </c>
      <c r="G332" t="s">
        <v>116</v>
      </c>
      <c r="H332">
        <v>197434400</v>
      </c>
      <c r="I332">
        <v>563024050</v>
      </c>
      <c r="J332">
        <v>8090000</v>
      </c>
      <c r="K332">
        <v>198081000</v>
      </c>
      <c r="L332">
        <v>564461000</v>
      </c>
      <c r="M332">
        <f>I332-(H332+J332-K332)- L332</f>
        <v>-8880350</v>
      </c>
      <c r="N332" t="str">
        <f>IF(M332=0,"Cuadrado",IF(M332&gt;0,"Faltante","Sobrante"))</f>
        <v>Sobrante</v>
      </c>
      <c r="O332" t="s">
        <v>383</v>
      </c>
      <c r="P332">
        <v>1083896352</v>
      </c>
    </row>
    <row r="333" spans="1:16" hidden="1" x14ac:dyDescent="0.35">
      <c r="A333">
        <v>455</v>
      </c>
      <c r="B333">
        <v>5206</v>
      </c>
      <c r="C333" t="s">
        <v>19</v>
      </c>
      <c r="D333" t="s">
        <v>19</v>
      </c>
      <c r="E333" s="2">
        <v>46084</v>
      </c>
      <c r="F333" s="2">
        <v>46083</v>
      </c>
      <c r="G333" t="s">
        <v>276</v>
      </c>
      <c r="H333">
        <v>369152000</v>
      </c>
      <c r="I333">
        <v>319262200</v>
      </c>
      <c r="J333">
        <v>6650000</v>
      </c>
      <c r="K333">
        <v>56539800</v>
      </c>
      <c r="M333">
        <f>I333-(H333+J333-K333)- L333</f>
        <v>0</v>
      </c>
      <c r="N333" t="str">
        <f>IF(M333=0,"Cuadrado",IF(M333&gt;0,"Faltante","Sobrante"))</f>
        <v>Cuadrado</v>
      </c>
      <c r="O333" t="s">
        <v>37</v>
      </c>
      <c r="P333">
        <v>1083896352</v>
      </c>
    </row>
    <row r="334" spans="1:16" hidden="1" x14ac:dyDescent="0.35">
      <c r="A334">
        <v>217</v>
      </c>
      <c r="B334">
        <v>5208</v>
      </c>
      <c r="C334" t="s">
        <v>19</v>
      </c>
      <c r="D334" t="s">
        <v>19</v>
      </c>
      <c r="E334" s="2">
        <v>46101</v>
      </c>
      <c r="F334" s="2">
        <v>46100</v>
      </c>
      <c r="G334" t="s">
        <v>63</v>
      </c>
      <c r="H334">
        <v>193960250</v>
      </c>
      <c r="I334">
        <v>219364250</v>
      </c>
      <c r="J334">
        <v>38470000</v>
      </c>
      <c r="K334">
        <v>13046000</v>
      </c>
      <c r="M334">
        <f>I334-(H334+J334-K334)- L334</f>
        <v>-20000</v>
      </c>
      <c r="N334" t="str">
        <f>IF(M334=0,"Cuadrado",IF(M334&gt;0,"Faltante","Sobrante"))</f>
        <v>Sobrante</v>
      </c>
      <c r="O334" t="s">
        <v>39</v>
      </c>
      <c r="P334">
        <v>4247261</v>
      </c>
    </row>
    <row r="335" spans="1:16" hidden="1" x14ac:dyDescent="0.35">
      <c r="A335">
        <v>793</v>
      </c>
      <c r="B335">
        <v>5216</v>
      </c>
      <c r="C335" t="s">
        <v>19</v>
      </c>
      <c r="D335" t="s">
        <v>19</v>
      </c>
      <c r="E335" s="2">
        <v>46105</v>
      </c>
      <c r="F335" s="2">
        <v>46101</v>
      </c>
      <c r="G335" t="s">
        <v>25</v>
      </c>
      <c r="H335">
        <v>230994400</v>
      </c>
      <c r="I335">
        <v>220238400</v>
      </c>
      <c r="J335">
        <v>11820000</v>
      </c>
      <c r="K335">
        <v>18526000</v>
      </c>
      <c r="L335">
        <v>0</v>
      </c>
      <c r="M335">
        <f>I335-(H335+J335-K335)- L335</f>
        <v>-4050000</v>
      </c>
      <c r="N335" t="str">
        <f>IF(M335=0,"Cuadrado",IF(M335&gt;0,"Faltante","Sobrante"))</f>
        <v>Sobrante</v>
      </c>
      <c r="O335" t="s">
        <v>21</v>
      </c>
      <c r="P335">
        <v>80218400</v>
      </c>
    </row>
    <row r="336" spans="1:16" hidden="1" x14ac:dyDescent="0.35">
      <c r="A336">
        <v>793</v>
      </c>
      <c r="B336">
        <v>5216</v>
      </c>
      <c r="C336" t="s">
        <v>19</v>
      </c>
      <c r="D336" t="s">
        <v>19</v>
      </c>
      <c r="E336" s="2">
        <v>46093</v>
      </c>
      <c r="F336" s="2">
        <v>46092</v>
      </c>
      <c r="G336" t="s">
        <v>57</v>
      </c>
      <c r="H336">
        <v>233648900</v>
      </c>
      <c r="I336">
        <v>233187900</v>
      </c>
      <c r="J336">
        <v>8890000</v>
      </c>
      <c r="K336">
        <v>6322000</v>
      </c>
      <c r="M336">
        <f>I336-(H336+J336-K336)- L336</f>
        <v>-3029000</v>
      </c>
      <c r="N336" t="str">
        <f>IF(M336=0,"Cuadrado",IF(M336&gt;0,"Faltante","Sobrante"))</f>
        <v>Sobrante</v>
      </c>
      <c r="O336" t="s">
        <v>311</v>
      </c>
      <c r="P336">
        <v>80218400</v>
      </c>
    </row>
    <row r="337" spans="1:16" hidden="1" x14ac:dyDescent="0.35">
      <c r="A337">
        <v>16</v>
      </c>
      <c r="B337">
        <v>5219</v>
      </c>
      <c r="C337" t="s">
        <v>19</v>
      </c>
      <c r="D337" t="s">
        <v>19</v>
      </c>
      <c r="E337" s="2">
        <v>46094</v>
      </c>
      <c r="F337" s="2">
        <v>46093</v>
      </c>
      <c r="G337" t="s">
        <v>203</v>
      </c>
      <c r="H337">
        <v>128031250</v>
      </c>
      <c r="I337">
        <v>134121400</v>
      </c>
      <c r="J337">
        <v>6440000</v>
      </c>
      <c r="K337">
        <v>13451000</v>
      </c>
      <c r="L337">
        <v>13101150</v>
      </c>
      <c r="M337">
        <f>I337-(H337+J337-K337)- L337</f>
        <v>0</v>
      </c>
      <c r="N337" t="str">
        <f>IF(M337=0,"Cuadrado",IF(M337&gt;0,"Faltante","Sobrante"))</f>
        <v>Cuadrado</v>
      </c>
      <c r="O337" t="s">
        <v>37</v>
      </c>
      <c r="P337">
        <v>1128405320</v>
      </c>
    </row>
    <row r="338" spans="1:16" hidden="1" x14ac:dyDescent="0.35">
      <c r="A338">
        <v>16</v>
      </c>
      <c r="B338">
        <v>5219</v>
      </c>
      <c r="C338" t="s">
        <v>19</v>
      </c>
      <c r="D338" t="s">
        <v>19</v>
      </c>
      <c r="E338" s="2">
        <v>46093</v>
      </c>
      <c r="F338" s="2">
        <v>46092</v>
      </c>
      <c r="G338" t="s">
        <v>124</v>
      </c>
      <c r="H338">
        <v>216062250</v>
      </c>
      <c r="I338">
        <v>227953400</v>
      </c>
      <c r="J338">
        <v>1190000</v>
      </c>
      <c r="K338">
        <v>2400000</v>
      </c>
      <c r="L338">
        <v>13101150</v>
      </c>
      <c r="M338">
        <f>I338-(H338+J338-K338)- L338</f>
        <v>0</v>
      </c>
      <c r="N338" t="str">
        <f>IF(M338=0,"Cuadrado",IF(M338&gt;0,"Faltante","Sobrante"))</f>
        <v>Cuadrado</v>
      </c>
      <c r="O338" t="s">
        <v>324</v>
      </c>
      <c r="P338">
        <v>1128405320</v>
      </c>
    </row>
    <row r="339" spans="1:16" hidden="1" x14ac:dyDescent="0.35">
      <c r="A339">
        <v>16</v>
      </c>
      <c r="B339">
        <v>5219</v>
      </c>
      <c r="C339" t="s">
        <v>19</v>
      </c>
      <c r="D339" t="s">
        <v>19</v>
      </c>
      <c r="E339" s="2">
        <v>46087</v>
      </c>
      <c r="F339" s="2">
        <v>46086</v>
      </c>
      <c r="G339" t="s">
        <v>443</v>
      </c>
      <c r="H339">
        <v>112217850</v>
      </c>
      <c r="I339">
        <v>99111700</v>
      </c>
      <c r="J339">
        <v>0</v>
      </c>
      <c r="K339">
        <v>0</v>
      </c>
      <c r="M339">
        <f>I339-(H339+J339-K339)- L339</f>
        <v>-13106150</v>
      </c>
      <c r="N339" t="str">
        <f>IF(M339=0,"Cuadrado",IF(M339&gt;0,"Faltante","Sobrante"))</f>
        <v>Sobrante</v>
      </c>
      <c r="O339" t="s">
        <v>423</v>
      </c>
      <c r="P339">
        <v>1128391338</v>
      </c>
    </row>
    <row r="340" spans="1:16" hidden="1" x14ac:dyDescent="0.35">
      <c r="A340">
        <v>941</v>
      </c>
      <c r="B340">
        <v>5220</v>
      </c>
      <c r="C340" t="s">
        <v>19</v>
      </c>
      <c r="D340" t="s">
        <v>19</v>
      </c>
      <c r="E340" s="2">
        <v>46100</v>
      </c>
      <c r="F340" s="2">
        <v>46099</v>
      </c>
      <c r="G340" t="s">
        <v>125</v>
      </c>
      <c r="H340">
        <v>249194500</v>
      </c>
      <c r="I340">
        <v>249438400</v>
      </c>
      <c r="J340">
        <v>1320000</v>
      </c>
      <c r="K340" t="s">
        <v>98</v>
      </c>
      <c r="L340">
        <v>-1076100</v>
      </c>
      <c r="M340" t="e">
        <f>I340-(H340+J340-K340)- L340</f>
        <v>#VALUE!</v>
      </c>
      <c r="N340" t="e">
        <f>IF(M340=0,"Cuadrado",IF(M340&gt;0,"Faltante","Sobrante"))</f>
        <v>#VALUE!</v>
      </c>
      <c r="O340" t="s">
        <v>126</v>
      </c>
      <c r="P340">
        <v>1075228904</v>
      </c>
    </row>
    <row r="341" spans="1:16" hidden="1" x14ac:dyDescent="0.35">
      <c r="A341">
        <v>941</v>
      </c>
      <c r="B341">
        <v>5220</v>
      </c>
      <c r="C341" t="s">
        <v>19</v>
      </c>
      <c r="D341" t="s">
        <v>19</v>
      </c>
      <c r="E341" s="2">
        <v>46099</v>
      </c>
      <c r="F341" s="2">
        <v>46098</v>
      </c>
      <c r="G341" t="s">
        <v>176</v>
      </c>
      <c r="H341">
        <v>209349950</v>
      </c>
      <c r="I341">
        <v>205893400</v>
      </c>
      <c r="J341">
        <v>4160000</v>
      </c>
      <c r="K341">
        <v>6540000</v>
      </c>
      <c r="M341">
        <f>I341-(H341+J341-K341)- L341</f>
        <v>-1076550</v>
      </c>
      <c r="N341" t="str">
        <f>IF(M341=0,"Cuadrado",IF(M341&gt;0,"Faltante","Sobrante"))</f>
        <v>Sobrante</v>
      </c>
      <c r="O341" t="s">
        <v>156</v>
      </c>
    </row>
    <row r="342" spans="1:16" hidden="1" x14ac:dyDescent="0.35">
      <c r="A342">
        <v>941</v>
      </c>
      <c r="B342">
        <v>5220</v>
      </c>
      <c r="C342" t="s">
        <v>19</v>
      </c>
      <c r="D342" t="s">
        <v>19</v>
      </c>
      <c r="E342" s="2">
        <v>46087</v>
      </c>
      <c r="F342" s="2">
        <v>46086</v>
      </c>
      <c r="G342" t="s">
        <v>444</v>
      </c>
      <c r="H342">
        <v>220258900</v>
      </c>
      <c r="I342">
        <v>220561700</v>
      </c>
      <c r="J342">
        <v>0</v>
      </c>
      <c r="K342">
        <v>0</v>
      </c>
      <c r="M342">
        <f>I342-(H342+J342-K342)- L342</f>
        <v>302800</v>
      </c>
      <c r="N342" t="str">
        <f>IF(M342=0,"Cuadrado",IF(M342&gt;0,"Faltante","Sobrante"))</f>
        <v>Faltante</v>
      </c>
      <c r="O342" t="s">
        <v>445</v>
      </c>
      <c r="P342">
        <v>1075228904</v>
      </c>
    </row>
    <row r="343" spans="1:16" hidden="1" x14ac:dyDescent="0.35">
      <c r="A343">
        <v>941</v>
      </c>
      <c r="B343">
        <v>5220</v>
      </c>
      <c r="C343" t="s">
        <v>19</v>
      </c>
      <c r="D343" t="s">
        <v>19</v>
      </c>
      <c r="E343" s="2">
        <v>46085</v>
      </c>
      <c r="F343" s="2">
        <v>46084</v>
      </c>
      <c r="G343" t="s">
        <v>502</v>
      </c>
      <c r="H343">
        <v>175224750</v>
      </c>
      <c r="I343">
        <v>202854800</v>
      </c>
      <c r="J343">
        <v>15720000</v>
      </c>
      <c r="K343">
        <v>283115900</v>
      </c>
      <c r="L343">
        <v>294909000</v>
      </c>
      <c r="M343">
        <f>I343-(H343+J343-K343)- L343</f>
        <v>116950</v>
      </c>
      <c r="N343" t="str">
        <f>IF(M343=0,"Cuadrado",IF(M343&gt;0,"Faltante","Sobrante"))</f>
        <v>Faltante</v>
      </c>
      <c r="O343" t="s">
        <v>260</v>
      </c>
      <c r="P343">
        <v>1075228904</v>
      </c>
    </row>
    <row r="344" spans="1:16" hidden="1" x14ac:dyDescent="0.35">
      <c r="A344">
        <v>221</v>
      </c>
      <c r="B344">
        <v>5221</v>
      </c>
      <c r="C344" t="s">
        <v>19</v>
      </c>
      <c r="D344" t="s">
        <v>19</v>
      </c>
      <c r="E344" s="2">
        <v>46100</v>
      </c>
      <c r="F344" s="2">
        <v>46099</v>
      </c>
      <c r="G344" t="s">
        <v>127</v>
      </c>
      <c r="H344">
        <v>338830100</v>
      </c>
      <c r="I344">
        <v>315740100</v>
      </c>
      <c r="J344">
        <v>4640000</v>
      </c>
      <c r="K344">
        <v>18520000</v>
      </c>
      <c r="M344">
        <f>I344-(H344+J344-K344)- L344</f>
        <v>-9210000</v>
      </c>
      <c r="N344" t="str">
        <f>IF(M344=0,"Cuadrado",IF(M344&gt;0,"Faltante","Sobrante"))</f>
        <v>Sobrante</v>
      </c>
      <c r="O344" t="s">
        <v>95</v>
      </c>
      <c r="P344">
        <v>52833254</v>
      </c>
    </row>
    <row r="345" spans="1:16" hidden="1" x14ac:dyDescent="0.35">
      <c r="A345">
        <v>221</v>
      </c>
      <c r="B345">
        <v>5221</v>
      </c>
      <c r="C345" t="s">
        <v>19</v>
      </c>
      <c r="D345" t="s">
        <v>19</v>
      </c>
      <c r="E345" s="2">
        <v>46093</v>
      </c>
      <c r="F345" s="2">
        <v>46092</v>
      </c>
      <c r="G345" t="s">
        <v>168</v>
      </c>
      <c r="H345">
        <v>274694500</v>
      </c>
      <c r="I345">
        <v>273604500</v>
      </c>
      <c r="J345">
        <v>2400000</v>
      </c>
      <c r="K345">
        <v>0</v>
      </c>
      <c r="M345">
        <f>I345-(H345+J345-K345)- L345</f>
        <v>-3490000</v>
      </c>
      <c r="N345" t="str">
        <f>IF(M345=0,"Cuadrado",IF(M345&gt;0,"Faltante","Sobrante"))</f>
        <v>Sobrante</v>
      </c>
      <c r="O345" t="s">
        <v>311</v>
      </c>
      <c r="P345">
        <v>52833254</v>
      </c>
    </row>
    <row r="346" spans="1:16" hidden="1" x14ac:dyDescent="0.35">
      <c r="A346">
        <v>221</v>
      </c>
      <c r="B346">
        <v>5221</v>
      </c>
      <c r="C346" t="s">
        <v>19</v>
      </c>
      <c r="D346" t="s">
        <v>19</v>
      </c>
      <c r="E346" s="2">
        <v>46084</v>
      </c>
      <c r="F346" s="2">
        <v>46081</v>
      </c>
      <c r="G346" t="s">
        <v>140</v>
      </c>
      <c r="H346">
        <v>110352600</v>
      </c>
      <c r="I346">
        <v>174772600</v>
      </c>
      <c r="J346">
        <v>64420000</v>
      </c>
      <c r="K346">
        <v>0</v>
      </c>
      <c r="M346">
        <f>I346-(H346+J346-K346)- L346</f>
        <v>0</v>
      </c>
      <c r="N346" t="str">
        <f>IF(M346=0,"Cuadrado",IF(M346&gt;0,"Faltante","Sobrante"))</f>
        <v>Cuadrado</v>
      </c>
      <c r="O346" t="s">
        <v>37</v>
      </c>
      <c r="P346">
        <v>52833254</v>
      </c>
    </row>
    <row r="347" spans="1:16" hidden="1" x14ac:dyDescent="0.35">
      <c r="A347">
        <v>168</v>
      </c>
      <c r="B347">
        <v>5224</v>
      </c>
      <c r="C347" t="s">
        <v>19</v>
      </c>
      <c r="D347" t="s">
        <v>19</v>
      </c>
      <c r="E347" s="2">
        <v>46100</v>
      </c>
      <c r="F347" s="2">
        <v>46099</v>
      </c>
      <c r="G347" t="s">
        <v>128</v>
      </c>
      <c r="H347">
        <v>79774550</v>
      </c>
      <c r="I347">
        <v>84034550</v>
      </c>
      <c r="J347">
        <v>5990000</v>
      </c>
      <c r="K347">
        <v>2400000</v>
      </c>
      <c r="L347">
        <v>670000</v>
      </c>
      <c r="M347">
        <f>I347-(H347+J347-K347)- L347</f>
        <v>0</v>
      </c>
      <c r="N347" t="str">
        <f>IF(M347=0,"Cuadrado",IF(M347&gt;0,"Faltante","Sobrante"))</f>
        <v>Cuadrado</v>
      </c>
      <c r="O347" t="s">
        <v>129</v>
      </c>
      <c r="P347">
        <v>1019018856</v>
      </c>
    </row>
    <row r="348" spans="1:16" hidden="1" x14ac:dyDescent="0.35">
      <c r="A348">
        <v>946</v>
      </c>
      <c r="B348">
        <v>5225</v>
      </c>
      <c r="C348" t="s">
        <v>19</v>
      </c>
      <c r="D348" t="s">
        <v>19</v>
      </c>
      <c r="E348" s="2">
        <v>46099</v>
      </c>
      <c r="F348" s="2">
        <v>46098</v>
      </c>
      <c r="G348" t="s">
        <v>177</v>
      </c>
      <c r="H348">
        <v>321212350</v>
      </c>
      <c r="I348">
        <v>348568350</v>
      </c>
      <c r="J348">
        <v>34740000</v>
      </c>
      <c r="K348">
        <v>7084000</v>
      </c>
      <c r="M348">
        <f>I348-(H348+J348-K348)- L348</f>
        <v>-300000</v>
      </c>
      <c r="N348" t="str">
        <f>IF(M348=0,"Cuadrado",IF(M348&gt;0,"Faltante","Sobrante"))</f>
        <v>Sobrante</v>
      </c>
      <c r="O348" t="s">
        <v>156</v>
      </c>
    </row>
    <row r="349" spans="1:16" hidden="1" x14ac:dyDescent="0.35">
      <c r="A349">
        <v>946</v>
      </c>
      <c r="B349">
        <v>5225</v>
      </c>
      <c r="C349" t="s">
        <v>19</v>
      </c>
      <c r="D349" t="s">
        <v>19</v>
      </c>
      <c r="E349" s="2">
        <v>46093</v>
      </c>
      <c r="F349" s="2">
        <v>46092</v>
      </c>
      <c r="G349" t="s">
        <v>325</v>
      </c>
      <c r="H349">
        <v>205201950</v>
      </c>
      <c r="I349">
        <v>227981950</v>
      </c>
      <c r="J349">
        <v>25120000</v>
      </c>
      <c r="K349">
        <v>2220000</v>
      </c>
      <c r="M349">
        <f>I349-(H349+J349-K349)- L349</f>
        <v>-120000</v>
      </c>
      <c r="N349" t="str">
        <f>IF(M349=0,"Cuadrado",IF(M349&gt;0,"Faltante","Sobrante"))</f>
        <v>Sobrante</v>
      </c>
      <c r="O349" t="s">
        <v>311</v>
      </c>
      <c r="P349">
        <v>20500181</v>
      </c>
    </row>
    <row r="350" spans="1:16" hidden="1" x14ac:dyDescent="0.35">
      <c r="A350">
        <v>946</v>
      </c>
      <c r="B350">
        <v>5225</v>
      </c>
      <c r="C350" t="s">
        <v>19</v>
      </c>
      <c r="D350" t="s">
        <v>19</v>
      </c>
      <c r="E350" s="2">
        <v>46085</v>
      </c>
      <c r="F350" s="2">
        <v>46084</v>
      </c>
      <c r="G350" t="s">
        <v>432</v>
      </c>
      <c r="H350">
        <v>279513950</v>
      </c>
      <c r="I350">
        <v>285863950</v>
      </c>
      <c r="J350">
        <v>10920000</v>
      </c>
      <c r="K350">
        <v>4570000</v>
      </c>
      <c r="M350">
        <f>I350-(H350+J350-K350)- L350</f>
        <v>0</v>
      </c>
      <c r="N350" t="str">
        <f>IF(M350=0,"Cuadrado",IF(M350&gt;0,"Faltante","Sobrante"))</f>
        <v>Cuadrado</v>
      </c>
      <c r="O350" t="s">
        <v>37</v>
      </c>
      <c r="P350">
        <v>20500181</v>
      </c>
    </row>
    <row r="351" spans="1:16" hidden="1" x14ac:dyDescent="0.35">
      <c r="A351">
        <v>946</v>
      </c>
      <c r="B351">
        <v>5225</v>
      </c>
      <c r="C351" t="s">
        <v>19</v>
      </c>
      <c r="D351" t="s">
        <v>19</v>
      </c>
      <c r="E351" s="2">
        <v>46084</v>
      </c>
      <c r="F351" s="2">
        <v>46080</v>
      </c>
      <c r="G351" t="s">
        <v>514</v>
      </c>
      <c r="H351">
        <v>203942750</v>
      </c>
      <c r="I351">
        <v>246926750</v>
      </c>
      <c r="J351">
        <v>47380000</v>
      </c>
      <c r="K351">
        <v>4396000</v>
      </c>
      <c r="M351">
        <f>I351-(H351+J351-K351)- L351</f>
        <v>0</v>
      </c>
      <c r="N351" t="str">
        <f>IF(M351=0,"Cuadrado",IF(M351&gt;0,"Faltante","Sobrante"))</f>
        <v>Cuadrado</v>
      </c>
      <c r="O351" t="s">
        <v>37</v>
      </c>
      <c r="P351">
        <v>20500181</v>
      </c>
    </row>
    <row r="352" spans="1:16" hidden="1" x14ac:dyDescent="0.35">
      <c r="A352">
        <v>678</v>
      </c>
      <c r="B352">
        <v>5227</v>
      </c>
      <c r="C352" t="s">
        <v>19</v>
      </c>
      <c r="D352" t="s">
        <v>19</v>
      </c>
      <c r="E352" s="2">
        <v>46093</v>
      </c>
      <c r="F352" s="2">
        <v>46092</v>
      </c>
      <c r="G352" t="s">
        <v>326</v>
      </c>
      <c r="H352">
        <v>54968400</v>
      </c>
      <c r="I352">
        <v>103002400</v>
      </c>
      <c r="J352">
        <v>13340000</v>
      </c>
      <c r="K352">
        <v>57275000</v>
      </c>
      <c r="L352">
        <v>91969000</v>
      </c>
      <c r="M352">
        <f>I352-(H352+J352-K352)- L352</f>
        <v>0</v>
      </c>
      <c r="N352" t="str">
        <f>IF(M352=0,"Cuadrado",IF(M352&gt;0,"Faltante","Sobrante"))</f>
        <v>Cuadrado</v>
      </c>
      <c r="O352" t="s">
        <v>37</v>
      </c>
      <c r="P352">
        <v>1102586250</v>
      </c>
    </row>
    <row r="353" spans="1:16" hidden="1" x14ac:dyDescent="0.35">
      <c r="A353">
        <v>678</v>
      </c>
      <c r="B353">
        <v>5227</v>
      </c>
      <c r="C353" t="s">
        <v>19</v>
      </c>
      <c r="D353" t="s">
        <v>19</v>
      </c>
      <c r="E353" s="2">
        <v>46085</v>
      </c>
      <c r="F353" s="2">
        <v>46084</v>
      </c>
      <c r="G353" t="s">
        <v>350</v>
      </c>
      <c r="H353">
        <v>79082350</v>
      </c>
      <c r="I353">
        <v>86475000</v>
      </c>
      <c r="J353">
        <v>34900000</v>
      </c>
      <c r="K353">
        <v>22427350</v>
      </c>
      <c r="M353">
        <f>I353-(H353+J353-K353)- L353</f>
        <v>-5080000</v>
      </c>
      <c r="N353" t="str">
        <f>IF(M353=0,"Cuadrado",IF(M353&gt;0,"Faltante","Sobrante"))</f>
        <v>Sobrante</v>
      </c>
      <c r="O353" t="s">
        <v>489</v>
      </c>
      <c r="P353">
        <v>1102586250</v>
      </c>
    </row>
    <row r="354" spans="1:16" x14ac:dyDescent="0.35">
      <c r="A354">
        <v>678</v>
      </c>
      <c r="B354">
        <v>5227</v>
      </c>
      <c r="C354" t="s">
        <v>19</v>
      </c>
      <c r="D354" t="s">
        <v>19</v>
      </c>
      <c r="E354" s="2">
        <v>46106</v>
      </c>
      <c r="F354" s="2">
        <v>46105</v>
      </c>
      <c r="G354" t="s">
        <v>124</v>
      </c>
      <c r="H354">
        <v>190243100</v>
      </c>
      <c r="I354">
        <v>195026400</v>
      </c>
      <c r="J354">
        <v>0</v>
      </c>
      <c r="K354">
        <v>0</v>
      </c>
      <c r="L354">
        <f>15000+2635000+2133300</f>
        <v>4783300</v>
      </c>
      <c r="M354">
        <f>I354-(H354+J354-K354)- L354</f>
        <v>0</v>
      </c>
      <c r="N354" t="str">
        <f>IF(M354=0,"Cuadrado",IF(M354&gt;0,"Faltante","Sobrante"))</f>
        <v>Cuadrado</v>
      </c>
      <c r="O354" t="s">
        <v>527</v>
      </c>
      <c r="P354">
        <v>1102586250</v>
      </c>
    </row>
    <row r="355" spans="1:16" hidden="1" x14ac:dyDescent="0.35">
      <c r="A355">
        <v>285</v>
      </c>
      <c r="B355">
        <v>5228</v>
      </c>
      <c r="C355" t="s">
        <v>19</v>
      </c>
      <c r="D355" t="s">
        <v>19</v>
      </c>
      <c r="E355" s="2">
        <v>46101</v>
      </c>
      <c r="F355" s="2">
        <v>46100</v>
      </c>
      <c r="G355" t="s">
        <v>64</v>
      </c>
      <c r="H355">
        <v>321156550</v>
      </c>
      <c r="I355">
        <v>321655550</v>
      </c>
      <c r="J355">
        <v>500000</v>
      </c>
      <c r="K355">
        <v>0</v>
      </c>
      <c r="M355">
        <f>I355-(H355+J355-K355)- L355</f>
        <v>-1000</v>
      </c>
      <c r="N355" t="str">
        <f>IF(M355=0,"Cuadrado",IF(M355&gt;0,"Faltante","Sobrante"))</f>
        <v>Sobrante</v>
      </c>
      <c r="O355" t="s">
        <v>39</v>
      </c>
      <c r="P355">
        <v>12197216</v>
      </c>
    </row>
    <row r="356" spans="1:16" hidden="1" x14ac:dyDescent="0.35">
      <c r="A356">
        <v>454</v>
      </c>
      <c r="B356">
        <v>5231</v>
      </c>
      <c r="C356" t="s">
        <v>19</v>
      </c>
      <c r="D356" t="s">
        <v>19</v>
      </c>
      <c r="E356" s="2">
        <v>46105</v>
      </c>
      <c r="F356" s="2">
        <v>46101</v>
      </c>
      <c r="G356" t="s">
        <v>26</v>
      </c>
      <c r="H356">
        <v>219996000</v>
      </c>
      <c r="I356">
        <v>193540600</v>
      </c>
      <c r="J356">
        <v>5640000</v>
      </c>
      <c r="K356">
        <v>31650000</v>
      </c>
      <c r="L356">
        <v>0</v>
      </c>
      <c r="M356">
        <f>I356-(H356+J356-K356)- L356</f>
        <v>-445400</v>
      </c>
      <c r="N356" t="str">
        <f>IF(M356=0,"Cuadrado",IF(M356&gt;0,"Faltante","Sobrante"))</f>
        <v>Sobrante</v>
      </c>
      <c r="O356" t="s">
        <v>21</v>
      </c>
      <c r="P356">
        <v>1075238548</v>
      </c>
    </row>
    <row r="357" spans="1:16" hidden="1" x14ac:dyDescent="0.35">
      <c r="A357">
        <v>625</v>
      </c>
      <c r="B357">
        <v>6096</v>
      </c>
      <c r="C357" t="s">
        <v>19</v>
      </c>
      <c r="D357" t="s">
        <v>19</v>
      </c>
      <c r="E357" s="2">
        <v>46092</v>
      </c>
      <c r="F357" s="2">
        <v>46091</v>
      </c>
      <c r="G357" t="s">
        <v>225</v>
      </c>
      <c r="H357">
        <v>159322350</v>
      </c>
      <c r="I357">
        <v>154572350</v>
      </c>
      <c r="J357">
        <v>6390000</v>
      </c>
      <c r="K357">
        <v>680000</v>
      </c>
      <c r="L357">
        <v>-510000</v>
      </c>
      <c r="M357">
        <f>I357-(H357+J357-K357)- L357</f>
        <v>-9950000</v>
      </c>
      <c r="N357" t="str">
        <f>IF(M357=0,"Cuadrado",IF(M357&gt;0,"Faltante","Sobrante"))</f>
        <v>Sobrante</v>
      </c>
      <c r="O357" t="s">
        <v>357</v>
      </c>
      <c r="P357">
        <v>1128427898</v>
      </c>
    </row>
    <row r="358" spans="1:16" hidden="1" x14ac:dyDescent="0.35">
      <c r="A358">
        <v>571</v>
      </c>
      <c r="B358">
        <v>6150</v>
      </c>
      <c r="C358" t="s">
        <v>19</v>
      </c>
      <c r="D358" t="s">
        <v>19</v>
      </c>
      <c r="E358" s="2">
        <v>46087</v>
      </c>
      <c r="F358" s="2">
        <v>46086</v>
      </c>
      <c r="G358" t="s">
        <v>68</v>
      </c>
      <c r="H358">
        <v>242897600</v>
      </c>
      <c r="I358">
        <v>223325700</v>
      </c>
      <c r="J358">
        <v>4240000</v>
      </c>
      <c r="K358">
        <v>23811900</v>
      </c>
      <c r="M358">
        <f>I358-(H358+J358-K358)- L358</f>
        <v>0</v>
      </c>
      <c r="N358" t="str">
        <f>IF(M358=0,"Cuadrado",IF(M358&gt;0,"Faltante","Sobrante"))</f>
        <v>Cuadrado</v>
      </c>
      <c r="O358" t="s">
        <v>37</v>
      </c>
      <c r="P358">
        <v>53159749</v>
      </c>
    </row>
    <row r="359" spans="1:16" hidden="1" x14ac:dyDescent="0.35">
      <c r="A359">
        <v>571</v>
      </c>
      <c r="B359">
        <v>6150</v>
      </c>
      <c r="C359" t="s">
        <v>19</v>
      </c>
      <c r="D359" t="s">
        <v>19</v>
      </c>
      <c r="E359" s="2">
        <v>46085</v>
      </c>
      <c r="F359" s="2">
        <v>46084</v>
      </c>
      <c r="G359" t="s">
        <v>300</v>
      </c>
      <c r="H359">
        <v>81955300</v>
      </c>
      <c r="I359">
        <v>67953850</v>
      </c>
      <c r="J359">
        <v>61680000</v>
      </c>
      <c r="K359">
        <v>75648900</v>
      </c>
      <c r="M359">
        <f>I359-(H359+J359-K359)- L359</f>
        <v>-32550</v>
      </c>
      <c r="N359" t="str">
        <f>IF(M359=0,"Cuadrado",IF(M359&gt;0,"Faltante","Sobrante"))</f>
        <v>Sobrante</v>
      </c>
      <c r="O359" t="s">
        <v>489</v>
      </c>
      <c r="P359">
        <v>1019116828</v>
      </c>
    </row>
    <row r="360" spans="1:16" hidden="1" x14ac:dyDescent="0.35">
      <c r="A360">
        <v>844</v>
      </c>
      <c r="B360">
        <v>6169</v>
      </c>
      <c r="C360" t="s">
        <v>19</v>
      </c>
      <c r="D360" t="s">
        <v>19</v>
      </c>
      <c r="E360" s="2">
        <v>46094</v>
      </c>
      <c r="F360" s="2">
        <v>46093</v>
      </c>
      <c r="G360" t="s">
        <v>268</v>
      </c>
      <c r="H360">
        <v>60723800</v>
      </c>
      <c r="I360">
        <v>70080600</v>
      </c>
      <c r="J360">
        <v>34430000</v>
      </c>
      <c r="K360">
        <v>38075000</v>
      </c>
      <c r="L360" t="s">
        <v>269</v>
      </c>
      <c r="M360" t="e">
        <f>I360-(H360+J360-K360)- L360</f>
        <v>#VALUE!</v>
      </c>
      <c r="N360" t="e">
        <f>IF(M360=0,"Cuadrado",IF(M360&gt;0,"Faltante","Sobrante"))</f>
        <v>#VALUE!</v>
      </c>
      <c r="O360" t="s">
        <v>245</v>
      </c>
      <c r="P360">
        <v>1121898145</v>
      </c>
    </row>
    <row r="361" spans="1:16" hidden="1" x14ac:dyDescent="0.35">
      <c r="A361">
        <v>844</v>
      </c>
      <c r="B361">
        <v>6169</v>
      </c>
      <c r="C361" t="s">
        <v>19</v>
      </c>
      <c r="D361" t="s">
        <v>19</v>
      </c>
      <c r="E361" s="2">
        <v>46091</v>
      </c>
      <c r="F361" s="2">
        <v>46090</v>
      </c>
      <c r="G361" t="s">
        <v>120</v>
      </c>
      <c r="H361">
        <v>286603250</v>
      </c>
      <c r="I361">
        <v>500368650</v>
      </c>
      <c r="J361">
        <v>820000</v>
      </c>
      <c r="K361">
        <v>0</v>
      </c>
      <c r="L361">
        <v>213577000</v>
      </c>
      <c r="M361">
        <f>I361-(H361+J361-K361)- L361</f>
        <v>-631600</v>
      </c>
      <c r="N361" t="str">
        <f>IF(M361=0,"Cuadrado",IF(M361&gt;0,"Faltante","Sobrante"))</f>
        <v>Sobrante</v>
      </c>
      <c r="O361" t="s">
        <v>383</v>
      </c>
      <c r="P361">
        <v>86058432</v>
      </c>
    </row>
    <row r="362" spans="1:16" hidden="1" x14ac:dyDescent="0.35">
      <c r="A362">
        <v>844</v>
      </c>
      <c r="B362">
        <v>6169</v>
      </c>
      <c r="C362" t="s">
        <v>19</v>
      </c>
      <c r="D362" t="s">
        <v>19</v>
      </c>
      <c r="E362" s="2">
        <v>46090</v>
      </c>
      <c r="F362" s="2">
        <v>46087</v>
      </c>
      <c r="G362" t="s">
        <v>410</v>
      </c>
      <c r="H362">
        <v>203337200</v>
      </c>
      <c r="I362">
        <v>488435650</v>
      </c>
      <c r="J362">
        <v>17820000</v>
      </c>
      <c r="K362">
        <v>206797950</v>
      </c>
      <c r="L362">
        <v>261131000</v>
      </c>
      <c r="M362">
        <f>I362-(H362+J362-K362)- L362</f>
        <v>212945400</v>
      </c>
      <c r="N362" t="str">
        <f>IF(M362=0,"Cuadrado",IF(M362&gt;0,"Faltante","Sobrante"))</f>
        <v>Faltante</v>
      </c>
      <c r="O362" t="s">
        <v>260</v>
      </c>
      <c r="P362">
        <v>86058432</v>
      </c>
    </row>
    <row r="363" spans="1:16" hidden="1" x14ac:dyDescent="0.35">
      <c r="A363">
        <v>844</v>
      </c>
      <c r="B363">
        <v>6169</v>
      </c>
      <c r="C363" t="s">
        <v>19</v>
      </c>
      <c r="D363" t="s">
        <v>19</v>
      </c>
      <c r="E363" s="2">
        <v>46086</v>
      </c>
      <c r="F363" s="2">
        <v>46085</v>
      </c>
      <c r="G363" t="s">
        <v>77</v>
      </c>
      <c r="H363">
        <v>254272600</v>
      </c>
      <c r="I363">
        <v>468338000</v>
      </c>
      <c r="J363">
        <v>1120000</v>
      </c>
      <c r="K363">
        <v>0</v>
      </c>
      <c r="M363">
        <f>I363-(H363+J363-K363)- L363</f>
        <v>212945400</v>
      </c>
      <c r="N363" t="str">
        <f>IF(M363=0,"Cuadrado",IF(M363&gt;0,"Faltante","Sobrante"))</f>
        <v>Faltante</v>
      </c>
      <c r="O363" t="s">
        <v>260</v>
      </c>
      <c r="P363">
        <v>86058432</v>
      </c>
    </row>
    <row r="364" spans="1:16" hidden="1" x14ac:dyDescent="0.35">
      <c r="A364">
        <v>30</v>
      </c>
      <c r="B364">
        <v>6172</v>
      </c>
      <c r="C364" t="s">
        <v>19</v>
      </c>
      <c r="D364" t="s">
        <v>19</v>
      </c>
      <c r="E364" s="2">
        <v>46100</v>
      </c>
      <c r="F364" s="2">
        <v>46099</v>
      </c>
      <c r="G364" t="s">
        <v>145</v>
      </c>
      <c r="H364">
        <v>245313000</v>
      </c>
      <c r="I364">
        <v>248243000</v>
      </c>
      <c r="J364">
        <v>4350000</v>
      </c>
      <c r="K364">
        <v>1420000</v>
      </c>
      <c r="M364">
        <f>I364-(H364+J364-K364)- L364</f>
        <v>0</v>
      </c>
      <c r="N364" t="str">
        <f>IF(M364=0,"Cuadrado",IF(M364&gt;0,"Faltante","Sobrante"))</f>
        <v>Cuadrado</v>
      </c>
      <c r="O364" t="s">
        <v>37</v>
      </c>
      <c r="P364">
        <v>79706159</v>
      </c>
    </row>
    <row r="365" spans="1:16" x14ac:dyDescent="0.35">
      <c r="A365">
        <v>30</v>
      </c>
      <c r="B365">
        <v>6172</v>
      </c>
      <c r="C365" t="s">
        <v>19</v>
      </c>
      <c r="D365" t="s">
        <v>19</v>
      </c>
      <c r="E365" s="2">
        <v>46106</v>
      </c>
      <c r="F365" s="2">
        <v>46105</v>
      </c>
      <c r="G365" t="s">
        <v>130</v>
      </c>
      <c r="H365">
        <v>12524600</v>
      </c>
      <c r="I365">
        <v>272600</v>
      </c>
      <c r="J365">
        <v>100000</v>
      </c>
      <c r="K365">
        <v>12352000</v>
      </c>
      <c r="L365">
        <f>0</f>
        <v>0</v>
      </c>
      <c r="M365">
        <f>I365-(H365+J365-K365)- L365</f>
        <v>0</v>
      </c>
      <c r="N365" t="str">
        <f>IF(M365=0,"Cuadrado",IF(M365&gt;0,"Faltante","Sobrante"))</f>
        <v>Cuadrado</v>
      </c>
      <c r="O365" t="s">
        <v>37</v>
      </c>
      <c r="P365">
        <v>79706159</v>
      </c>
    </row>
    <row r="366" spans="1:16" hidden="1" x14ac:dyDescent="0.35">
      <c r="A366">
        <v>820</v>
      </c>
      <c r="B366">
        <v>6174</v>
      </c>
      <c r="C366" t="s">
        <v>19</v>
      </c>
      <c r="D366" t="s">
        <v>19</v>
      </c>
      <c r="E366" s="2">
        <v>46094</v>
      </c>
      <c r="F366" s="2">
        <v>46093</v>
      </c>
      <c r="G366" t="s">
        <v>270</v>
      </c>
      <c r="H366">
        <v>210582100</v>
      </c>
      <c r="I366">
        <v>230572200</v>
      </c>
      <c r="J366">
        <v>5340000</v>
      </c>
      <c r="K366">
        <v>2050000</v>
      </c>
      <c r="L366">
        <v>55699000</v>
      </c>
      <c r="M366">
        <f>I366-(H366+J366-K366)- L366</f>
        <v>-38998900</v>
      </c>
      <c r="N366" t="str">
        <f>IF(M366=0,"Cuadrado",IF(M366&gt;0,"Faltante","Sobrante"))</f>
        <v>Sobrante</v>
      </c>
      <c r="O366" t="s">
        <v>245</v>
      </c>
      <c r="P366">
        <v>1090400247</v>
      </c>
    </row>
    <row r="367" spans="1:16" hidden="1" x14ac:dyDescent="0.35">
      <c r="A367">
        <v>820</v>
      </c>
      <c r="B367">
        <v>6174</v>
      </c>
      <c r="C367" t="s">
        <v>19</v>
      </c>
      <c r="D367" t="s">
        <v>19</v>
      </c>
      <c r="E367" s="2">
        <v>46093</v>
      </c>
      <c r="F367" s="2">
        <v>46092</v>
      </c>
      <c r="G367" t="s">
        <v>327</v>
      </c>
      <c r="H367">
        <v>208087100</v>
      </c>
      <c r="I367">
        <v>16700100</v>
      </c>
      <c r="J367">
        <v>24570000</v>
      </c>
      <c r="K367">
        <v>37264000</v>
      </c>
      <c r="L367">
        <v>-195393100</v>
      </c>
      <c r="M367">
        <f>I367-(H367+J367-K367)- L367</f>
        <v>16700100</v>
      </c>
      <c r="N367" t="str">
        <f>IF(M367=0,"Cuadrado",IF(M367&gt;0,"Faltante","Sobrante"))</f>
        <v>Faltante</v>
      </c>
      <c r="O367" t="s">
        <v>328</v>
      </c>
      <c r="P367">
        <v>1090400247</v>
      </c>
    </row>
    <row r="368" spans="1:16" hidden="1" x14ac:dyDescent="0.35">
      <c r="A368">
        <v>820</v>
      </c>
      <c r="B368">
        <v>6174</v>
      </c>
      <c r="C368" t="s">
        <v>19</v>
      </c>
      <c r="D368" t="s">
        <v>19</v>
      </c>
      <c r="E368" s="2">
        <v>46091</v>
      </c>
      <c r="F368" s="2">
        <v>46090</v>
      </c>
      <c r="G368" t="s">
        <v>390</v>
      </c>
      <c r="H368">
        <v>62171600</v>
      </c>
      <c r="I368">
        <v>125609700</v>
      </c>
      <c r="J368">
        <v>12540000</v>
      </c>
      <c r="K368">
        <v>21669000</v>
      </c>
      <c r="L368">
        <v>55867000</v>
      </c>
      <c r="M368">
        <f>I368-(H368+J368-K368)- L368</f>
        <v>16700100</v>
      </c>
      <c r="N368" t="str">
        <f>IF(M368=0,"Cuadrado",IF(M368&gt;0,"Faltante","Sobrante"))</f>
        <v>Faltante</v>
      </c>
      <c r="O368" t="s">
        <v>260</v>
      </c>
      <c r="P368">
        <v>1090400247</v>
      </c>
    </row>
    <row r="369" spans="1:16" hidden="1" x14ac:dyDescent="0.35">
      <c r="A369">
        <v>690</v>
      </c>
      <c r="B369">
        <v>6180</v>
      </c>
      <c r="C369" t="s">
        <v>19</v>
      </c>
      <c r="D369" t="s">
        <v>19</v>
      </c>
      <c r="E369" s="2">
        <v>46099</v>
      </c>
      <c r="F369" s="2">
        <v>46098</v>
      </c>
      <c r="G369" t="s">
        <v>178</v>
      </c>
      <c r="H369">
        <v>98424500</v>
      </c>
      <c r="I369">
        <v>86719500</v>
      </c>
      <c r="J369">
        <v>24560000</v>
      </c>
      <c r="K369">
        <v>36755000</v>
      </c>
      <c r="M369">
        <f>I369-(H369+J369-K369)- L369</f>
        <v>490000</v>
      </c>
      <c r="N369" t="str">
        <f>IF(M369=0,"Cuadrado",IF(M369&gt;0,"Faltante","Sobrante"))</f>
        <v>Faltante</v>
      </c>
      <c r="O369" t="s">
        <v>179</v>
      </c>
    </row>
    <row r="370" spans="1:16" hidden="1" x14ac:dyDescent="0.35">
      <c r="A370">
        <v>351</v>
      </c>
      <c r="B370">
        <v>6182</v>
      </c>
      <c r="C370" t="s">
        <v>19</v>
      </c>
      <c r="D370" t="s">
        <v>19</v>
      </c>
      <c r="E370" s="2">
        <v>46100</v>
      </c>
      <c r="F370" s="2">
        <v>46099</v>
      </c>
      <c r="G370" t="s">
        <v>130</v>
      </c>
      <c r="H370">
        <v>280029400</v>
      </c>
      <c r="I370">
        <v>274208350</v>
      </c>
      <c r="J370">
        <v>9720000</v>
      </c>
      <c r="K370">
        <v>11885350</v>
      </c>
      <c r="M370">
        <f>I370-(H370+J370-K370)- L370</f>
        <v>-3655700</v>
      </c>
      <c r="N370" t="str">
        <f>IF(M370=0,"Cuadrado",IF(M370&gt;0,"Faltante","Sobrante"))</f>
        <v>Sobrante</v>
      </c>
      <c r="O370" t="s">
        <v>95</v>
      </c>
      <c r="P370">
        <v>71743918</v>
      </c>
    </row>
    <row r="371" spans="1:16" hidden="1" x14ac:dyDescent="0.35">
      <c r="A371">
        <v>267</v>
      </c>
      <c r="B371">
        <v>6186</v>
      </c>
      <c r="C371" t="s">
        <v>19</v>
      </c>
      <c r="D371" t="s">
        <v>19</v>
      </c>
      <c r="E371" s="2">
        <v>46101</v>
      </c>
      <c r="F371" s="2">
        <v>46100</v>
      </c>
      <c r="G371" t="s">
        <v>65</v>
      </c>
      <c r="H371">
        <v>125383400</v>
      </c>
      <c r="I371">
        <v>217697950</v>
      </c>
      <c r="J371">
        <v>29950000</v>
      </c>
      <c r="K371">
        <v>37531000</v>
      </c>
      <c r="M371">
        <f>I371-(H371+J371-K371)- L371</f>
        <v>99895550</v>
      </c>
      <c r="N371" t="str">
        <f>IF(M371=0,"Cuadrado",IF(M371&gt;0,"Faltante","Sobrante"))</f>
        <v>Faltante</v>
      </c>
      <c r="O371" t="s">
        <v>39</v>
      </c>
      <c r="P371">
        <v>1017263917</v>
      </c>
    </row>
    <row r="372" spans="1:16" x14ac:dyDescent="0.35">
      <c r="A372">
        <v>267</v>
      </c>
      <c r="B372">
        <v>6186</v>
      </c>
      <c r="C372" t="s">
        <v>19</v>
      </c>
      <c r="D372" t="s">
        <v>19</v>
      </c>
      <c r="E372" s="2">
        <v>46106</v>
      </c>
      <c r="F372" s="2">
        <v>46105</v>
      </c>
      <c r="G372" t="s">
        <v>149</v>
      </c>
      <c r="H372">
        <v>218744700</v>
      </c>
      <c r="I372">
        <v>223800250</v>
      </c>
      <c r="J372">
        <v>5160000</v>
      </c>
      <c r="K372">
        <v>0</v>
      </c>
      <c r="L372">
        <f>-1124450+1020000</f>
        <v>-104450</v>
      </c>
      <c r="M372">
        <f>I372-(H372+J372-K372)- L372</f>
        <v>0</v>
      </c>
      <c r="N372" t="str">
        <f>IF(M372=0,"Cuadrado",IF(M372&gt;0,"Faltante","Sobrante"))</f>
        <v>Cuadrado</v>
      </c>
      <c r="O372" t="s">
        <v>517</v>
      </c>
      <c r="P372">
        <v>1017263917</v>
      </c>
    </row>
    <row r="373" spans="1:16" hidden="1" x14ac:dyDescent="0.35">
      <c r="A373">
        <v>54</v>
      </c>
      <c r="B373">
        <v>6204</v>
      </c>
      <c r="C373" t="s">
        <v>19</v>
      </c>
      <c r="D373" t="s">
        <v>19</v>
      </c>
      <c r="E373" s="2">
        <v>46100</v>
      </c>
      <c r="F373" s="2">
        <v>46099</v>
      </c>
      <c r="G373" t="s">
        <v>131</v>
      </c>
      <c r="H373">
        <v>230731200</v>
      </c>
      <c r="I373">
        <v>222789200</v>
      </c>
      <c r="J373">
        <v>9660000</v>
      </c>
      <c r="K373">
        <v>19152000</v>
      </c>
      <c r="L373">
        <v>1550000</v>
      </c>
      <c r="M373">
        <f>I373-(H373+J373-K373)- L373</f>
        <v>0</v>
      </c>
      <c r="N373" t="str">
        <f>IF(M373=0,"Cuadrado",IF(M373&gt;0,"Faltante","Sobrante"))</f>
        <v>Cuadrado</v>
      </c>
      <c r="O373" t="s">
        <v>132</v>
      </c>
      <c r="P373">
        <v>1019068822</v>
      </c>
    </row>
    <row r="374" spans="1:16" hidden="1" x14ac:dyDescent="0.35">
      <c r="A374">
        <v>54</v>
      </c>
      <c r="B374">
        <v>6204</v>
      </c>
      <c r="C374" t="s">
        <v>19</v>
      </c>
      <c r="D374" t="s">
        <v>19</v>
      </c>
      <c r="E374" s="2">
        <v>46087</v>
      </c>
      <c r="F374" s="2">
        <v>46086</v>
      </c>
      <c r="G374" t="s">
        <v>102</v>
      </c>
      <c r="H374">
        <v>141733400</v>
      </c>
      <c r="I374">
        <v>125946850</v>
      </c>
      <c r="J374">
        <v>1660000</v>
      </c>
      <c r="K374">
        <v>17535000</v>
      </c>
      <c r="L374">
        <v>88450</v>
      </c>
      <c r="M374">
        <f>I374-(H374+J374-K374)- L374</f>
        <v>0</v>
      </c>
      <c r="N374" t="str">
        <f>IF(M374=0,"Cuadrado",IF(M374&gt;0,"Faltante","Sobrante"))</f>
        <v>Cuadrado</v>
      </c>
      <c r="O374" t="s">
        <v>446</v>
      </c>
      <c r="P374">
        <v>1019068822</v>
      </c>
    </row>
    <row r="375" spans="1:16" hidden="1" x14ac:dyDescent="0.35">
      <c r="A375">
        <v>54</v>
      </c>
      <c r="B375">
        <v>6204</v>
      </c>
      <c r="C375" t="s">
        <v>19</v>
      </c>
      <c r="D375" t="s">
        <v>19</v>
      </c>
      <c r="E375" s="2">
        <v>46084</v>
      </c>
      <c r="F375" s="2">
        <v>46083</v>
      </c>
      <c r="G375" t="s">
        <v>51</v>
      </c>
      <c r="H375">
        <v>240573750</v>
      </c>
      <c r="I375">
        <v>241908750</v>
      </c>
      <c r="J375">
        <v>3880000</v>
      </c>
      <c r="K375">
        <v>0</v>
      </c>
      <c r="M375">
        <f>I375-(H375+J375-K375)- L375</f>
        <v>-2545000</v>
      </c>
      <c r="N375" t="str">
        <f>IF(M375=0,"Cuadrado",IF(M375&gt;0,"Faltante","Sobrante"))</f>
        <v>Sobrante</v>
      </c>
      <c r="O375" t="s">
        <v>504</v>
      </c>
      <c r="P375">
        <v>1019068822</v>
      </c>
    </row>
    <row r="376" spans="1:16" hidden="1" x14ac:dyDescent="0.35">
      <c r="A376">
        <v>688</v>
      </c>
      <c r="B376">
        <v>6209</v>
      </c>
      <c r="C376" t="s">
        <v>16</v>
      </c>
      <c r="D376" t="s">
        <v>19</v>
      </c>
      <c r="E376" s="2">
        <v>46094</v>
      </c>
      <c r="F376" s="2">
        <v>46093</v>
      </c>
      <c r="G376" t="s">
        <v>271</v>
      </c>
      <c r="H376">
        <v>270578200</v>
      </c>
      <c r="I376">
        <v>223172200</v>
      </c>
      <c r="J376">
        <v>37190000</v>
      </c>
      <c r="K376">
        <v>69596000</v>
      </c>
      <c r="L376">
        <v>-15000000</v>
      </c>
      <c r="M376">
        <f>I376-(H376+J376-K376)- L376</f>
        <v>0</v>
      </c>
      <c r="N376" t="str">
        <f>IF(M376=0,"Cuadrado",IF(M376&gt;0,"Faltante","Sobrante"))</f>
        <v>Cuadrado</v>
      </c>
      <c r="O376" t="s">
        <v>37</v>
      </c>
      <c r="P376">
        <v>1010183662</v>
      </c>
    </row>
    <row r="377" spans="1:16" hidden="1" x14ac:dyDescent="0.35">
      <c r="A377">
        <v>74</v>
      </c>
      <c r="B377">
        <v>6215</v>
      </c>
      <c r="C377" t="s">
        <v>16</v>
      </c>
      <c r="D377" t="s">
        <v>16</v>
      </c>
      <c r="E377" s="2">
        <v>46098</v>
      </c>
      <c r="F377" s="2">
        <v>46097</v>
      </c>
      <c r="G377" t="s">
        <v>110</v>
      </c>
      <c r="H377">
        <v>169971500</v>
      </c>
      <c r="I377">
        <v>171321500</v>
      </c>
      <c r="J377">
        <v>0</v>
      </c>
      <c r="K377">
        <v>0</v>
      </c>
      <c r="L377">
        <v>1350000</v>
      </c>
      <c r="M377">
        <f>I377-(H377+J377-K377)- L377</f>
        <v>0</v>
      </c>
      <c r="N377" t="str">
        <f>IF(M377=0,"Cuadrado",IF(M377&gt;0,"Faltante","Sobrante"))</f>
        <v>Cuadrado</v>
      </c>
      <c r="O377" t="s">
        <v>205</v>
      </c>
      <c r="P377">
        <v>59314706</v>
      </c>
    </row>
    <row r="378" spans="1:16" hidden="1" x14ac:dyDescent="0.35">
      <c r="A378">
        <v>74</v>
      </c>
      <c r="B378">
        <v>6215</v>
      </c>
      <c r="C378" t="s">
        <v>16</v>
      </c>
      <c r="D378" t="s">
        <v>16</v>
      </c>
      <c r="E378" s="2">
        <v>46094</v>
      </c>
      <c r="F378" s="2">
        <v>46093</v>
      </c>
      <c r="G378" t="s">
        <v>111</v>
      </c>
      <c r="H378">
        <v>106897450</v>
      </c>
      <c r="I378">
        <v>88349450</v>
      </c>
      <c r="J378">
        <v>1000000</v>
      </c>
      <c r="K378">
        <v>15150000</v>
      </c>
      <c r="L378">
        <v>-1693000</v>
      </c>
      <c r="M378">
        <f>I378-(H378+J378-K378)- L378</f>
        <v>-2705000</v>
      </c>
      <c r="N378" t="str">
        <f>IF(M378=0,"Cuadrado",IF(M378&gt;0,"Faltante","Sobrante"))</f>
        <v>Sobrante</v>
      </c>
      <c r="O378" t="s">
        <v>245</v>
      </c>
      <c r="P378">
        <v>59314706</v>
      </c>
    </row>
    <row r="379" spans="1:16" hidden="1" x14ac:dyDescent="0.35">
      <c r="A379">
        <v>74</v>
      </c>
      <c r="B379">
        <v>6215</v>
      </c>
      <c r="C379" t="s">
        <v>16</v>
      </c>
      <c r="D379" t="s">
        <v>19</v>
      </c>
      <c r="E379" s="2">
        <v>46086</v>
      </c>
      <c r="F379" s="2">
        <v>46085</v>
      </c>
      <c r="G379" t="s">
        <v>470</v>
      </c>
      <c r="H379">
        <v>268116700</v>
      </c>
      <c r="I379">
        <v>128726700</v>
      </c>
      <c r="J379">
        <v>11480000</v>
      </c>
      <c r="K379">
        <v>145198000</v>
      </c>
      <c r="L379">
        <v>-1938000</v>
      </c>
      <c r="M379">
        <f>I379-(H379+J379-K379)- L379</f>
        <v>-3734000</v>
      </c>
      <c r="N379" t="str">
        <f>IF(M379=0,"Cuadrado",IF(M379&gt;0,"Faltante","Sobrante"))</f>
        <v>Sobrante</v>
      </c>
      <c r="O379" t="s">
        <v>467</v>
      </c>
      <c r="P379">
        <v>59314706</v>
      </c>
    </row>
    <row r="380" spans="1:16" hidden="1" x14ac:dyDescent="0.35">
      <c r="A380">
        <v>178</v>
      </c>
      <c r="B380">
        <v>6218</v>
      </c>
      <c r="C380" t="s">
        <v>19</v>
      </c>
      <c r="D380" t="s">
        <v>19</v>
      </c>
      <c r="E380" s="2">
        <v>46100</v>
      </c>
      <c r="F380" s="2">
        <v>46099</v>
      </c>
      <c r="G380" t="s">
        <v>146</v>
      </c>
      <c r="H380">
        <v>145460300</v>
      </c>
      <c r="I380">
        <v>115058100</v>
      </c>
      <c r="J380">
        <v>11840000</v>
      </c>
      <c r="K380">
        <v>42242200</v>
      </c>
      <c r="L380" t="s">
        <v>98</v>
      </c>
      <c r="M380" t="e">
        <f>I380-(H380+J380-K380)- L380</f>
        <v>#VALUE!</v>
      </c>
      <c r="N380" t="e">
        <f>IF(M380=0,"Cuadrado",IF(M380&gt;0,"Faltante","Sobrante"))</f>
        <v>#VALUE!</v>
      </c>
      <c r="O380" t="s">
        <v>147</v>
      </c>
      <c r="P380">
        <v>79516051</v>
      </c>
    </row>
    <row r="381" spans="1:16" hidden="1" x14ac:dyDescent="0.35">
      <c r="A381">
        <v>178</v>
      </c>
      <c r="B381">
        <v>6218</v>
      </c>
      <c r="C381" t="s">
        <v>19</v>
      </c>
      <c r="D381" t="s">
        <v>19</v>
      </c>
      <c r="E381" s="2">
        <v>46097</v>
      </c>
      <c r="F381" s="2">
        <v>46094</v>
      </c>
      <c r="G381" t="s">
        <v>40</v>
      </c>
      <c r="H381">
        <v>289070150</v>
      </c>
      <c r="I381">
        <v>284740150</v>
      </c>
      <c r="J381">
        <v>4000000</v>
      </c>
      <c r="K381">
        <v>8400000</v>
      </c>
      <c r="M381">
        <f>I381-(H381+J381-K381)- L381</f>
        <v>70000</v>
      </c>
      <c r="N381" t="str">
        <f>IF(M381=0,"Cuadrado",IF(M381&gt;0,"Faltante","Sobrante"))</f>
        <v>Faltante</v>
      </c>
      <c r="O381" t="s">
        <v>219</v>
      </c>
      <c r="P381">
        <v>79516051</v>
      </c>
    </row>
    <row r="382" spans="1:16" hidden="1" x14ac:dyDescent="0.35">
      <c r="A382">
        <v>178</v>
      </c>
      <c r="B382">
        <v>6218</v>
      </c>
      <c r="C382" t="s">
        <v>19</v>
      </c>
      <c r="D382" t="s">
        <v>19</v>
      </c>
      <c r="E382" s="2">
        <v>46087</v>
      </c>
      <c r="F382" s="2">
        <v>46086</v>
      </c>
      <c r="G382" t="s">
        <v>344</v>
      </c>
      <c r="H382">
        <v>301155400</v>
      </c>
      <c r="I382">
        <v>298945400</v>
      </c>
      <c r="J382">
        <v>2590000</v>
      </c>
      <c r="K382">
        <v>0</v>
      </c>
      <c r="M382">
        <f>I382-(H382+J382-K382)- L382</f>
        <v>-4800000</v>
      </c>
      <c r="N382" t="str">
        <f>IF(M382=0,"Cuadrado",IF(M382&gt;0,"Faltante","Sobrante"))</f>
        <v>Sobrante</v>
      </c>
      <c r="O382" t="s">
        <v>423</v>
      </c>
      <c r="P382">
        <v>79516051</v>
      </c>
    </row>
    <row r="383" spans="1:16" x14ac:dyDescent="0.35">
      <c r="A383">
        <v>178</v>
      </c>
      <c r="B383">
        <v>6218</v>
      </c>
      <c r="C383" t="s">
        <v>19</v>
      </c>
      <c r="D383" t="s">
        <v>19</v>
      </c>
      <c r="E383" s="2">
        <v>46106</v>
      </c>
      <c r="F383" s="2">
        <v>46105</v>
      </c>
      <c r="G383" t="s">
        <v>130</v>
      </c>
      <c r="H383">
        <v>165840200</v>
      </c>
      <c r="I383">
        <v>162385650</v>
      </c>
      <c r="J383">
        <v>3060000</v>
      </c>
      <c r="K383">
        <v>5914550</v>
      </c>
      <c r="L383">
        <f>0</f>
        <v>0</v>
      </c>
      <c r="M383">
        <f>I383-(H383+J383-K383)- L383</f>
        <v>-600000</v>
      </c>
      <c r="N383" t="str">
        <f>IF(M383=0,"Cuadrado",IF(M383&gt;0,"Faltante","Sobrante"))</f>
        <v>Sobrante</v>
      </c>
      <c r="O383" t="s">
        <v>515</v>
      </c>
      <c r="P383">
        <v>79516051</v>
      </c>
    </row>
    <row r="384" spans="1:16" hidden="1" x14ac:dyDescent="0.35">
      <c r="A384">
        <v>236</v>
      </c>
      <c r="B384">
        <v>6242</v>
      </c>
      <c r="C384" t="s">
        <v>19</v>
      </c>
      <c r="D384" t="s">
        <v>19</v>
      </c>
      <c r="E384" s="2">
        <v>46098</v>
      </c>
      <c r="F384" s="2">
        <v>46097</v>
      </c>
      <c r="G384" t="s">
        <v>206</v>
      </c>
      <c r="H384">
        <v>72648050</v>
      </c>
      <c r="I384">
        <v>159590050</v>
      </c>
      <c r="J384">
        <v>16730000</v>
      </c>
      <c r="K384">
        <v>19365000</v>
      </c>
      <c r="L384">
        <v>89577000</v>
      </c>
      <c r="M384">
        <f>I384-(H384+J384-K384)- L384</f>
        <v>0</v>
      </c>
      <c r="N384" t="str">
        <f>IF(M384=0,"Cuadrado",IF(M384&gt;0,"Faltante","Sobrante"))</f>
        <v>Cuadrado</v>
      </c>
      <c r="O384" t="s">
        <v>207</v>
      </c>
      <c r="P384">
        <v>71369714</v>
      </c>
    </row>
    <row r="385" spans="1:16" hidden="1" x14ac:dyDescent="0.35">
      <c r="A385">
        <v>236</v>
      </c>
      <c r="B385">
        <v>6242</v>
      </c>
      <c r="C385" t="s">
        <v>19</v>
      </c>
      <c r="D385" t="s">
        <v>19</v>
      </c>
      <c r="E385" s="2">
        <v>46094</v>
      </c>
      <c r="F385" s="2">
        <v>46093</v>
      </c>
      <c r="G385" t="s">
        <v>272</v>
      </c>
      <c r="H385">
        <v>210004600</v>
      </c>
      <c r="I385">
        <v>249923600</v>
      </c>
      <c r="J385">
        <v>0</v>
      </c>
      <c r="K385">
        <v>0</v>
      </c>
      <c r="M385">
        <f>I385-(H385+J385-K385)- L385</f>
        <v>39919000</v>
      </c>
      <c r="N385" t="str">
        <f>IF(M385=0,"Cuadrado",IF(M385&gt;0,"Faltante","Sobrante"))</f>
        <v>Faltante</v>
      </c>
      <c r="O385" t="s">
        <v>260</v>
      </c>
      <c r="P385">
        <v>71369714</v>
      </c>
    </row>
    <row r="386" spans="1:16" hidden="1" x14ac:dyDescent="0.35">
      <c r="A386">
        <v>236</v>
      </c>
      <c r="B386">
        <v>6242</v>
      </c>
      <c r="C386" t="s">
        <v>19</v>
      </c>
      <c r="D386" t="s">
        <v>19</v>
      </c>
      <c r="E386" s="2">
        <v>46090</v>
      </c>
      <c r="F386" s="2">
        <v>46087</v>
      </c>
      <c r="G386" t="s">
        <v>74</v>
      </c>
      <c r="H386">
        <v>137373500</v>
      </c>
      <c r="I386">
        <v>251443100</v>
      </c>
      <c r="J386">
        <v>48800000</v>
      </c>
      <c r="K386">
        <v>80529400</v>
      </c>
      <c r="L386">
        <v>173319000</v>
      </c>
      <c r="M386">
        <f>I386-(H386+J386-K386)- L386</f>
        <v>-27520000</v>
      </c>
      <c r="N386" t="str">
        <f>IF(M386=0,"Cuadrado",IF(M386&gt;0,"Faltante","Sobrante"))</f>
        <v>Sobrante</v>
      </c>
      <c r="O386" t="s">
        <v>406</v>
      </c>
      <c r="P386">
        <v>71369714</v>
      </c>
    </row>
    <row r="387" spans="1:16" hidden="1" x14ac:dyDescent="0.35">
      <c r="A387">
        <v>231</v>
      </c>
      <c r="B387">
        <v>6243</v>
      </c>
      <c r="C387" t="s">
        <v>19</v>
      </c>
      <c r="D387" t="s">
        <v>19</v>
      </c>
      <c r="E387" s="2">
        <v>46101</v>
      </c>
      <c r="F387" s="2">
        <v>46100</v>
      </c>
      <c r="G387" t="s">
        <v>88</v>
      </c>
      <c r="H387">
        <v>180188050</v>
      </c>
      <c r="I387">
        <v>180188050</v>
      </c>
      <c r="J387">
        <v>0</v>
      </c>
      <c r="K387">
        <v>0</v>
      </c>
      <c r="M387">
        <f>I387-(H387+J387-K387)- L387</f>
        <v>0</v>
      </c>
      <c r="N387" t="str">
        <f>IF(M387=0,"Cuadrado",IF(M387&gt;0,"Faltante","Sobrante"))</f>
        <v>Cuadrado</v>
      </c>
      <c r="O387" t="s">
        <v>37</v>
      </c>
      <c r="P387">
        <v>52979634</v>
      </c>
    </row>
    <row r="388" spans="1:16" hidden="1" x14ac:dyDescent="0.35">
      <c r="A388">
        <v>231</v>
      </c>
      <c r="B388">
        <v>6243</v>
      </c>
      <c r="C388" t="s">
        <v>19</v>
      </c>
      <c r="D388" t="s">
        <v>16</v>
      </c>
      <c r="E388" s="2">
        <v>46087</v>
      </c>
      <c r="F388" s="2">
        <v>46086</v>
      </c>
      <c r="G388" t="s">
        <v>120</v>
      </c>
      <c r="H388">
        <v>182345150</v>
      </c>
      <c r="I388">
        <v>186175150</v>
      </c>
      <c r="J388">
        <v>7780000</v>
      </c>
      <c r="K388">
        <v>4000000</v>
      </c>
      <c r="L388">
        <v>50000</v>
      </c>
      <c r="M388">
        <f>I388-(H388+J388-K388)- L388</f>
        <v>0</v>
      </c>
      <c r="N388" t="str">
        <f>IF(M388=0,"Cuadrado",IF(M388&gt;0,"Faltante","Sobrante"))</f>
        <v>Cuadrado</v>
      </c>
      <c r="O388" t="s">
        <v>447</v>
      </c>
      <c r="P388">
        <v>52979634</v>
      </c>
    </row>
    <row r="389" spans="1:16" hidden="1" x14ac:dyDescent="0.35">
      <c r="A389">
        <v>231</v>
      </c>
      <c r="B389">
        <v>6243</v>
      </c>
      <c r="C389" t="s">
        <v>19</v>
      </c>
      <c r="D389" t="s">
        <v>19</v>
      </c>
      <c r="E389" s="2">
        <v>46084</v>
      </c>
      <c r="F389" s="2">
        <v>46083</v>
      </c>
      <c r="G389" t="s">
        <v>366</v>
      </c>
      <c r="H389">
        <v>140183150</v>
      </c>
      <c r="I389">
        <v>138868150</v>
      </c>
      <c r="J389">
        <v>0</v>
      </c>
      <c r="K389">
        <v>0</v>
      </c>
      <c r="M389">
        <f>I389-(H389+J389-K389)- L389</f>
        <v>-1315000</v>
      </c>
      <c r="N389" t="str">
        <f>IF(M389=0,"Cuadrado",IF(M389&gt;0,"Faltante","Sobrante"))</f>
        <v>Sobrante</v>
      </c>
      <c r="O389" t="s">
        <v>504</v>
      </c>
      <c r="P389">
        <v>52979634</v>
      </c>
    </row>
    <row r="390" spans="1:16" hidden="1" x14ac:dyDescent="0.35">
      <c r="A390">
        <v>79</v>
      </c>
      <c r="B390">
        <v>6245</v>
      </c>
      <c r="C390" t="s">
        <v>19</v>
      </c>
      <c r="D390" t="s">
        <v>19</v>
      </c>
      <c r="E390" s="2">
        <v>46094</v>
      </c>
      <c r="F390" s="2">
        <v>46093</v>
      </c>
      <c r="G390" t="s">
        <v>216</v>
      </c>
      <c r="H390">
        <v>3189950</v>
      </c>
      <c r="I390">
        <v>375845000</v>
      </c>
      <c r="J390">
        <v>0</v>
      </c>
      <c r="K390">
        <v>6025000</v>
      </c>
      <c r="L390">
        <v>383680000</v>
      </c>
      <c r="M390">
        <f>I390-(H390+J390-K390)- L390</f>
        <v>-4999950</v>
      </c>
      <c r="N390" t="str">
        <f>IF(M390=0,"Cuadrado",IF(M390&gt;0,"Faltante","Sobrante"))</f>
        <v>Sobrante</v>
      </c>
      <c r="O390" t="s">
        <v>245</v>
      </c>
      <c r="P390">
        <v>79772242</v>
      </c>
    </row>
    <row r="391" spans="1:16" hidden="1" x14ac:dyDescent="0.35">
      <c r="A391">
        <v>79</v>
      </c>
      <c r="B391">
        <v>6245</v>
      </c>
      <c r="C391" t="s">
        <v>19</v>
      </c>
      <c r="D391" t="s">
        <v>16</v>
      </c>
      <c r="E391" s="2">
        <v>46087</v>
      </c>
      <c r="F391" s="2">
        <v>46086</v>
      </c>
      <c r="G391" t="s">
        <v>298</v>
      </c>
      <c r="H391">
        <v>3193400</v>
      </c>
      <c r="I391">
        <v>201375900</v>
      </c>
      <c r="J391">
        <v>0</v>
      </c>
      <c r="K391">
        <v>17488950</v>
      </c>
      <c r="L391">
        <v>220433000</v>
      </c>
      <c r="M391">
        <f>I391-(H391+J391-K391)- L391</f>
        <v>-4761550</v>
      </c>
      <c r="N391" t="str">
        <f>IF(M391=0,"Cuadrado",IF(M391&gt;0,"Faltante","Sobrante"))</f>
        <v>Sobrante</v>
      </c>
      <c r="O391" t="s">
        <v>423</v>
      </c>
      <c r="P391">
        <v>79772242</v>
      </c>
    </row>
    <row r="392" spans="1:16" hidden="1" x14ac:dyDescent="0.35">
      <c r="A392">
        <v>78</v>
      </c>
      <c r="B392">
        <v>6246</v>
      </c>
      <c r="C392" t="s">
        <v>19</v>
      </c>
      <c r="D392" t="s">
        <v>19</v>
      </c>
      <c r="E392" s="2">
        <v>46101</v>
      </c>
      <c r="F392" s="2">
        <v>46100</v>
      </c>
      <c r="G392" t="s">
        <v>89</v>
      </c>
      <c r="H392">
        <v>189026700</v>
      </c>
      <c r="I392">
        <v>189086700</v>
      </c>
      <c r="J392">
        <v>3940000</v>
      </c>
      <c r="K392">
        <v>3880000</v>
      </c>
      <c r="M392">
        <f>I392-(H392+J392-K392)- L392</f>
        <v>0</v>
      </c>
      <c r="N392" t="str">
        <f>IF(M392=0,"Cuadrado",IF(M392&gt;0,"Faltante","Sobrante"))</f>
        <v>Cuadrado</v>
      </c>
      <c r="O392" t="s">
        <v>90</v>
      </c>
      <c r="P392">
        <v>91284848</v>
      </c>
    </row>
    <row r="393" spans="1:16" hidden="1" x14ac:dyDescent="0.35">
      <c r="A393">
        <v>78</v>
      </c>
      <c r="B393">
        <v>6246</v>
      </c>
      <c r="C393" t="s">
        <v>19</v>
      </c>
      <c r="D393" t="s">
        <v>19</v>
      </c>
      <c r="E393" s="2">
        <v>46097</v>
      </c>
      <c r="F393" s="2">
        <v>46094</v>
      </c>
      <c r="G393" t="s">
        <v>220</v>
      </c>
      <c r="H393">
        <v>216413850</v>
      </c>
      <c r="I393">
        <v>183337250</v>
      </c>
      <c r="J393">
        <v>13610000</v>
      </c>
      <c r="K393">
        <v>53106600</v>
      </c>
      <c r="M393">
        <f>I393-(H393+J393-K393)- L393</f>
        <v>6420000</v>
      </c>
      <c r="N393" t="str">
        <f>IF(M393=0,"Cuadrado",IF(M393&gt;0,"Faltante","Sobrante"))</f>
        <v>Faltante</v>
      </c>
      <c r="P393">
        <v>1098657131</v>
      </c>
    </row>
    <row r="394" spans="1:16" hidden="1" x14ac:dyDescent="0.35">
      <c r="A394">
        <v>78</v>
      </c>
      <c r="B394">
        <v>6246</v>
      </c>
      <c r="C394" t="s">
        <v>19</v>
      </c>
      <c r="D394" t="s">
        <v>19</v>
      </c>
      <c r="E394" s="2">
        <v>46094</v>
      </c>
      <c r="F394" s="2">
        <v>46093</v>
      </c>
      <c r="G394" t="s">
        <v>273</v>
      </c>
      <c r="H394">
        <v>240659850</v>
      </c>
      <c r="I394">
        <v>247209850</v>
      </c>
      <c r="J394">
        <v>990000</v>
      </c>
      <c r="K394">
        <v>0</v>
      </c>
      <c r="L394">
        <v>5560000</v>
      </c>
      <c r="M394">
        <f>I394-(H394+J394-K394)- L394</f>
        <v>0</v>
      </c>
      <c r="N394" t="str">
        <f>IF(M394=0,"Cuadrado",IF(M394&gt;0,"Faltante","Sobrante"))</f>
        <v>Cuadrado</v>
      </c>
      <c r="O394" t="s">
        <v>274</v>
      </c>
      <c r="P394">
        <v>1098657131</v>
      </c>
    </row>
    <row r="395" spans="1:16" hidden="1" x14ac:dyDescent="0.35">
      <c r="A395">
        <v>78</v>
      </c>
      <c r="B395">
        <v>6246</v>
      </c>
      <c r="C395" t="s">
        <v>19</v>
      </c>
      <c r="D395" t="s">
        <v>19</v>
      </c>
      <c r="E395" s="2">
        <v>46087</v>
      </c>
      <c r="F395" s="2">
        <v>46086</v>
      </c>
      <c r="G395" t="s">
        <v>86</v>
      </c>
      <c r="H395">
        <v>179249150</v>
      </c>
      <c r="I395">
        <v>177039150</v>
      </c>
      <c r="J395">
        <v>560000</v>
      </c>
      <c r="K395">
        <v>8020000</v>
      </c>
      <c r="L395">
        <v>5250000</v>
      </c>
      <c r="M395">
        <f>I395-(H395+J395-K395)- L395</f>
        <v>0</v>
      </c>
      <c r="N395" t="str">
        <f>IF(M395=0,"Cuadrado",IF(M395&gt;0,"Faltante","Sobrante"))</f>
        <v>Cuadrado</v>
      </c>
      <c r="O395" t="s">
        <v>448</v>
      </c>
      <c r="P395">
        <v>1098657131</v>
      </c>
    </row>
    <row r="396" spans="1:16" hidden="1" x14ac:dyDescent="0.35">
      <c r="A396">
        <v>718</v>
      </c>
      <c r="B396">
        <v>6248</v>
      </c>
      <c r="C396" t="s">
        <v>19</v>
      </c>
      <c r="D396" t="s">
        <v>19</v>
      </c>
      <c r="E396" s="2">
        <v>46097</v>
      </c>
      <c r="F396" s="2">
        <v>46094</v>
      </c>
      <c r="G396" t="s">
        <v>228</v>
      </c>
      <c r="H396">
        <v>180929850</v>
      </c>
      <c r="I396">
        <v>174729850</v>
      </c>
      <c r="J396">
        <v>0</v>
      </c>
      <c r="K396">
        <v>6200000</v>
      </c>
      <c r="M396">
        <f>I396-(H396+J396-K396)- L396</f>
        <v>0</v>
      </c>
      <c r="N396" t="str">
        <f>IF(M396=0,"Cuadrado",IF(M396&gt;0,"Faltante","Sobrante"))</f>
        <v>Cuadrado</v>
      </c>
      <c r="O396" t="s">
        <v>37</v>
      </c>
      <c r="P396">
        <v>1110458168</v>
      </c>
    </row>
    <row r="397" spans="1:16" hidden="1" x14ac:dyDescent="0.35">
      <c r="A397">
        <v>718</v>
      </c>
      <c r="B397">
        <v>6248</v>
      </c>
      <c r="C397" t="s">
        <v>19</v>
      </c>
      <c r="D397" t="s">
        <v>19</v>
      </c>
      <c r="E397" s="2">
        <v>46087</v>
      </c>
      <c r="F397" s="2">
        <v>46086</v>
      </c>
      <c r="G397" t="s">
        <v>298</v>
      </c>
      <c r="H397">
        <v>303747800</v>
      </c>
      <c r="I397">
        <v>304257800</v>
      </c>
      <c r="J397">
        <v>0</v>
      </c>
      <c r="K397">
        <v>2000000</v>
      </c>
      <c r="L397">
        <v>2510000</v>
      </c>
      <c r="M397">
        <f>I397-(H397+J397-K397)- L397</f>
        <v>0</v>
      </c>
      <c r="N397" t="str">
        <f>IF(M397=0,"Cuadrado",IF(M397&gt;0,"Faltante","Sobrante"))</f>
        <v>Cuadrado</v>
      </c>
      <c r="O397" t="s">
        <v>449</v>
      </c>
      <c r="P397">
        <v>1110458168</v>
      </c>
    </row>
    <row r="398" spans="1:16" hidden="1" x14ac:dyDescent="0.35">
      <c r="A398">
        <v>477</v>
      </c>
      <c r="B398">
        <v>6251</v>
      </c>
      <c r="C398" t="s">
        <v>19</v>
      </c>
      <c r="D398" t="s">
        <v>19</v>
      </c>
      <c r="E398" s="2">
        <v>46093</v>
      </c>
      <c r="F398" s="2">
        <v>46092</v>
      </c>
      <c r="G398" t="s">
        <v>111</v>
      </c>
      <c r="H398">
        <v>35598550</v>
      </c>
      <c r="I398">
        <v>34009050</v>
      </c>
      <c r="J398">
        <v>7800000</v>
      </c>
      <c r="K398">
        <v>9490000</v>
      </c>
      <c r="L398">
        <v>100500</v>
      </c>
      <c r="M398">
        <f>I398-(H398+J398-K398)- L398</f>
        <v>0</v>
      </c>
      <c r="N398" t="str">
        <f>IF(M398=0,"Cuadrado",IF(M398&gt;0,"Faltante","Sobrante"))</f>
        <v>Cuadrado</v>
      </c>
      <c r="O398" t="s">
        <v>329</v>
      </c>
      <c r="P398">
        <v>1140850613</v>
      </c>
    </row>
    <row r="399" spans="1:16" hidden="1" x14ac:dyDescent="0.35">
      <c r="A399">
        <v>477</v>
      </c>
      <c r="B399">
        <v>6251</v>
      </c>
      <c r="C399" t="s">
        <v>19</v>
      </c>
      <c r="D399" t="s">
        <v>19</v>
      </c>
      <c r="E399" s="2">
        <v>46091</v>
      </c>
      <c r="F399" s="2">
        <v>46090</v>
      </c>
      <c r="G399" t="s">
        <v>280</v>
      </c>
      <c r="H399">
        <v>155281050</v>
      </c>
      <c r="I399">
        <v>435774550</v>
      </c>
      <c r="J399">
        <v>9030000</v>
      </c>
      <c r="K399">
        <v>4340000</v>
      </c>
      <c r="L399">
        <v>280774000</v>
      </c>
      <c r="M399">
        <f>I399-(H399+J399-K399)- L399</f>
        <v>-4970500</v>
      </c>
      <c r="N399" t="str">
        <f>IF(M399=0,"Cuadrado",IF(M399&gt;0,"Faltante","Sobrante"))</f>
        <v>Sobrante</v>
      </c>
      <c r="O399" t="s">
        <v>383</v>
      </c>
      <c r="P399">
        <v>1140850613</v>
      </c>
    </row>
    <row r="400" spans="1:16" hidden="1" x14ac:dyDescent="0.35">
      <c r="A400">
        <v>337</v>
      </c>
      <c r="B400">
        <v>6253</v>
      </c>
      <c r="C400" t="s">
        <v>19</v>
      </c>
      <c r="D400" t="s">
        <v>19</v>
      </c>
      <c r="E400" s="2">
        <v>46100</v>
      </c>
      <c r="F400" s="2">
        <v>46099</v>
      </c>
      <c r="G400" t="s">
        <v>133</v>
      </c>
      <c r="H400">
        <v>172775800</v>
      </c>
      <c r="I400">
        <v>97281650</v>
      </c>
      <c r="J400">
        <v>32410000</v>
      </c>
      <c r="K400">
        <v>67754150</v>
      </c>
      <c r="M400">
        <f>I400-(H400+J400-K400)- L400</f>
        <v>-40150000</v>
      </c>
      <c r="N400" t="str">
        <f>IF(M400=0,"Cuadrado",IF(M400&gt;0,"Faltante","Sobrante"))</f>
        <v>Sobrante</v>
      </c>
      <c r="O400" t="s">
        <v>95</v>
      </c>
      <c r="P400">
        <v>80386330</v>
      </c>
    </row>
    <row r="401" spans="1:16" hidden="1" x14ac:dyDescent="0.35">
      <c r="A401">
        <v>337</v>
      </c>
      <c r="B401">
        <v>6253</v>
      </c>
      <c r="C401" t="s">
        <v>19</v>
      </c>
      <c r="D401" t="s">
        <v>19</v>
      </c>
      <c r="E401" s="2">
        <v>46097</v>
      </c>
      <c r="F401" s="2">
        <v>46094</v>
      </c>
      <c r="G401" t="s">
        <v>221</v>
      </c>
      <c r="H401">
        <v>183608600</v>
      </c>
      <c r="I401">
        <v>217906300</v>
      </c>
      <c r="J401">
        <v>22440000</v>
      </c>
      <c r="K401">
        <v>15243300</v>
      </c>
      <c r="M401">
        <f>I401-(H401+J401-K401)- L401</f>
        <v>27101000</v>
      </c>
      <c r="N401" t="str">
        <f>IF(M401=0,"Cuadrado",IF(M401&gt;0,"Faltante","Sobrante"))</f>
        <v>Faltante</v>
      </c>
      <c r="O401" t="s">
        <v>18</v>
      </c>
      <c r="P401">
        <v>80386330</v>
      </c>
    </row>
    <row r="402" spans="1:16" hidden="1" x14ac:dyDescent="0.35">
      <c r="A402">
        <v>337</v>
      </c>
      <c r="B402">
        <v>6253</v>
      </c>
      <c r="C402" t="s">
        <v>19</v>
      </c>
      <c r="D402" t="s">
        <v>19</v>
      </c>
      <c r="E402" s="2">
        <v>46093</v>
      </c>
      <c r="F402" s="2">
        <v>46092</v>
      </c>
      <c r="G402" t="s">
        <v>31</v>
      </c>
      <c r="H402">
        <v>205292550</v>
      </c>
      <c r="I402">
        <v>179881750</v>
      </c>
      <c r="J402">
        <v>32140000</v>
      </c>
      <c r="K402">
        <v>74651800</v>
      </c>
      <c r="M402">
        <f>I402-(H402+J402-K402)- L402</f>
        <v>17101000</v>
      </c>
      <c r="N402" t="str">
        <f>IF(M402=0,"Cuadrado",IF(M402&gt;0,"Faltante","Sobrante"))</f>
        <v>Faltante</v>
      </c>
      <c r="O402" t="s">
        <v>260</v>
      </c>
      <c r="P402">
        <v>80386330</v>
      </c>
    </row>
    <row r="403" spans="1:16" hidden="1" x14ac:dyDescent="0.35">
      <c r="A403">
        <v>337</v>
      </c>
      <c r="B403">
        <v>6253</v>
      </c>
      <c r="C403" t="s">
        <v>19</v>
      </c>
      <c r="D403" t="s">
        <v>19</v>
      </c>
      <c r="E403" s="2">
        <v>46087</v>
      </c>
      <c r="F403" s="2">
        <v>46086</v>
      </c>
      <c r="G403" t="s">
        <v>340</v>
      </c>
      <c r="H403">
        <v>206397700</v>
      </c>
      <c r="I403">
        <v>209155700</v>
      </c>
      <c r="J403">
        <v>9590000</v>
      </c>
      <c r="K403">
        <v>6732000</v>
      </c>
      <c r="M403">
        <f>I403-(H403+J403-K403)- L403</f>
        <v>-100000</v>
      </c>
      <c r="N403" t="str">
        <f>IF(M403=0,"Cuadrado",IF(M403&gt;0,"Faltante","Sobrante"))</f>
        <v>Sobrante</v>
      </c>
      <c r="O403" t="s">
        <v>423</v>
      </c>
      <c r="P403">
        <v>80386330</v>
      </c>
    </row>
    <row r="404" spans="1:16" hidden="1" x14ac:dyDescent="0.35">
      <c r="A404">
        <v>524</v>
      </c>
      <c r="B404">
        <v>6336</v>
      </c>
      <c r="C404" t="s">
        <v>19</v>
      </c>
      <c r="D404" t="s">
        <v>19</v>
      </c>
      <c r="E404" s="2">
        <v>46094</v>
      </c>
      <c r="F404" s="2">
        <v>46093</v>
      </c>
      <c r="G404" t="s">
        <v>275</v>
      </c>
      <c r="H404">
        <v>28358950</v>
      </c>
      <c r="I404">
        <v>28462950</v>
      </c>
      <c r="J404">
        <v>500000</v>
      </c>
      <c r="K404">
        <v>400000</v>
      </c>
      <c r="M404">
        <f>I404-(H404+J404-K404)- L404</f>
        <v>4000</v>
      </c>
      <c r="N404" t="str">
        <f>IF(M404=0,"Cuadrado",IF(M404&gt;0,"Faltante","Sobrante"))</f>
        <v>Faltante</v>
      </c>
      <c r="O404" t="s">
        <v>244</v>
      </c>
      <c r="P404">
        <v>1004211532</v>
      </c>
    </row>
    <row r="405" spans="1:16" hidden="1" x14ac:dyDescent="0.35">
      <c r="A405">
        <v>524</v>
      </c>
      <c r="B405">
        <v>6336</v>
      </c>
      <c r="C405" t="s">
        <v>19</v>
      </c>
      <c r="D405" t="s">
        <v>19</v>
      </c>
      <c r="E405" s="2">
        <v>46085</v>
      </c>
      <c r="F405" s="2">
        <v>46084</v>
      </c>
      <c r="G405" t="s">
        <v>124</v>
      </c>
      <c r="H405">
        <v>260115300</v>
      </c>
      <c r="I405">
        <v>260773100</v>
      </c>
      <c r="J405">
        <v>660000</v>
      </c>
      <c r="K405">
        <v>0</v>
      </c>
      <c r="M405">
        <f>I405-(H405+J405-K405)- L405</f>
        <v>-2200</v>
      </c>
      <c r="N405" t="str">
        <f>IF(M405=0,"Cuadrado",IF(M405&gt;0,"Faltante","Sobrante"))</f>
        <v>Sobrante</v>
      </c>
      <c r="O405" t="s">
        <v>489</v>
      </c>
      <c r="P405">
        <v>1004211532</v>
      </c>
    </row>
    <row r="406" spans="1:16" hidden="1" x14ac:dyDescent="0.35">
      <c r="A406">
        <v>37</v>
      </c>
      <c r="B406">
        <v>6406</v>
      </c>
      <c r="C406" t="s">
        <v>19</v>
      </c>
      <c r="D406" t="s">
        <v>19</v>
      </c>
      <c r="E406" s="2">
        <v>46097</v>
      </c>
      <c r="F406" s="2">
        <v>46094</v>
      </c>
      <c r="G406" t="s">
        <v>241</v>
      </c>
      <c r="H406">
        <v>150351400</v>
      </c>
      <c r="I406">
        <v>150351400</v>
      </c>
      <c r="J406">
        <v>0</v>
      </c>
      <c r="K406">
        <v>0</v>
      </c>
      <c r="M406">
        <f>I406-(H406+J406-K406)- L406</f>
        <v>0</v>
      </c>
      <c r="N406" t="str">
        <f>IF(M406=0,"Cuadrado",IF(M406&gt;0,"Faltante","Sobrante"))</f>
        <v>Cuadrado</v>
      </c>
      <c r="O406" t="s">
        <v>37</v>
      </c>
      <c r="P406">
        <v>1018444239</v>
      </c>
    </row>
    <row r="407" spans="1:16" hidden="1" x14ac:dyDescent="0.35">
      <c r="A407">
        <v>37</v>
      </c>
      <c r="B407">
        <v>6406</v>
      </c>
      <c r="C407" t="s">
        <v>19</v>
      </c>
      <c r="D407" t="s">
        <v>19</v>
      </c>
      <c r="E407" s="2">
        <v>46087</v>
      </c>
      <c r="F407" s="2">
        <v>46086</v>
      </c>
      <c r="G407" t="s">
        <v>363</v>
      </c>
      <c r="H407">
        <v>52402600</v>
      </c>
      <c r="I407">
        <v>72470600</v>
      </c>
      <c r="J407">
        <v>31540000</v>
      </c>
      <c r="K407">
        <v>11472000</v>
      </c>
      <c r="M407">
        <f>I407-(H407+J407-K407)- L407</f>
        <v>0</v>
      </c>
      <c r="N407" t="str">
        <f>IF(M407=0,"Cuadrado",IF(M407&gt;0,"Faltante","Sobrante"))</f>
        <v>Cuadrado</v>
      </c>
      <c r="O407" t="s">
        <v>37</v>
      </c>
      <c r="P407">
        <v>1018444239</v>
      </c>
    </row>
    <row r="408" spans="1:16" hidden="1" x14ac:dyDescent="0.35">
      <c r="A408">
        <v>601</v>
      </c>
      <c r="B408">
        <v>6407</v>
      </c>
      <c r="C408" t="s">
        <v>19</v>
      </c>
      <c r="D408" t="s">
        <v>19</v>
      </c>
      <c r="E408" s="2">
        <v>46099</v>
      </c>
      <c r="F408" s="2">
        <v>46098</v>
      </c>
      <c r="G408" t="s">
        <v>180</v>
      </c>
      <c r="H408">
        <v>213178650</v>
      </c>
      <c r="I408">
        <v>158011150</v>
      </c>
      <c r="J408">
        <v>8380000</v>
      </c>
      <c r="K408">
        <v>63197000</v>
      </c>
      <c r="M408">
        <f>I408-(H408+J408-K408)- L408</f>
        <v>-350500</v>
      </c>
      <c r="N408" t="str">
        <f>IF(M408=0,"Cuadrado",IF(M408&gt;0,"Faltante","Sobrante"))</f>
        <v>Sobrante</v>
      </c>
      <c r="O408" t="s">
        <v>156</v>
      </c>
    </row>
    <row r="409" spans="1:16" hidden="1" x14ac:dyDescent="0.35">
      <c r="A409">
        <v>379</v>
      </c>
      <c r="B409">
        <v>6465</v>
      </c>
      <c r="C409" t="s">
        <v>19</v>
      </c>
      <c r="D409" t="s">
        <v>19</v>
      </c>
      <c r="E409" s="2">
        <v>46093</v>
      </c>
      <c r="F409" s="2">
        <v>46092</v>
      </c>
      <c r="G409" t="s">
        <v>330</v>
      </c>
      <c r="H409">
        <v>47484000</v>
      </c>
      <c r="I409">
        <v>146544950</v>
      </c>
      <c r="J409">
        <v>7320000</v>
      </c>
      <c r="K409">
        <v>44098050</v>
      </c>
      <c r="L409">
        <v>142319000</v>
      </c>
      <c r="M409">
        <f>I409-(H409+J409-K409)- L409</f>
        <v>-6480000</v>
      </c>
      <c r="N409" t="str">
        <f>IF(M409=0,"Cuadrado",IF(M409&gt;0,"Faltante","Sobrante"))</f>
        <v>Sobrante</v>
      </c>
      <c r="O409" t="s">
        <v>311</v>
      </c>
      <c r="P409">
        <v>1020440431</v>
      </c>
    </row>
    <row r="410" spans="1:16" hidden="1" x14ac:dyDescent="0.35">
      <c r="A410">
        <v>894</v>
      </c>
      <c r="B410">
        <v>6466</v>
      </c>
      <c r="C410" t="s">
        <v>19</v>
      </c>
      <c r="D410" t="s">
        <v>19</v>
      </c>
      <c r="E410" s="2">
        <v>46105</v>
      </c>
      <c r="F410" s="2">
        <v>46101</v>
      </c>
      <c r="G410" t="s">
        <v>27</v>
      </c>
      <c r="H410">
        <v>267981500</v>
      </c>
      <c r="I410">
        <v>277359000</v>
      </c>
      <c r="J410">
        <v>2040000</v>
      </c>
      <c r="K410">
        <v>0</v>
      </c>
      <c r="L410">
        <v>7337500</v>
      </c>
      <c r="M410">
        <f>I410-(H410+J410-K410)- L410</f>
        <v>0</v>
      </c>
      <c r="N410" t="str">
        <f>IF(M410=0,"Cuadrado",IF(M410&gt;0,"Faltante","Sobrante"))</f>
        <v>Cuadrado</v>
      </c>
      <c r="O410" t="s">
        <v>28</v>
      </c>
      <c r="P410">
        <v>1087122088</v>
      </c>
    </row>
    <row r="411" spans="1:16" hidden="1" x14ac:dyDescent="0.35">
      <c r="A411">
        <v>237</v>
      </c>
      <c r="B411">
        <v>6467</v>
      </c>
      <c r="C411" t="s">
        <v>19</v>
      </c>
      <c r="D411" t="s">
        <v>19</v>
      </c>
      <c r="E411" s="2">
        <v>46094</v>
      </c>
      <c r="F411" s="2">
        <v>46093</v>
      </c>
      <c r="G411" t="s">
        <v>276</v>
      </c>
      <c r="H411">
        <v>116595550</v>
      </c>
      <c r="I411">
        <v>117060550</v>
      </c>
      <c r="J411">
        <v>710000</v>
      </c>
      <c r="K411">
        <v>400000</v>
      </c>
      <c r="L411">
        <v>155000</v>
      </c>
      <c r="M411">
        <f>I411-(H411+J411-K411)- L411</f>
        <v>0</v>
      </c>
      <c r="N411" t="str">
        <f>IF(M411=0,"Cuadrado",IF(M411&gt;0,"Faltante","Sobrante"))</f>
        <v>Cuadrado</v>
      </c>
      <c r="O411" t="s">
        <v>277</v>
      </c>
      <c r="P411">
        <v>1016078081</v>
      </c>
    </row>
    <row r="412" spans="1:16" x14ac:dyDescent="0.35">
      <c r="A412">
        <v>237</v>
      </c>
      <c r="B412">
        <v>6467</v>
      </c>
      <c r="C412" t="s">
        <v>19</v>
      </c>
      <c r="D412" t="s">
        <v>19</v>
      </c>
      <c r="E412" s="2">
        <v>46106</v>
      </c>
      <c r="F412" s="2">
        <v>46105</v>
      </c>
      <c r="G412" t="s">
        <v>117</v>
      </c>
      <c r="H412">
        <v>145620600</v>
      </c>
      <c r="I412">
        <v>146100600</v>
      </c>
      <c r="J412">
        <v>1970000</v>
      </c>
      <c r="K412">
        <v>1750000</v>
      </c>
      <c r="L412">
        <f>260000</f>
        <v>260000</v>
      </c>
      <c r="M412">
        <f>I412-(H412+J412-K412)- L412</f>
        <v>0</v>
      </c>
      <c r="N412" t="str">
        <f>IF(M412=0,"Cuadrado",IF(M412&gt;0,"Faltante","Sobrante"))</f>
        <v>Cuadrado</v>
      </c>
      <c r="O412" t="s">
        <v>519</v>
      </c>
      <c r="P412">
        <v>1016078081</v>
      </c>
    </row>
    <row r="413" spans="1:16" hidden="1" x14ac:dyDescent="0.35">
      <c r="A413">
        <v>202</v>
      </c>
      <c r="B413">
        <v>6608</v>
      </c>
      <c r="C413" t="s">
        <v>19</v>
      </c>
      <c r="D413" t="s">
        <v>16</v>
      </c>
      <c r="E413" s="2">
        <v>46099</v>
      </c>
      <c r="F413" s="2">
        <v>46098</v>
      </c>
      <c r="G413" t="s">
        <v>181</v>
      </c>
      <c r="H413">
        <v>192685150</v>
      </c>
      <c r="I413">
        <v>186687550</v>
      </c>
      <c r="J413">
        <v>13450000</v>
      </c>
      <c r="K413">
        <v>28122700</v>
      </c>
      <c r="M413">
        <f>I413-(H413+J413-K413)- L413</f>
        <v>8675100</v>
      </c>
      <c r="N413" t="str">
        <f>IF(M413=0,"Cuadrado",IF(M413&gt;0,"Faltante","Sobrante"))</f>
        <v>Faltante</v>
      </c>
      <c r="O413" t="s">
        <v>59</v>
      </c>
    </row>
    <row r="414" spans="1:16" hidden="1" x14ac:dyDescent="0.35">
      <c r="A414">
        <v>317</v>
      </c>
      <c r="B414">
        <v>6613</v>
      </c>
      <c r="C414" t="s">
        <v>16</v>
      </c>
      <c r="D414" t="s">
        <v>16</v>
      </c>
      <c r="E414" s="2">
        <v>46098</v>
      </c>
      <c r="F414" s="2">
        <v>46097</v>
      </c>
      <c r="G414" t="s">
        <v>208</v>
      </c>
      <c r="H414">
        <v>143558200</v>
      </c>
      <c r="I414">
        <v>138106100</v>
      </c>
      <c r="J414">
        <v>0</v>
      </c>
      <c r="K414">
        <v>0</v>
      </c>
      <c r="L414">
        <v>0</v>
      </c>
      <c r="M414">
        <f>I414-(H414+J414-K414)- L414</f>
        <v>-5452100</v>
      </c>
      <c r="N414" t="str">
        <f>IF(M414=0,"Cuadrado",IF(M414&gt;0,"Faltante","Sobrante"))</f>
        <v>Sobrante</v>
      </c>
      <c r="P414">
        <v>1116796671</v>
      </c>
    </row>
    <row r="415" spans="1:16" hidden="1" x14ac:dyDescent="0.35">
      <c r="A415">
        <v>317</v>
      </c>
      <c r="B415">
        <v>6613</v>
      </c>
      <c r="C415" t="s">
        <v>16</v>
      </c>
      <c r="D415" t="s">
        <v>19</v>
      </c>
      <c r="E415" s="2">
        <v>46087</v>
      </c>
      <c r="F415" s="2">
        <v>46086</v>
      </c>
      <c r="G415" t="s">
        <v>64</v>
      </c>
      <c r="H415">
        <v>55302000</v>
      </c>
      <c r="I415">
        <v>318993000</v>
      </c>
      <c r="J415">
        <v>1550000</v>
      </c>
      <c r="K415">
        <v>23900000</v>
      </c>
      <c r="L415">
        <v>302802000</v>
      </c>
      <c r="M415">
        <f>I415-(H415+J415-K415)- L415</f>
        <v>-16761000</v>
      </c>
      <c r="N415" t="str">
        <f>IF(M415=0,"Cuadrado",IF(M415&gt;0,"Faltante","Sobrante"))</f>
        <v>Sobrante</v>
      </c>
      <c r="O415" t="s">
        <v>423</v>
      </c>
      <c r="P415">
        <v>1116796671</v>
      </c>
    </row>
    <row r="416" spans="1:16" hidden="1" x14ac:dyDescent="0.35">
      <c r="A416">
        <v>352</v>
      </c>
      <c r="B416">
        <v>6618</v>
      </c>
      <c r="C416" t="s">
        <v>19</v>
      </c>
      <c r="D416" t="s">
        <v>19</v>
      </c>
      <c r="E416" s="2">
        <v>46094</v>
      </c>
      <c r="F416" s="2">
        <v>46093</v>
      </c>
      <c r="G416" t="s">
        <v>278</v>
      </c>
      <c r="H416">
        <v>252384600</v>
      </c>
      <c r="I416">
        <v>261196200</v>
      </c>
      <c r="J416">
        <v>42950000</v>
      </c>
      <c r="K416">
        <v>43885000</v>
      </c>
      <c r="L416">
        <v>9750600</v>
      </c>
      <c r="M416">
        <f>I416-(H416+J416-K416)- L416</f>
        <v>-4000</v>
      </c>
      <c r="N416" t="str">
        <f>IF(M416=0,"Cuadrado",IF(M416&gt;0,"Faltante","Sobrante"))</f>
        <v>Sobrante</v>
      </c>
      <c r="O416" t="s">
        <v>245</v>
      </c>
      <c r="P416">
        <v>28559006</v>
      </c>
    </row>
    <row r="417" spans="1:16" hidden="1" x14ac:dyDescent="0.35">
      <c r="A417">
        <v>352</v>
      </c>
      <c r="B417">
        <v>6618</v>
      </c>
      <c r="C417" t="s">
        <v>19</v>
      </c>
      <c r="D417" t="s">
        <v>19</v>
      </c>
      <c r="E417" s="2">
        <v>46093</v>
      </c>
      <c r="F417" s="2">
        <v>46091</v>
      </c>
      <c r="G417" t="s">
        <v>331</v>
      </c>
      <c r="H417">
        <v>194220400</v>
      </c>
      <c r="I417">
        <v>181161000</v>
      </c>
      <c r="J417">
        <v>4520000</v>
      </c>
      <c r="K417">
        <v>27330000</v>
      </c>
      <c r="M417">
        <f>I417-(H417+J417-K417)- L417</f>
        <v>9750600</v>
      </c>
      <c r="N417" t="str">
        <f>IF(M417=0,"Cuadrado",IF(M417&gt;0,"Faltante","Sobrante"))</f>
        <v>Faltante</v>
      </c>
      <c r="O417" t="s">
        <v>332</v>
      </c>
      <c r="P417">
        <v>28559006</v>
      </c>
    </row>
    <row r="418" spans="1:16" hidden="1" x14ac:dyDescent="0.35">
      <c r="A418">
        <v>352</v>
      </c>
      <c r="B418">
        <v>6618</v>
      </c>
      <c r="C418" t="s">
        <v>19</v>
      </c>
      <c r="D418" t="s">
        <v>19</v>
      </c>
      <c r="E418" s="2">
        <v>46092</v>
      </c>
      <c r="F418" s="2">
        <v>46091</v>
      </c>
      <c r="G418" t="s">
        <v>331</v>
      </c>
      <c r="H418">
        <v>112715400</v>
      </c>
      <c r="I418">
        <v>181161000</v>
      </c>
      <c r="J418">
        <v>4520000</v>
      </c>
      <c r="K418">
        <v>27330000</v>
      </c>
      <c r="M418">
        <f>I418-(H418+J418-K418)- L418</f>
        <v>91255600</v>
      </c>
      <c r="N418" t="str">
        <f>IF(M418=0,"Cuadrado",IF(M418&gt;0,"Faltante","Sobrante"))</f>
        <v>Faltante</v>
      </c>
      <c r="O418" t="s">
        <v>260</v>
      </c>
      <c r="P418">
        <v>28559006</v>
      </c>
    </row>
    <row r="419" spans="1:16" hidden="1" x14ac:dyDescent="0.35">
      <c r="A419">
        <v>352</v>
      </c>
      <c r="B419">
        <v>6618</v>
      </c>
      <c r="C419" t="s">
        <v>19</v>
      </c>
      <c r="D419" t="s">
        <v>19</v>
      </c>
      <c r="E419" s="2">
        <v>46087</v>
      </c>
      <c r="F419" s="2">
        <v>46086</v>
      </c>
      <c r="G419" t="s">
        <v>170</v>
      </c>
      <c r="H419">
        <v>168638000</v>
      </c>
      <c r="I419">
        <v>190430000</v>
      </c>
      <c r="J419">
        <v>9630000</v>
      </c>
      <c r="K419">
        <v>650000</v>
      </c>
      <c r="M419">
        <f>I419-(H419+J419-K419)- L419</f>
        <v>12812000</v>
      </c>
      <c r="N419" t="str">
        <f>IF(M419=0,"Cuadrado",IF(M419&gt;0,"Faltante","Sobrante"))</f>
        <v>Faltante</v>
      </c>
      <c r="O419" t="s">
        <v>260</v>
      </c>
      <c r="P419">
        <v>28559006</v>
      </c>
    </row>
    <row r="420" spans="1:16" hidden="1" x14ac:dyDescent="0.35">
      <c r="A420">
        <v>138</v>
      </c>
      <c r="B420">
        <v>6628</v>
      </c>
      <c r="C420" t="s">
        <v>16</v>
      </c>
      <c r="D420" t="s">
        <v>19</v>
      </c>
      <c r="E420" s="2">
        <v>46094</v>
      </c>
      <c r="F420" s="2">
        <v>46093</v>
      </c>
      <c r="G420" t="s">
        <v>279</v>
      </c>
      <c r="H420">
        <v>316378600</v>
      </c>
      <c r="I420">
        <v>316913600</v>
      </c>
      <c r="J420">
        <v>5900000</v>
      </c>
      <c r="K420">
        <v>5364000</v>
      </c>
      <c r="M420">
        <f>I420-(H420+J420-K420)- L420</f>
        <v>-1000</v>
      </c>
      <c r="N420" t="str">
        <f>IF(M420=0,"Cuadrado",IF(M420&gt;0,"Faltante","Sobrante"))</f>
        <v>Sobrante</v>
      </c>
      <c r="O420" t="s">
        <v>245</v>
      </c>
      <c r="P420">
        <v>1023884092</v>
      </c>
    </row>
    <row r="421" spans="1:16" hidden="1" x14ac:dyDescent="0.35">
      <c r="A421">
        <v>138</v>
      </c>
      <c r="B421">
        <v>6628</v>
      </c>
      <c r="C421" t="s">
        <v>16</v>
      </c>
      <c r="D421" t="s">
        <v>16</v>
      </c>
      <c r="E421" s="2">
        <v>46087</v>
      </c>
      <c r="F421" s="2">
        <v>46086</v>
      </c>
      <c r="G421" t="s">
        <v>450</v>
      </c>
      <c r="H421">
        <v>121980550</v>
      </c>
      <c r="I421">
        <v>127215100</v>
      </c>
      <c r="J421">
        <v>7460000</v>
      </c>
      <c r="K421">
        <v>12185000</v>
      </c>
      <c r="L421">
        <v>9959550</v>
      </c>
      <c r="M421">
        <f>I421-(H421+J421-K421)- L421</f>
        <v>0</v>
      </c>
      <c r="N421" t="str">
        <f>IF(M421=0,"Cuadrado",IF(M421&gt;0,"Faltante","Sobrante"))</f>
        <v>Cuadrado</v>
      </c>
      <c r="O421" t="s">
        <v>451</v>
      </c>
      <c r="P421">
        <v>1023884092</v>
      </c>
    </row>
    <row r="422" spans="1:16" hidden="1" x14ac:dyDescent="0.35">
      <c r="A422">
        <v>613</v>
      </c>
      <c r="B422">
        <v>6713</v>
      </c>
      <c r="C422" t="s">
        <v>16</v>
      </c>
      <c r="D422" t="s">
        <v>16</v>
      </c>
      <c r="E422" s="2">
        <v>46099</v>
      </c>
      <c r="F422" s="2">
        <v>46098</v>
      </c>
      <c r="G422" t="s">
        <v>182</v>
      </c>
      <c r="H422">
        <v>226012350</v>
      </c>
      <c r="I422">
        <v>223619350</v>
      </c>
      <c r="J422">
        <v>4430000</v>
      </c>
      <c r="K422">
        <v>4355000</v>
      </c>
      <c r="M422">
        <f>I422-(H422+J422-K422)- L422</f>
        <v>-2468000</v>
      </c>
      <c r="N422" t="str">
        <f>IF(M422=0,"Cuadrado",IF(M422&gt;0,"Faltante","Sobrante"))</f>
        <v>Sobrante</v>
      </c>
      <c r="O422" t="s">
        <v>156</v>
      </c>
    </row>
    <row r="423" spans="1:16" hidden="1" x14ac:dyDescent="0.35">
      <c r="A423">
        <v>613</v>
      </c>
      <c r="B423">
        <v>6713</v>
      </c>
      <c r="C423" t="s">
        <v>16</v>
      </c>
      <c r="D423" t="s">
        <v>16</v>
      </c>
      <c r="E423" s="2">
        <v>46094</v>
      </c>
      <c r="F423" s="2">
        <v>46093</v>
      </c>
      <c r="G423" t="s">
        <v>280</v>
      </c>
      <c r="H423">
        <v>209794550</v>
      </c>
      <c r="I423">
        <v>209539550</v>
      </c>
      <c r="J423">
        <v>250000</v>
      </c>
      <c r="K423">
        <v>1302000</v>
      </c>
      <c r="L423">
        <v>797000</v>
      </c>
      <c r="M423">
        <f>I423-(H423+J423-K423)- L423</f>
        <v>0</v>
      </c>
      <c r="N423" t="str">
        <f>IF(M423=0,"Cuadrado",IF(M423&gt;0,"Faltante","Sobrante"))</f>
        <v>Cuadrado</v>
      </c>
      <c r="O423" t="s">
        <v>281</v>
      </c>
      <c r="P423">
        <v>1040325060</v>
      </c>
    </row>
    <row r="424" spans="1:16" hidden="1" x14ac:dyDescent="0.35">
      <c r="A424">
        <v>613</v>
      </c>
      <c r="B424">
        <v>6713</v>
      </c>
      <c r="C424" t="s">
        <v>16</v>
      </c>
      <c r="D424" t="s">
        <v>16</v>
      </c>
      <c r="E424" s="2">
        <v>46091</v>
      </c>
      <c r="F424" s="2">
        <v>46090</v>
      </c>
      <c r="G424" t="s">
        <v>349</v>
      </c>
      <c r="H424">
        <v>139679500</v>
      </c>
      <c r="I424">
        <v>139937500</v>
      </c>
      <c r="J424">
        <v>2950000</v>
      </c>
      <c r="K424">
        <v>1840000</v>
      </c>
      <c r="M424">
        <f>I424-(H424+J424-K424)- L424</f>
        <v>-852000</v>
      </c>
      <c r="N424" t="str">
        <f>IF(M424=0,"Cuadrado",IF(M424&gt;0,"Faltante","Sobrante"))</f>
        <v>Sobrante</v>
      </c>
      <c r="O424" t="s">
        <v>383</v>
      </c>
      <c r="P424">
        <v>1040325060</v>
      </c>
    </row>
    <row r="425" spans="1:16" hidden="1" x14ac:dyDescent="0.35">
      <c r="A425">
        <v>613</v>
      </c>
      <c r="B425">
        <v>6713</v>
      </c>
      <c r="C425" t="s">
        <v>16</v>
      </c>
      <c r="D425" t="s">
        <v>19</v>
      </c>
      <c r="E425" s="2">
        <v>46084</v>
      </c>
      <c r="F425" s="2">
        <v>46083</v>
      </c>
      <c r="G425" t="s">
        <v>51</v>
      </c>
      <c r="H425">
        <v>113270800</v>
      </c>
      <c r="I425">
        <v>110824100</v>
      </c>
      <c r="J425">
        <v>14050000</v>
      </c>
      <c r="K425">
        <v>16111300</v>
      </c>
      <c r="M425">
        <f>I425-(H425+J425-K425)- L425</f>
        <v>-385400</v>
      </c>
      <c r="N425" t="str">
        <f>IF(M425=0,"Cuadrado",IF(M425&gt;0,"Faltante","Sobrante"))</f>
        <v>Sobrante</v>
      </c>
      <c r="O425" t="s">
        <v>504</v>
      </c>
      <c r="P425">
        <v>32106943</v>
      </c>
    </row>
    <row r="426" spans="1:16" hidden="1" x14ac:dyDescent="0.35">
      <c r="A426">
        <v>764</v>
      </c>
      <c r="B426">
        <v>6715</v>
      </c>
      <c r="C426" t="s">
        <v>19</v>
      </c>
      <c r="D426" t="s">
        <v>19</v>
      </c>
      <c r="E426" s="2">
        <v>46101</v>
      </c>
      <c r="F426" s="2">
        <v>46100</v>
      </c>
      <c r="G426" t="s">
        <v>66</v>
      </c>
      <c r="H426">
        <v>142378900</v>
      </c>
      <c r="I426">
        <v>135096900</v>
      </c>
      <c r="J426">
        <v>29900000</v>
      </c>
      <c r="K426">
        <v>41005000</v>
      </c>
      <c r="M426">
        <f>I426-(H426+J426-K426)- L426</f>
        <v>3823000</v>
      </c>
      <c r="N426" t="str">
        <f>IF(M426=0,"Cuadrado",IF(M426&gt;0,"Faltante","Sobrante"))</f>
        <v>Faltante</v>
      </c>
      <c r="O426" t="s">
        <v>67</v>
      </c>
      <c r="P426">
        <v>1112480917</v>
      </c>
    </row>
    <row r="427" spans="1:16" hidden="1" x14ac:dyDescent="0.35">
      <c r="A427">
        <v>764</v>
      </c>
      <c r="B427">
        <v>6715</v>
      </c>
      <c r="C427" t="s">
        <v>19</v>
      </c>
      <c r="D427" t="s">
        <v>19</v>
      </c>
      <c r="E427" s="2">
        <v>46087</v>
      </c>
      <c r="F427" s="2">
        <v>46086</v>
      </c>
      <c r="G427" t="s">
        <v>342</v>
      </c>
      <c r="H427">
        <v>196916850</v>
      </c>
      <c r="I427">
        <v>204586850</v>
      </c>
      <c r="J427">
        <v>14400000</v>
      </c>
      <c r="K427">
        <v>6670000</v>
      </c>
      <c r="M427">
        <f>I427-(H427+J427-K427)- L427</f>
        <v>-60000</v>
      </c>
      <c r="N427" t="str">
        <f>IF(M427=0,"Cuadrado",IF(M427&gt;0,"Faltante","Sobrante"))</f>
        <v>Sobrante</v>
      </c>
      <c r="O427" t="s">
        <v>423</v>
      </c>
      <c r="P427">
        <v>1112480917</v>
      </c>
    </row>
    <row r="428" spans="1:16" hidden="1" x14ac:dyDescent="0.35">
      <c r="A428">
        <v>843</v>
      </c>
      <c r="B428">
        <v>6716</v>
      </c>
      <c r="C428" t="s">
        <v>19</v>
      </c>
      <c r="D428" t="s">
        <v>19</v>
      </c>
      <c r="E428" s="2">
        <v>46092</v>
      </c>
      <c r="F428" s="2">
        <v>46091</v>
      </c>
      <c r="G428" t="s">
        <v>64</v>
      </c>
      <c r="H428">
        <v>147471800</v>
      </c>
      <c r="I428">
        <v>162062800</v>
      </c>
      <c r="J428">
        <v>29630000</v>
      </c>
      <c r="K428">
        <v>7140000</v>
      </c>
      <c r="M428">
        <f>I428-(H428+J428-K428)- L428</f>
        <v>-7899000</v>
      </c>
      <c r="N428" t="str">
        <f>IF(M428=0,"Cuadrado",IF(M428&gt;0,"Faltante","Sobrante"))</f>
        <v>Sobrante</v>
      </c>
      <c r="O428" t="s">
        <v>357</v>
      </c>
      <c r="P428">
        <v>1122728358</v>
      </c>
    </row>
    <row r="429" spans="1:16" x14ac:dyDescent="0.35">
      <c r="A429">
        <v>843</v>
      </c>
      <c r="B429">
        <v>6716</v>
      </c>
      <c r="C429" t="s">
        <v>19</v>
      </c>
      <c r="D429" t="s">
        <v>19</v>
      </c>
      <c r="E429" s="2">
        <v>46106</v>
      </c>
      <c r="F429" s="2">
        <v>46105</v>
      </c>
      <c r="G429" t="s">
        <v>58</v>
      </c>
      <c r="H429">
        <v>159525600</v>
      </c>
      <c r="I429">
        <v>157225600</v>
      </c>
      <c r="J429">
        <v>0</v>
      </c>
      <c r="K429">
        <v>0</v>
      </c>
      <c r="L429">
        <f>0</f>
        <v>0</v>
      </c>
      <c r="M429">
        <f>I429-(H429+J429-K429)- L429</f>
        <v>-2300000</v>
      </c>
      <c r="N429" t="str">
        <f>IF(M429=0,"Cuadrado",IF(M429&gt;0,"Faltante","Sobrante"))</f>
        <v>Sobrante</v>
      </c>
      <c r="O429" t="s">
        <v>515</v>
      </c>
      <c r="P429">
        <v>1122728358</v>
      </c>
    </row>
    <row r="430" spans="1:16" hidden="1" x14ac:dyDescent="0.35">
      <c r="A430">
        <v>371</v>
      </c>
      <c r="B430">
        <v>6718</v>
      </c>
      <c r="C430" t="s">
        <v>19</v>
      </c>
      <c r="D430" t="s">
        <v>16</v>
      </c>
      <c r="E430" s="2">
        <v>46100</v>
      </c>
      <c r="F430" s="2">
        <v>46099</v>
      </c>
      <c r="G430" t="s">
        <v>134</v>
      </c>
      <c r="H430">
        <v>329659150</v>
      </c>
      <c r="I430">
        <v>299349150</v>
      </c>
      <c r="J430">
        <v>1340000</v>
      </c>
      <c r="K430">
        <v>26550000</v>
      </c>
      <c r="M430">
        <f>I430-(H430+J430-K430)- L430</f>
        <v>-5100000</v>
      </c>
      <c r="N430" t="str">
        <f>IF(M430=0,"Cuadrado",IF(M430&gt;0,"Faltante","Sobrante"))</f>
        <v>Sobrante</v>
      </c>
      <c r="O430" t="s">
        <v>95</v>
      </c>
      <c r="P430">
        <v>39279278</v>
      </c>
    </row>
    <row r="431" spans="1:16" hidden="1" x14ac:dyDescent="0.35">
      <c r="A431">
        <v>371</v>
      </c>
      <c r="B431">
        <v>6718</v>
      </c>
      <c r="C431" t="s">
        <v>19</v>
      </c>
      <c r="D431" t="s">
        <v>19</v>
      </c>
      <c r="E431" s="2">
        <v>46094</v>
      </c>
      <c r="F431" s="2">
        <v>46093</v>
      </c>
      <c r="G431" t="s">
        <v>54</v>
      </c>
      <c r="H431">
        <v>414348050</v>
      </c>
      <c r="I431">
        <v>257777150</v>
      </c>
      <c r="J431">
        <v>2650000</v>
      </c>
      <c r="K431">
        <v>159220900</v>
      </c>
      <c r="L431">
        <v>0</v>
      </c>
      <c r="M431">
        <f>I431-(H431+J431-K431)- L431</f>
        <v>0</v>
      </c>
      <c r="N431" t="str">
        <f>IF(M431=0,"Cuadrado",IF(M431&gt;0,"Faltante","Sobrante"))</f>
        <v>Cuadrado</v>
      </c>
      <c r="O431" t="s">
        <v>304</v>
      </c>
      <c r="P431">
        <v>39279278</v>
      </c>
    </row>
    <row r="432" spans="1:16" hidden="1" x14ac:dyDescent="0.35">
      <c r="A432">
        <v>371</v>
      </c>
      <c r="B432">
        <v>6718</v>
      </c>
      <c r="C432" t="s">
        <v>19</v>
      </c>
      <c r="D432" t="s">
        <v>19</v>
      </c>
      <c r="E432" s="2">
        <v>46092</v>
      </c>
      <c r="F432" s="2">
        <v>46091</v>
      </c>
      <c r="G432" t="s">
        <v>276</v>
      </c>
      <c r="H432">
        <v>387051950</v>
      </c>
      <c r="I432">
        <v>393301950</v>
      </c>
      <c r="J432">
        <v>9950000</v>
      </c>
      <c r="K432">
        <v>0</v>
      </c>
      <c r="M432">
        <f>I432-(H432+J432-K432)- L432</f>
        <v>-3700000</v>
      </c>
      <c r="N432" t="str">
        <f>IF(M432=0,"Cuadrado",IF(M432&gt;0,"Faltante","Sobrante"))</f>
        <v>Sobrante</v>
      </c>
      <c r="O432" t="s">
        <v>357</v>
      </c>
      <c r="P432">
        <v>39279278</v>
      </c>
    </row>
    <row r="433" spans="1:16" hidden="1" x14ac:dyDescent="0.35">
      <c r="A433">
        <v>371</v>
      </c>
      <c r="B433">
        <v>6718</v>
      </c>
      <c r="C433" t="s">
        <v>19</v>
      </c>
      <c r="D433" t="s">
        <v>19</v>
      </c>
      <c r="E433" s="2">
        <v>46087</v>
      </c>
      <c r="F433" s="2">
        <v>46086</v>
      </c>
      <c r="G433" t="s">
        <v>30</v>
      </c>
      <c r="H433">
        <v>222075650</v>
      </c>
      <c r="I433">
        <v>164874650</v>
      </c>
      <c r="J433">
        <v>6920000</v>
      </c>
      <c r="K433">
        <v>69476000</v>
      </c>
      <c r="L433">
        <v>5355000</v>
      </c>
      <c r="M433">
        <f>I433-(H433+J433-K433)- L433</f>
        <v>0</v>
      </c>
      <c r="N433" t="str">
        <f>IF(M433=0,"Cuadrado",IF(M433&gt;0,"Faltante","Sobrante"))</f>
        <v>Cuadrado</v>
      </c>
      <c r="O433" t="s">
        <v>452</v>
      </c>
      <c r="P433">
        <v>39279278</v>
      </c>
    </row>
    <row r="434" spans="1:16" hidden="1" x14ac:dyDescent="0.35">
      <c r="A434">
        <v>348</v>
      </c>
      <c r="B434">
        <v>6724</v>
      </c>
      <c r="C434" t="s">
        <v>16</v>
      </c>
      <c r="D434" t="s">
        <v>16</v>
      </c>
      <c r="E434" s="2">
        <v>46097</v>
      </c>
      <c r="F434" s="2">
        <v>46094</v>
      </c>
      <c r="G434" t="s">
        <v>222</v>
      </c>
      <c r="H434">
        <v>206070900</v>
      </c>
      <c r="I434">
        <v>172242100</v>
      </c>
      <c r="J434">
        <v>2370000</v>
      </c>
      <c r="K434">
        <v>36080400</v>
      </c>
      <c r="M434">
        <f>I434-(H434+J434-K434)- L434</f>
        <v>-118400</v>
      </c>
      <c r="N434" t="str">
        <f>IF(M434=0,"Cuadrado",IF(M434&gt;0,"Faltante","Sobrante"))</f>
        <v>Sobrante</v>
      </c>
      <c r="O434" t="s">
        <v>223</v>
      </c>
      <c r="P434">
        <v>1123633014</v>
      </c>
    </row>
    <row r="435" spans="1:16" hidden="1" x14ac:dyDescent="0.35">
      <c r="A435">
        <v>348</v>
      </c>
      <c r="B435">
        <v>6724</v>
      </c>
      <c r="C435" t="s">
        <v>16</v>
      </c>
      <c r="D435" t="s">
        <v>19</v>
      </c>
      <c r="E435" s="2">
        <v>46084</v>
      </c>
      <c r="F435" s="2">
        <v>46083</v>
      </c>
      <c r="G435" t="s">
        <v>106</v>
      </c>
      <c r="H435">
        <v>65431400</v>
      </c>
      <c r="I435">
        <v>105169800</v>
      </c>
      <c r="J435">
        <v>21090000</v>
      </c>
      <c r="K435">
        <v>82702000</v>
      </c>
      <c r="L435">
        <v>105446000</v>
      </c>
      <c r="M435">
        <f>I435-(H435+J435-K435)- L435</f>
        <v>-4095600</v>
      </c>
      <c r="N435" t="str">
        <f>IF(M435=0,"Cuadrado",IF(M435&gt;0,"Faltante","Sobrante"))</f>
        <v>Sobrante</v>
      </c>
      <c r="O435" t="s">
        <v>504</v>
      </c>
      <c r="P435">
        <v>1123633014</v>
      </c>
    </row>
    <row r="436" spans="1:16" hidden="1" x14ac:dyDescent="0.35">
      <c r="A436">
        <v>96</v>
      </c>
      <c r="B436">
        <v>6735</v>
      </c>
      <c r="C436" t="s">
        <v>19</v>
      </c>
      <c r="D436" t="s">
        <v>19</v>
      </c>
      <c r="E436" s="2">
        <v>46099</v>
      </c>
      <c r="F436" s="2">
        <v>46098</v>
      </c>
      <c r="G436" t="s">
        <v>183</v>
      </c>
      <c r="H436">
        <v>149452450</v>
      </c>
      <c r="I436">
        <v>157094450</v>
      </c>
      <c r="J436">
        <v>24790000</v>
      </c>
      <c r="K436">
        <v>18960000</v>
      </c>
      <c r="M436">
        <f>I436-(H436+J436-K436)- L436</f>
        <v>1812000</v>
      </c>
      <c r="N436" t="str">
        <f>IF(M436=0,"Cuadrado",IF(M436&gt;0,"Faltante","Sobrante"))</f>
        <v>Faltante</v>
      </c>
      <c r="O436" t="s">
        <v>184</v>
      </c>
    </row>
    <row r="437" spans="1:16" hidden="1" x14ac:dyDescent="0.35">
      <c r="A437">
        <v>96</v>
      </c>
      <c r="B437">
        <v>6735</v>
      </c>
      <c r="C437" t="s">
        <v>19</v>
      </c>
      <c r="D437" t="s">
        <v>19</v>
      </c>
      <c r="E437" s="2">
        <v>46093</v>
      </c>
      <c r="F437" s="2">
        <v>46092</v>
      </c>
      <c r="G437" t="s">
        <v>333</v>
      </c>
      <c r="H437">
        <v>246463750</v>
      </c>
      <c r="I437">
        <v>247037750</v>
      </c>
      <c r="J437">
        <v>22850000</v>
      </c>
      <c r="K437">
        <v>22720000</v>
      </c>
      <c r="M437">
        <f>I437-(H437+J437-K437)- L437</f>
        <v>444000</v>
      </c>
      <c r="N437" t="str">
        <f>IF(M437=0,"Cuadrado",IF(M437&gt;0,"Faltante","Sobrante"))</f>
        <v>Faltante</v>
      </c>
      <c r="O437" t="s">
        <v>332</v>
      </c>
      <c r="P437">
        <v>39491642</v>
      </c>
    </row>
    <row r="438" spans="1:16" hidden="1" x14ac:dyDescent="0.35">
      <c r="A438">
        <v>96</v>
      </c>
      <c r="B438">
        <v>6735</v>
      </c>
      <c r="C438" t="s">
        <v>19</v>
      </c>
      <c r="D438" t="s">
        <v>19</v>
      </c>
      <c r="E438" s="2">
        <v>46090</v>
      </c>
      <c r="F438" s="2">
        <v>46086</v>
      </c>
      <c r="G438" t="s">
        <v>141</v>
      </c>
      <c r="H438">
        <v>178570950</v>
      </c>
      <c r="I438">
        <v>175067950</v>
      </c>
      <c r="J438">
        <v>38750000</v>
      </c>
      <c r="K438">
        <v>42700000</v>
      </c>
      <c r="M438">
        <f>I438-(H438+J438-K438)- L438</f>
        <v>447000</v>
      </c>
      <c r="N438" t="str">
        <f>IF(M438=0,"Cuadrado",IF(M438&gt;0,"Faltante","Sobrante"))</f>
        <v>Faltante</v>
      </c>
      <c r="O438" t="s">
        <v>260</v>
      </c>
      <c r="P438">
        <v>39491642</v>
      </c>
    </row>
    <row r="439" spans="1:16" hidden="1" x14ac:dyDescent="0.35">
      <c r="A439">
        <v>888</v>
      </c>
      <c r="B439">
        <v>6818</v>
      </c>
      <c r="C439" t="s">
        <v>19</v>
      </c>
      <c r="D439" t="s">
        <v>19</v>
      </c>
      <c r="E439" s="2">
        <v>46092</v>
      </c>
      <c r="F439" s="2">
        <v>46091</v>
      </c>
      <c r="G439" t="s">
        <v>380</v>
      </c>
      <c r="H439">
        <v>218620200</v>
      </c>
      <c r="I439">
        <v>227790200</v>
      </c>
      <c r="J439">
        <v>9170000</v>
      </c>
      <c r="K439">
        <v>0</v>
      </c>
      <c r="M439">
        <f>I439-(H439+J439-K439)- L439</f>
        <v>0</v>
      </c>
      <c r="N439" t="str">
        <f>IF(M439=0,"Cuadrado",IF(M439&gt;0,"Faltante","Sobrante"))</f>
        <v>Cuadrado</v>
      </c>
      <c r="O439" t="s">
        <v>37</v>
      </c>
      <c r="P439">
        <v>1085921765</v>
      </c>
    </row>
    <row r="440" spans="1:16" hidden="1" x14ac:dyDescent="0.35">
      <c r="A440">
        <v>888</v>
      </c>
      <c r="B440">
        <v>6818</v>
      </c>
      <c r="C440" t="s">
        <v>19</v>
      </c>
      <c r="D440" t="s">
        <v>19</v>
      </c>
      <c r="E440" s="2">
        <v>46087</v>
      </c>
      <c r="F440" s="2">
        <v>46086</v>
      </c>
      <c r="G440" t="s">
        <v>83</v>
      </c>
      <c r="H440">
        <v>518685200</v>
      </c>
      <c r="I440">
        <v>483375200</v>
      </c>
      <c r="J440">
        <v>19760000</v>
      </c>
      <c r="K440">
        <v>54300000</v>
      </c>
      <c r="M440">
        <f>I440-(H440+J440-K440)- L440</f>
        <v>-770000</v>
      </c>
      <c r="N440" t="str">
        <f>IF(M440=0,"Cuadrado",IF(M440&gt;0,"Faltante","Sobrante"))</f>
        <v>Sobrante</v>
      </c>
      <c r="O440" t="s">
        <v>423</v>
      </c>
      <c r="P440">
        <v>1085921765</v>
      </c>
    </row>
    <row r="441" spans="1:16" hidden="1" x14ac:dyDescent="0.35">
      <c r="A441">
        <v>888</v>
      </c>
      <c r="B441">
        <v>6818</v>
      </c>
      <c r="C441" t="s">
        <v>19</v>
      </c>
      <c r="D441" t="s">
        <v>19</v>
      </c>
      <c r="E441" s="2">
        <v>46084</v>
      </c>
      <c r="F441" s="2">
        <v>46083</v>
      </c>
      <c r="G441" t="s">
        <v>231</v>
      </c>
      <c r="H441">
        <v>125980200</v>
      </c>
      <c r="I441">
        <v>123180200</v>
      </c>
      <c r="J441">
        <v>0</v>
      </c>
      <c r="K441">
        <v>0</v>
      </c>
      <c r="M441">
        <f>I441-(H441+J441-K441)- L441</f>
        <v>-2800000</v>
      </c>
      <c r="N441" t="str">
        <f>IF(M441=0,"Cuadrado",IF(M441&gt;0,"Faltante","Sobrante"))</f>
        <v>Sobrante</v>
      </c>
      <c r="O441" t="s">
        <v>504</v>
      </c>
      <c r="P441">
        <v>1085921765</v>
      </c>
    </row>
    <row r="442" spans="1:16" hidden="1" x14ac:dyDescent="0.35">
      <c r="A442">
        <v>20</v>
      </c>
      <c r="B442">
        <v>6839</v>
      </c>
      <c r="C442" t="s">
        <v>19</v>
      </c>
      <c r="D442" t="s">
        <v>19</v>
      </c>
      <c r="E442" s="2">
        <v>46101</v>
      </c>
      <c r="F442" s="2">
        <v>46100</v>
      </c>
      <c r="G442" t="s">
        <v>91</v>
      </c>
      <c r="H442">
        <v>81925150</v>
      </c>
      <c r="I442">
        <v>64825150</v>
      </c>
      <c r="J442">
        <v>1900000</v>
      </c>
      <c r="K442">
        <v>19000000</v>
      </c>
      <c r="M442">
        <f>I442-(H442+J442-K442)- L442</f>
        <v>0</v>
      </c>
      <c r="N442" t="str">
        <f>IF(M442=0,"Cuadrado",IF(M442&gt;0,"Faltante","Sobrante"))</f>
        <v>Cuadrado</v>
      </c>
      <c r="O442" t="s">
        <v>92</v>
      </c>
      <c r="P442">
        <v>91232943</v>
      </c>
    </row>
    <row r="443" spans="1:16" hidden="1" x14ac:dyDescent="0.35">
      <c r="A443">
        <v>20</v>
      </c>
      <c r="B443">
        <v>6839</v>
      </c>
      <c r="C443" t="s">
        <v>19</v>
      </c>
      <c r="D443" t="s">
        <v>19</v>
      </c>
      <c r="E443" s="2">
        <v>46094</v>
      </c>
      <c r="F443" s="2">
        <v>46093</v>
      </c>
      <c r="G443" t="s">
        <v>34</v>
      </c>
      <c r="H443">
        <v>22358800</v>
      </c>
      <c r="I443">
        <v>85371800</v>
      </c>
      <c r="J443">
        <v>51740000</v>
      </c>
      <c r="K443">
        <v>23245000</v>
      </c>
      <c r="L443">
        <v>33328000</v>
      </c>
      <c r="M443">
        <f>I443-(H443+J443-K443)- L443</f>
        <v>1190000</v>
      </c>
      <c r="N443" t="str">
        <f>IF(M443=0,"Cuadrado",IF(M443&gt;0,"Faltante","Sobrante"))</f>
        <v>Faltante</v>
      </c>
      <c r="O443" t="s">
        <v>282</v>
      </c>
      <c r="P443">
        <v>91232943</v>
      </c>
    </row>
    <row r="444" spans="1:16" hidden="1" x14ac:dyDescent="0.35">
      <c r="A444">
        <v>741</v>
      </c>
      <c r="B444">
        <v>6843</v>
      </c>
      <c r="C444" t="s">
        <v>16</v>
      </c>
      <c r="D444" t="s">
        <v>16</v>
      </c>
      <c r="E444" s="2">
        <v>46100</v>
      </c>
      <c r="F444" s="2">
        <v>46099</v>
      </c>
      <c r="G444" t="s">
        <v>148</v>
      </c>
      <c r="H444">
        <v>141718900</v>
      </c>
      <c r="I444">
        <v>145548900</v>
      </c>
      <c r="J444">
        <v>6920000</v>
      </c>
      <c r="K444">
        <v>3090000</v>
      </c>
      <c r="M444">
        <f>I444-(H444+J444-K444)- L444</f>
        <v>0</v>
      </c>
      <c r="N444" t="str">
        <f>IF(M444=0,"Cuadrado",IF(M444&gt;0,"Faltante","Sobrante"))</f>
        <v>Cuadrado</v>
      </c>
      <c r="O444" t="s">
        <v>37</v>
      </c>
      <c r="P444">
        <v>1130637714</v>
      </c>
    </row>
    <row r="445" spans="1:16" hidden="1" x14ac:dyDescent="0.35">
      <c r="A445">
        <v>741</v>
      </c>
      <c r="B445">
        <v>6843</v>
      </c>
      <c r="C445" t="s">
        <v>16</v>
      </c>
      <c r="D445" t="s">
        <v>16</v>
      </c>
      <c r="E445" s="2">
        <v>46097</v>
      </c>
      <c r="F445" s="2">
        <v>46094</v>
      </c>
      <c r="G445" t="s">
        <v>108</v>
      </c>
      <c r="H445">
        <v>173666500</v>
      </c>
      <c r="I445">
        <v>185201500</v>
      </c>
      <c r="J445">
        <v>13390000</v>
      </c>
      <c r="K445">
        <v>1460000</v>
      </c>
      <c r="M445">
        <f>I445-(H445+J445-K445)- L445</f>
        <v>-395000</v>
      </c>
      <c r="N445" t="str">
        <f>IF(M445=0,"Cuadrado",IF(M445&gt;0,"Faltante","Sobrante"))</f>
        <v>Sobrante</v>
      </c>
      <c r="P445">
        <v>1130637714</v>
      </c>
    </row>
    <row r="446" spans="1:16" hidden="1" x14ac:dyDescent="0.35">
      <c r="A446">
        <v>741</v>
      </c>
      <c r="B446">
        <v>6843</v>
      </c>
      <c r="C446" t="s">
        <v>16</v>
      </c>
      <c r="D446" t="s">
        <v>19</v>
      </c>
      <c r="E446" s="2">
        <v>46087</v>
      </c>
      <c r="F446" s="2">
        <v>46086</v>
      </c>
      <c r="G446" t="s">
        <v>186</v>
      </c>
      <c r="H446">
        <v>158973650</v>
      </c>
      <c r="I446">
        <v>202283500</v>
      </c>
      <c r="J446">
        <v>40000000</v>
      </c>
      <c r="K446">
        <v>35505000</v>
      </c>
      <c r="M446">
        <f>I446-(H446+J446-K446)- L446</f>
        <v>38814850</v>
      </c>
      <c r="N446" t="str">
        <f>IF(M446=0,"Cuadrado",IF(M446&gt;0,"Faltante","Sobrante"))</f>
        <v>Faltante</v>
      </c>
      <c r="O446" t="s">
        <v>260</v>
      </c>
      <c r="P446">
        <v>1130637714</v>
      </c>
    </row>
    <row r="447" spans="1:16" hidden="1" x14ac:dyDescent="0.35">
      <c r="A447">
        <v>741</v>
      </c>
      <c r="B447">
        <v>6843</v>
      </c>
      <c r="C447" t="s">
        <v>16</v>
      </c>
      <c r="D447" t="s">
        <v>19</v>
      </c>
      <c r="E447" s="2">
        <v>46085</v>
      </c>
      <c r="F447" s="2">
        <v>46084</v>
      </c>
      <c r="G447" t="s">
        <v>499</v>
      </c>
      <c r="H447">
        <v>159080350</v>
      </c>
      <c r="I447">
        <v>187116200</v>
      </c>
      <c r="J447">
        <v>47230000</v>
      </c>
      <c r="K447">
        <v>58009000</v>
      </c>
      <c r="M447">
        <f>I447-(H447+J447-K447)- L447</f>
        <v>38814850</v>
      </c>
      <c r="N447" t="str">
        <f>IF(M447=0,"Cuadrado",IF(M447&gt;0,"Faltante","Sobrante"))</f>
        <v>Faltante</v>
      </c>
      <c r="O447" t="s">
        <v>260</v>
      </c>
      <c r="P447">
        <v>1130637714</v>
      </c>
    </row>
    <row r="448" spans="1:16" hidden="1" x14ac:dyDescent="0.35">
      <c r="A448">
        <v>796</v>
      </c>
      <c r="B448">
        <v>6911</v>
      </c>
      <c r="C448" t="s">
        <v>19</v>
      </c>
      <c r="D448" t="s">
        <v>16</v>
      </c>
      <c r="E448" s="2">
        <v>46099</v>
      </c>
      <c r="F448" s="2">
        <v>46098</v>
      </c>
      <c r="G448" t="s">
        <v>105</v>
      </c>
      <c r="H448">
        <v>163629850</v>
      </c>
      <c r="I448">
        <v>157429850</v>
      </c>
      <c r="J448">
        <v>610000</v>
      </c>
      <c r="K448">
        <v>7400000</v>
      </c>
      <c r="M448">
        <f>I448-(H448+J448-K448)- L448</f>
        <v>590000</v>
      </c>
      <c r="N448" t="str">
        <f>IF(M448=0,"Cuadrado",IF(M448&gt;0,"Faltante","Sobrante"))</f>
        <v>Faltante</v>
      </c>
      <c r="O448" t="s">
        <v>185</v>
      </c>
    </row>
    <row r="449" spans="1:16" hidden="1" x14ac:dyDescent="0.35">
      <c r="A449">
        <v>796</v>
      </c>
      <c r="B449">
        <v>6911</v>
      </c>
      <c r="C449" t="s">
        <v>19</v>
      </c>
      <c r="D449" t="s">
        <v>19</v>
      </c>
      <c r="E449" s="2">
        <v>46086</v>
      </c>
      <c r="F449" s="2">
        <v>46085</v>
      </c>
      <c r="G449" t="s">
        <v>486</v>
      </c>
      <c r="H449">
        <v>177799250</v>
      </c>
      <c r="I449">
        <v>133528050</v>
      </c>
      <c r="J449">
        <v>22080000</v>
      </c>
      <c r="K449">
        <v>50397000</v>
      </c>
      <c r="M449">
        <f>I449-(H449+J449-K449)- L449</f>
        <v>-15954200</v>
      </c>
      <c r="N449" t="str">
        <f>IF(M449=0,"Cuadrado",IF(M449&gt;0,"Faltante","Sobrante"))</f>
        <v>Sobrante</v>
      </c>
      <c r="O449" t="s">
        <v>467</v>
      </c>
      <c r="P449">
        <v>1095802301</v>
      </c>
    </row>
    <row r="450" spans="1:16" hidden="1" x14ac:dyDescent="0.35">
      <c r="A450">
        <v>796</v>
      </c>
      <c r="B450">
        <v>6911</v>
      </c>
      <c r="C450" t="s">
        <v>19</v>
      </c>
      <c r="D450" t="s">
        <v>19</v>
      </c>
      <c r="E450" s="2">
        <v>46084</v>
      </c>
      <c r="F450" s="2">
        <v>46083</v>
      </c>
      <c r="G450" t="s">
        <v>288</v>
      </c>
      <c r="H450">
        <v>225619500</v>
      </c>
      <c r="I450">
        <v>146645500</v>
      </c>
      <c r="J450">
        <v>51030000</v>
      </c>
      <c r="K450">
        <v>114049800</v>
      </c>
      <c r="M450">
        <f>I450-(H450+J450-K450)- L450</f>
        <v>-15954200</v>
      </c>
      <c r="N450" t="str">
        <f>IF(M450=0,"Cuadrado",IF(M450&gt;0,"Faltante","Sobrante"))</f>
        <v>Sobrante</v>
      </c>
      <c r="O450" t="s">
        <v>260</v>
      </c>
      <c r="P450">
        <v>1095802301</v>
      </c>
    </row>
    <row r="451" spans="1:16" hidden="1" x14ac:dyDescent="0.35">
      <c r="A451">
        <v>536</v>
      </c>
      <c r="B451">
        <v>6927</v>
      </c>
      <c r="C451" t="s">
        <v>16</v>
      </c>
      <c r="D451" t="s">
        <v>19</v>
      </c>
      <c r="E451" s="2">
        <v>46094</v>
      </c>
      <c r="F451" s="2">
        <v>46093</v>
      </c>
      <c r="G451" t="s">
        <v>50</v>
      </c>
      <c r="H451">
        <v>369829900</v>
      </c>
      <c r="I451">
        <v>315219000</v>
      </c>
      <c r="J451">
        <v>20580000</v>
      </c>
      <c r="K451">
        <v>76314900</v>
      </c>
      <c r="L451">
        <v>1124000</v>
      </c>
      <c r="M451">
        <f>I451-(H451+J451-K451)- L451</f>
        <v>0</v>
      </c>
      <c r="N451" t="str">
        <f>IF(M451=0,"Cuadrado",IF(M451&gt;0,"Faltante","Sobrante"))</f>
        <v>Cuadrado</v>
      </c>
      <c r="O451" t="s">
        <v>283</v>
      </c>
      <c r="P451">
        <v>35891536</v>
      </c>
    </row>
    <row r="452" spans="1:16" hidden="1" x14ac:dyDescent="0.35">
      <c r="A452">
        <v>658</v>
      </c>
      <c r="B452">
        <v>7074</v>
      </c>
      <c r="C452" t="s">
        <v>16</v>
      </c>
      <c r="D452" t="s">
        <v>16</v>
      </c>
      <c r="E452" s="2">
        <v>46087</v>
      </c>
      <c r="F452" s="2">
        <v>46086</v>
      </c>
      <c r="G452" t="s">
        <v>464</v>
      </c>
      <c r="H452">
        <v>131652250</v>
      </c>
      <c r="I452">
        <v>133680750</v>
      </c>
      <c r="J452">
        <v>9600000</v>
      </c>
      <c r="K452">
        <v>7571500</v>
      </c>
      <c r="M452">
        <f>I452-(H452+J452-K452)- L452</f>
        <v>0</v>
      </c>
      <c r="N452" t="str">
        <f>IF(M452=0,"Cuadrado",IF(M452&gt;0,"Faltante","Sobrante"))</f>
        <v>Cuadrado</v>
      </c>
      <c r="O452" t="s">
        <v>37</v>
      </c>
      <c r="P452">
        <v>53000424</v>
      </c>
    </row>
    <row r="453" spans="1:16" hidden="1" x14ac:dyDescent="0.35">
      <c r="A453">
        <v>549</v>
      </c>
      <c r="B453">
        <v>7123</v>
      </c>
      <c r="C453" t="s">
        <v>19</v>
      </c>
      <c r="D453" t="s">
        <v>19</v>
      </c>
      <c r="E453" s="2">
        <v>46094</v>
      </c>
      <c r="F453" s="2">
        <v>46093</v>
      </c>
      <c r="G453" t="s">
        <v>284</v>
      </c>
      <c r="H453">
        <v>228423750</v>
      </c>
      <c r="I453">
        <v>281353750</v>
      </c>
      <c r="J453">
        <v>26110000</v>
      </c>
      <c r="K453">
        <v>12659000</v>
      </c>
      <c r="M453">
        <f>I453-(H453+J453-K453)- L453</f>
        <v>39479000</v>
      </c>
      <c r="N453" t="str">
        <f>IF(M453=0,"Cuadrado",IF(M453&gt;0,"Faltante","Sobrante"))</f>
        <v>Faltante</v>
      </c>
      <c r="O453" t="s">
        <v>59</v>
      </c>
      <c r="P453">
        <v>39428454</v>
      </c>
    </row>
    <row r="454" spans="1:16" hidden="1" x14ac:dyDescent="0.35">
      <c r="A454">
        <v>677</v>
      </c>
      <c r="B454">
        <v>7124</v>
      </c>
      <c r="C454" t="s">
        <v>16</v>
      </c>
      <c r="D454" t="s">
        <v>19</v>
      </c>
      <c r="E454" s="2">
        <v>46093</v>
      </c>
      <c r="F454" s="2">
        <v>46092</v>
      </c>
      <c r="G454" t="s">
        <v>334</v>
      </c>
      <c r="H454">
        <v>199097100</v>
      </c>
      <c r="I454">
        <v>200915700</v>
      </c>
      <c r="J454">
        <v>16040000</v>
      </c>
      <c r="K454">
        <v>15710000</v>
      </c>
      <c r="L454">
        <v>1488550</v>
      </c>
      <c r="M454">
        <f>I454-(H454+J454-K454)- L454</f>
        <v>50</v>
      </c>
      <c r="N454" t="str">
        <f>IF(M454=0,"Cuadrado",IF(M454&gt;0,"Faltante","Sobrante"))</f>
        <v>Faltante</v>
      </c>
      <c r="O454" t="s">
        <v>335</v>
      </c>
      <c r="P454">
        <v>1103101789</v>
      </c>
    </row>
    <row r="455" spans="1:16" x14ac:dyDescent="0.35">
      <c r="A455">
        <v>677</v>
      </c>
      <c r="B455">
        <v>7124</v>
      </c>
      <c r="C455" t="s">
        <v>16</v>
      </c>
      <c r="D455" t="s">
        <v>19</v>
      </c>
      <c r="E455" s="2">
        <v>46106</v>
      </c>
      <c r="F455" s="2">
        <v>46105</v>
      </c>
      <c r="G455" t="s">
        <v>525</v>
      </c>
      <c r="H455">
        <v>185364750</v>
      </c>
      <c r="I455">
        <v>186677050</v>
      </c>
      <c r="J455">
        <v>30000</v>
      </c>
      <c r="K455">
        <v>0</v>
      </c>
      <c r="L455">
        <f>700000+582300</f>
        <v>1282300</v>
      </c>
      <c r="M455">
        <f>I455-(H455+J455-K455)- L455</f>
        <v>0</v>
      </c>
      <c r="N455" t="str">
        <f>IF(M455=0,"Cuadrado",IF(M455&gt;0,"Faltante","Sobrante"))</f>
        <v>Cuadrado</v>
      </c>
      <c r="O455" t="s">
        <v>526</v>
      </c>
      <c r="P455">
        <v>1103101789</v>
      </c>
    </row>
    <row r="456" spans="1:16" hidden="1" x14ac:dyDescent="0.35">
      <c r="A456">
        <v>484</v>
      </c>
      <c r="B456">
        <v>7125</v>
      </c>
      <c r="C456" t="s">
        <v>16</v>
      </c>
      <c r="D456" t="s">
        <v>19</v>
      </c>
      <c r="E456" s="2">
        <v>46093</v>
      </c>
      <c r="F456" s="2">
        <v>46092</v>
      </c>
      <c r="G456" t="s">
        <v>110</v>
      </c>
      <c r="H456">
        <v>253567650</v>
      </c>
      <c r="I456">
        <v>249657650</v>
      </c>
      <c r="J456">
        <v>1090000</v>
      </c>
      <c r="K456">
        <v>0</v>
      </c>
      <c r="M456">
        <f>I456-(H456+J456-K456)- L456</f>
        <v>-5000000</v>
      </c>
      <c r="N456" t="str">
        <f>IF(M456=0,"Cuadrado",IF(M456&gt;0,"Faltante","Sobrante"))</f>
        <v>Sobrante</v>
      </c>
      <c r="O456" t="s">
        <v>311</v>
      </c>
      <c r="P456">
        <v>1052972256</v>
      </c>
    </row>
    <row r="457" spans="1:16" hidden="1" x14ac:dyDescent="0.35">
      <c r="A457">
        <v>93</v>
      </c>
      <c r="B457">
        <v>7126</v>
      </c>
      <c r="C457" t="s">
        <v>19</v>
      </c>
      <c r="D457" t="s">
        <v>16</v>
      </c>
      <c r="E457" s="2">
        <v>46100</v>
      </c>
      <c r="F457" s="2">
        <v>46099</v>
      </c>
      <c r="G457" t="s">
        <v>149</v>
      </c>
      <c r="H457">
        <v>100089800</v>
      </c>
      <c r="I457">
        <v>97619800</v>
      </c>
      <c r="J457">
        <v>3600000</v>
      </c>
      <c r="K457">
        <v>6070000</v>
      </c>
      <c r="M457">
        <f>I457-(H457+J457-K457)- L457</f>
        <v>0</v>
      </c>
      <c r="N457" t="str">
        <f>IF(M457=0,"Cuadrado",IF(M457&gt;0,"Faltante","Sobrante"))</f>
        <v>Cuadrado</v>
      </c>
      <c r="O457" t="s">
        <v>37</v>
      </c>
      <c r="P457">
        <v>1067931735</v>
      </c>
    </row>
    <row r="458" spans="1:16" hidden="1" x14ac:dyDescent="0.35">
      <c r="A458">
        <v>93</v>
      </c>
      <c r="B458">
        <v>7126</v>
      </c>
      <c r="C458" t="s">
        <v>19</v>
      </c>
      <c r="D458" t="s">
        <v>19</v>
      </c>
      <c r="E458" s="2">
        <v>46093</v>
      </c>
      <c r="F458" s="2">
        <v>46092</v>
      </c>
      <c r="G458" t="s">
        <v>349</v>
      </c>
      <c r="H458">
        <v>249527800</v>
      </c>
      <c r="I458">
        <v>231651150</v>
      </c>
      <c r="J458">
        <v>13790000</v>
      </c>
      <c r="K458">
        <v>31666650</v>
      </c>
      <c r="M458">
        <f>I458-(H458+J458-K458)- L458</f>
        <v>0</v>
      </c>
      <c r="N458" t="str">
        <f>IF(M458=0,"Cuadrado",IF(M458&gt;0,"Faltante","Sobrante"))</f>
        <v>Cuadrado</v>
      </c>
      <c r="O458" t="s">
        <v>37</v>
      </c>
      <c r="P458">
        <v>1067931735</v>
      </c>
    </row>
    <row r="459" spans="1:16" hidden="1" x14ac:dyDescent="0.35">
      <c r="A459">
        <v>93</v>
      </c>
      <c r="B459">
        <v>7126</v>
      </c>
      <c r="C459" t="s">
        <v>19</v>
      </c>
      <c r="D459" t="s">
        <v>19</v>
      </c>
      <c r="E459" s="2">
        <v>46085</v>
      </c>
      <c r="F459" s="2">
        <v>46084</v>
      </c>
      <c r="G459" t="s">
        <v>294</v>
      </c>
      <c r="H459">
        <v>141650850</v>
      </c>
      <c r="I459">
        <v>150308850</v>
      </c>
      <c r="J459">
        <v>19680000</v>
      </c>
      <c r="K459">
        <v>11022000</v>
      </c>
      <c r="M459">
        <f>I459-(H459+J459-K459)- L459</f>
        <v>0</v>
      </c>
      <c r="N459" t="str">
        <f>IF(M459=0,"Cuadrado",IF(M459&gt;0,"Faltante","Sobrante"))</f>
        <v>Cuadrado</v>
      </c>
      <c r="O459" t="s">
        <v>37</v>
      </c>
      <c r="P459">
        <v>1067931735</v>
      </c>
    </row>
    <row r="460" spans="1:16" hidden="1" x14ac:dyDescent="0.35">
      <c r="A460">
        <v>123</v>
      </c>
      <c r="B460">
        <v>7134</v>
      </c>
      <c r="C460" t="s">
        <v>16</v>
      </c>
      <c r="D460" t="s">
        <v>16</v>
      </c>
      <c r="E460" s="2">
        <v>46100</v>
      </c>
      <c r="F460" s="2">
        <v>46099</v>
      </c>
      <c r="G460" t="s">
        <v>135</v>
      </c>
      <c r="H460">
        <v>232006450</v>
      </c>
      <c r="I460">
        <v>192235350</v>
      </c>
      <c r="J460">
        <v>5450000</v>
      </c>
      <c r="K460">
        <v>45015100</v>
      </c>
      <c r="M460">
        <f>I460-(H460+J460-K460)- L460</f>
        <v>-206000</v>
      </c>
      <c r="N460" t="str">
        <f>IF(M460=0,"Cuadrado",IF(M460&gt;0,"Faltante","Sobrante"))</f>
        <v>Sobrante</v>
      </c>
      <c r="O460" t="s">
        <v>95</v>
      </c>
      <c r="P460">
        <v>39445526</v>
      </c>
    </row>
    <row r="461" spans="1:16" hidden="1" x14ac:dyDescent="0.35">
      <c r="A461">
        <v>385</v>
      </c>
      <c r="B461">
        <v>7139</v>
      </c>
      <c r="C461" t="s">
        <v>19</v>
      </c>
      <c r="D461" t="s">
        <v>16</v>
      </c>
      <c r="E461" s="2">
        <v>46099</v>
      </c>
      <c r="F461" s="2">
        <v>46098</v>
      </c>
      <c r="G461" t="s">
        <v>186</v>
      </c>
      <c r="H461">
        <v>200605850</v>
      </c>
      <c r="I461">
        <v>208583850</v>
      </c>
      <c r="J461">
        <v>30860000</v>
      </c>
      <c r="K461">
        <v>13482000</v>
      </c>
      <c r="M461">
        <f>I461-(H461+J461-K461)- L461</f>
        <v>-9400000</v>
      </c>
      <c r="N461" t="str">
        <f>IF(M461=0,"Cuadrado",IF(M461&gt;0,"Faltante","Sobrante"))</f>
        <v>Sobrante</v>
      </c>
      <c r="O461" t="s">
        <v>156</v>
      </c>
    </row>
    <row r="462" spans="1:16" hidden="1" x14ac:dyDescent="0.35">
      <c r="A462">
        <v>385</v>
      </c>
      <c r="B462">
        <v>7139</v>
      </c>
      <c r="C462" t="s">
        <v>19</v>
      </c>
      <c r="D462" t="s">
        <v>19</v>
      </c>
      <c r="E462" s="2">
        <v>46097</v>
      </c>
      <c r="F462" s="2">
        <v>46094</v>
      </c>
      <c r="G462" t="s">
        <v>224</v>
      </c>
      <c r="H462">
        <v>164563250</v>
      </c>
      <c r="I462">
        <v>161822250</v>
      </c>
      <c r="J462">
        <v>38310000</v>
      </c>
      <c r="K462">
        <v>46141000</v>
      </c>
      <c r="M462">
        <f>I462-(H462+J462-K462)- L462</f>
        <v>5090000</v>
      </c>
      <c r="N462" t="str">
        <f>IF(M462=0,"Cuadrado",IF(M462&gt;0,"Faltante","Sobrante"))</f>
        <v>Faltante</v>
      </c>
      <c r="P462">
        <v>1077970238</v>
      </c>
    </row>
    <row r="463" spans="1:16" hidden="1" x14ac:dyDescent="0.35">
      <c r="A463">
        <v>385</v>
      </c>
      <c r="B463">
        <v>7139</v>
      </c>
      <c r="C463" t="s">
        <v>19</v>
      </c>
      <c r="D463" t="s">
        <v>19</v>
      </c>
      <c r="E463" s="2">
        <v>46094</v>
      </c>
      <c r="F463" s="2">
        <v>46093</v>
      </c>
      <c r="G463" t="s">
        <v>197</v>
      </c>
      <c r="H463">
        <v>224195550</v>
      </c>
      <c r="I463">
        <v>243190550</v>
      </c>
      <c r="J463">
        <v>12440000</v>
      </c>
      <c r="K463">
        <v>7160000</v>
      </c>
      <c r="L463">
        <v>13715000</v>
      </c>
      <c r="M463">
        <f>I463-(H463+J463-K463)- L463</f>
        <v>0</v>
      </c>
      <c r="N463" t="str">
        <f>IF(M463=0,"Cuadrado",IF(M463&gt;0,"Faltante","Sobrante"))</f>
        <v>Cuadrado</v>
      </c>
      <c r="O463" t="s">
        <v>285</v>
      </c>
      <c r="P463">
        <v>1077970238</v>
      </c>
    </row>
    <row r="464" spans="1:16" hidden="1" x14ac:dyDescent="0.35">
      <c r="A464">
        <v>385</v>
      </c>
      <c r="B464">
        <v>7139</v>
      </c>
      <c r="C464" t="s">
        <v>19</v>
      </c>
      <c r="D464" t="s">
        <v>19</v>
      </c>
      <c r="E464" s="2">
        <v>46091</v>
      </c>
      <c r="F464" s="2">
        <v>46090</v>
      </c>
      <c r="G464" t="s">
        <v>391</v>
      </c>
      <c r="H464">
        <v>128538550</v>
      </c>
      <c r="I464">
        <v>120110750</v>
      </c>
      <c r="J464">
        <v>33970000</v>
      </c>
      <c r="K464">
        <v>26851000</v>
      </c>
      <c r="M464">
        <f>I464-(H464+J464-K464)- L464</f>
        <v>-15546800</v>
      </c>
      <c r="N464" t="str">
        <f>IF(M464=0,"Cuadrado",IF(M464&gt;0,"Faltante","Sobrante"))</f>
        <v>Sobrante</v>
      </c>
      <c r="O464" t="s">
        <v>383</v>
      </c>
      <c r="P464">
        <v>1077970238</v>
      </c>
    </row>
    <row r="465" spans="1:16" x14ac:dyDescent="0.35">
      <c r="A465">
        <v>385</v>
      </c>
      <c r="B465">
        <v>7139</v>
      </c>
      <c r="C465" t="s">
        <v>19</v>
      </c>
      <c r="D465" t="s">
        <v>19</v>
      </c>
      <c r="E465" s="2">
        <v>46106</v>
      </c>
      <c r="F465" s="2">
        <v>46101</v>
      </c>
      <c r="G465" t="s">
        <v>522</v>
      </c>
      <c r="H465">
        <v>177980750</v>
      </c>
      <c r="I465">
        <v>209970350</v>
      </c>
      <c r="J465">
        <v>55530000</v>
      </c>
      <c r="K465">
        <v>37940400</v>
      </c>
      <c r="L465">
        <f>0</f>
        <v>0</v>
      </c>
      <c r="M465">
        <f>I465-(H465+J465-K465)- L465</f>
        <v>14400000</v>
      </c>
      <c r="N465" t="str">
        <f>IF(M465=0,"Cuadrado",IF(M465&gt;0,"Faltante","Sobrante"))</f>
        <v>Faltante</v>
      </c>
      <c r="O465" t="s">
        <v>59</v>
      </c>
      <c r="P465">
        <v>1077970238</v>
      </c>
    </row>
    <row r="466" spans="1:16" hidden="1" x14ac:dyDescent="0.35">
      <c r="A466">
        <v>233</v>
      </c>
      <c r="B466">
        <v>7212</v>
      </c>
      <c r="C466" t="s">
        <v>19</v>
      </c>
      <c r="D466" t="s">
        <v>19</v>
      </c>
      <c r="E466" s="2">
        <v>46094</v>
      </c>
      <c r="F466" s="2">
        <v>46093</v>
      </c>
      <c r="G466" t="s">
        <v>305</v>
      </c>
      <c r="H466">
        <v>121284400</v>
      </c>
      <c r="I466">
        <v>129786400</v>
      </c>
      <c r="J466">
        <v>12440000</v>
      </c>
      <c r="K466">
        <v>3938000</v>
      </c>
      <c r="M466">
        <f>I466-(H466+J466-K466)- L466</f>
        <v>0</v>
      </c>
      <c r="N466" t="str">
        <f>IF(M466=0,"Cuadrado",IF(M466&gt;0,"Faltante","Sobrante"))</f>
        <v>Cuadrado</v>
      </c>
      <c r="O466" t="s">
        <v>37</v>
      </c>
      <c r="P466">
        <v>80271480</v>
      </c>
    </row>
    <row r="467" spans="1:16" hidden="1" x14ac:dyDescent="0.35">
      <c r="A467">
        <v>233</v>
      </c>
      <c r="B467">
        <v>7212</v>
      </c>
      <c r="C467" t="s">
        <v>19</v>
      </c>
      <c r="D467" t="s">
        <v>19</v>
      </c>
      <c r="E467" s="2">
        <v>46087</v>
      </c>
      <c r="F467" s="2">
        <v>46086</v>
      </c>
      <c r="G467" t="s">
        <v>465</v>
      </c>
      <c r="H467">
        <v>118171400</v>
      </c>
      <c r="I467">
        <v>127957400</v>
      </c>
      <c r="J467">
        <v>23960000</v>
      </c>
      <c r="K467">
        <v>14174000</v>
      </c>
      <c r="M467">
        <f>I467-(H467+J467-K467)- L467</f>
        <v>0</v>
      </c>
      <c r="N467" t="str">
        <f>IF(M467=0,"Cuadrado",IF(M467&gt;0,"Faltante","Sobrante"))</f>
        <v>Cuadrado</v>
      </c>
      <c r="O467" t="s">
        <v>37</v>
      </c>
      <c r="P467">
        <v>80271480</v>
      </c>
    </row>
    <row r="468" spans="1:16" hidden="1" x14ac:dyDescent="0.35">
      <c r="A468">
        <v>233</v>
      </c>
      <c r="B468">
        <v>7212</v>
      </c>
      <c r="C468" t="s">
        <v>19</v>
      </c>
      <c r="D468" t="s">
        <v>16</v>
      </c>
      <c r="E468" s="2">
        <v>46085</v>
      </c>
      <c r="F468" s="2">
        <v>46084</v>
      </c>
      <c r="G468" t="s">
        <v>347</v>
      </c>
      <c r="H468">
        <v>233874400</v>
      </c>
      <c r="I468">
        <v>238254400</v>
      </c>
      <c r="J468">
        <v>2100000</v>
      </c>
      <c r="K468">
        <v>220000</v>
      </c>
      <c r="M468">
        <f>I468-(H468+J468-K468)- L468</f>
        <v>2500000</v>
      </c>
      <c r="N468" t="str">
        <f>IF(M468=0,"Cuadrado",IF(M468&gt;0,"Faltante","Sobrante"))</f>
        <v>Faltante</v>
      </c>
      <c r="O468" t="s">
        <v>260</v>
      </c>
      <c r="P468">
        <v>80271480</v>
      </c>
    </row>
    <row r="469" spans="1:16" hidden="1" x14ac:dyDescent="0.35">
      <c r="A469">
        <v>506</v>
      </c>
      <c r="B469">
        <v>7316</v>
      </c>
      <c r="C469" t="s">
        <v>16</v>
      </c>
      <c r="D469" t="s">
        <v>19</v>
      </c>
      <c r="E469" s="2">
        <v>46092</v>
      </c>
      <c r="F469" s="2">
        <v>46091</v>
      </c>
      <c r="G469" t="s">
        <v>267</v>
      </c>
      <c r="H469">
        <v>206374450</v>
      </c>
      <c r="I469">
        <v>199850050</v>
      </c>
      <c r="J469">
        <v>530000</v>
      </c>
      <c r="K469">
        <v>5128000</v>
      </c>
      <c r="M469">
        <f>I469-(H469+J469-K469)- L469</f>
        <v>-1926400</v>
      </c>
      <c r="N469" t="str">
        <f>IF(M469=0,"Cuadrado",IF(M469&gt;0,"Faltante","Sobrante"))</f>
        <v>Sobrante</v>
      </c>
      <c r="O469" t="s">
        <v>357</v>
      </c>
      <c r="P469">
        <v>1102824257</v>
      </c>
    </row>
    <row r="470" spans="1:16" hidden="1" x14ac:dyDescent="0.35">
      <c r="A470">
        <v>651</v>
      </c>
      <c r="B470">
        <v>7318</v>
      </c>
      <c r="C470" t="s">
        <v>16</v>
      </c>
      <c r="D470" t="s">
        <v>19</v>
      </c>
      <c r="E470" s="2">
        <v>46092</v>
      </c>
      <c r="F470" s="2">
        <v>46091</v>
      </c>
      <c r="G470" t="s">
        <v>203</v>
      </c>
      <c r="H470">
        <v>145784350</v>
      </c>
      <c r="I470">
        <v>138463000</v>
      </c>
      <c r="J470">
        <v>7150000</v>
      </c>
      <c r="K470">
        <v>14471350</v>
      </c>
      <c r="L470">
        <v>0</v>
      </c>
      <c r="M470">
        <f>I470-(H470+J470-K470)- L470</f>
        <v>0</v>
      </c>
      <c r="N470" t="str">
        <f>IF(M470=0,"Cuadrado",IF(M470&gt;0,"Faltante","Sobrante"))</f>
        <v>Cuadrado</v>
      </c>
      <c r="O470" t="s">
        <v>381</v>
      </c>
      <c r="P470">
        <v>70136398</v>
      </c>
    </row>
    <row r="471" spans="1:16" hidden="1" x14ac:dyDescent="0.35">
      <c r="A471">
        <v>651</v>
      </c>
      <c r="B471">
        <v>7318</v>
      </c>
      <c r="C471" t="s">
        <v>16</v>
      </c>
      <c r="D471" t="s">
        <v>19</v>
      </c>
      <c r="E471" s="2">
        <v>46087</v>
      </c>
      <c r="F471" s="2">
        <v>46086</v>
      </c>
      <c r="G471" t="s">
        <v>425</v>
      </c>
      <c r="H471">
        <v>118567600</v>
      </c>
      <c r="I471">
        <v>126485600</v>
      </c>
      <c r="J471">
        <v>37270000</v>
      </c>
      <c r="K471">
        <v>27832000</v>
      </c>
      <c r="M471">
        <f>I471-(H471+J471-K471)- L471</f>
        <v>-1520000</v>
      </c>
      <c r="N471" t="str">
        <f>IF(M471=0,"Cuadrado",IF(M471&gt;0,"Faltante","Sobrante"))</f>
        <v>Sobrante</v>
      </c>
      <c r="O471" t="s">
        <v>423</v>
      </c>
      <c r="P471">
        <v>70136398</v>
      </c>
    </row>
    <row r="472" spans="1:16" hidden="1" x14ac:dyDescent="0.35">
      <c r="A472">
        <v>651</v>
      </c>
      <c r="B472">
        <v>7318</v>
      </c>
      <c r="C472" t="s">
        <v>16</v>
      </c>
      <c r="D472" t="s">
        <v>19</v>
      </c>
      <c r="E472" s="2">
        <v>46084</v>
      </c>
      <c r="F472" s="2">
        <v>46080</v>
      </c>
      <c r="G472" t="s">
        <v>308</v>
      </c>
      <c r="H472">
        <v>72889300</v>
      </c>
      <c r="I472">
        <v>101307300</v>
      </c>
      <c r="J472">
        <v>43670000</v>
      </c>
      <c r="K472">
        <v>15252000</v>
      </c>
      <c r="M472">
        <f>I472-(H472+J472-K472)- L472</f>
        <v>0</v>
      </c>
      <c r="N472" t="str">
        <f>IF(M472=0,"Cuadrado",IF(M472&gt;0,"Faltante","Sobrante"))</f>
        <v>Cuadrado</v>
      </c>
      <c r="O472" t="s">
        <v>37</v>
      </c>
      <c r="P472">
        <v>70136398</v>
      </c>
    </row>
    <row r="473" spans="1:16" hidden="1" x14ac:dyDescent="0.35">
      <c r="A473">
        <v>389</v>
      </c>
      <c r="B473">
        <v>7327</v>
      </c>
      <c r="C473" t="s">
        <v>19</v>
      </c>
      <c r="D473" t="s">
        <v>16</v>
      </c>
      <c r="E473" s="2">
        <v>46100</v>
      </c>
      <c r="F473" s="2">
        <v>46099</v>
      </c>
      <c r="G473" t="s">
        <v>78</v>
      </c>
      <c r="H473">
        <v>199800200</v>
      </c>
      <c r="I473">
        <v>60560200</v>
      </c>
      <c r="J473">
        <v>18660000</v>
      </c>
      <c r="K473">
        <v>900000</v>
      </c>
      <c r="L473">
        <v>-157000000</v>
      </c>
      <c r="M473">
        <f>I473-(H473+J473-K473)- L473</f>
        <v>0</v>
      </c>
      <c r="N473" t="str">
        <f>IF(M473=0,"Cuadrado",IF(M473&gt;0,"Faltante","Sobrante"))</f>
        <v>Cuadrado</v>
      </c>
      <c r="O473" t="s">
        <v>37</v>
      </c>
      <c r="P473">
        <v>14319846</v>
      </c>
    </row>
    <row r="474" spans="1:16" hidden="1" x14ac:dyDescent="0.35">
      <c r="A474">
        <v>389</v>
      </c>
      <c r="B474">
        <v>7327</v>
      </c>
      <c r="C474" t="s">
        <v>19</v>
      </c>
      <c r="D474" t="s">
        <v>19</v>
      </c>
      <c r="E474" s="2">
        <v>46097</v>
      </c>
      <c r="F474" s="2">
        <v>46094</v>
      </c>
      <c r="G474" t="s">
        <v>225</v>
      </c>
      <c r="H474">
        <v>167849800</v>
      </c>
      <c r="I474">
        <v>170587550</v>
      </c>
      <c r="J474">
        <v>2720000</v>
      </c>
      <c r="K474">
        <v>0</v>
      </c>
      <c r="M474">
        <f>I474-(H474+J474-K474)- L474</f>
        <v>17750</v>
      </c>
      <c r="N474" t="str">
        <f>IF(M474=0,"Cuadrado",IF(M474&gt;0,"Faltante","Sobrante"))</f>
        <v>Faltante</v>
      </c>
      <c r="P474">
        <v>14319846</v>
      </c>
    </row>
    <row r="475" spans="1:16" hidden="1" x14ac:dyDescent="0.35">
      <c r="A475">
        <v>389</v>
      </c>
      <c r="B475">
        <v>7327</v>
      </c>
      <c r="C475" t="s">
        <v>19</v>
      </c>
      <c r="D475" t="s">
        <v>19</v>
      </c>
      <c r="E475" s="2">
        <v>46087</v>
      </c>
      <c r="F475" s="2">
        <v>46086</v>
      </c>
      <c r="G475" t="s">
        <v>466</v>
      </c>
      <c r="H475">
        <v>123987850</v>
      </c>
      <c r="I475">
        <v>124047850</v>
      </c>
      <c r="J475">
        <v>60000</v>
      </c>
      <c r="K475">
        <v>0</v>
      </c>
      <c r="M475">
        <f>I475-(H475+J475-K475)- L475</f>
        <v>0</v>
      </c>
      <c r="N475" t="str">
        <f>IF(M475=0,"Cuadrado",IF(M475&gt;0,"Faltante","Sobrante"))</f>
        <v>Cuadrado</v>
      </c>
      <c r="O475" t="s">
        <v>37</v>
      </c>
      <c r="P475">
        <v>14319846</v>
      </c>
    </row>
    <row r="476" spans="1:16" hidden="1" x14ac:dyDescent="0.35">
      <c r="A476">
        <v>41</v>
      </c>
      <c r="B476">
        <v>7341</v>
      </c>
      <c r="C476" t="s">
        <v>16</v>
      </c>
      <c r="D476" t="s">
        <v>19</v>
      </c>
      <c r="E476" s="2">
        <v>46093</v>
      </c>
      <c r="F476" s="2">
        <v>46092</v>
      </c>
      <c r="G476" t="s">
        <v>336</v>
      </c>
      <c r="H476">
        <v>130250400</v>
      </c>
      <c r="I476">
        <v>211470400</v>
      </c>
      <c r="J476">
        <v>0</v>
      </c>
      <c r="K476">
        <v>0</v>
      </c>
      <c r="L476" t="s">
        <v>337</v>
      </c>
      <c r="M476" t="e">
        <f>I476-(H476+J476-K476)- L476</f>
        <v>#VALUE!</v>
      </c>
      <c r="N476" t="e">
        <f>IF(M476=0,"Cuadrado",IF(M476&gt;0,"Faltante","Sobrante"))</f>
        <v>#VALUE!</v>
      </c>
      <c r="O476" t="s">
        <v>37</v>
      </c>
      <c r="P476">
        <v>94508187</v>
      </c>
    </row>
    <row r="477" spans="1:16" hidden="1" x14ac:dyDescent="0.35">
      <c r="A477">
        <v>41</v>
      </c>
      <c r="B477">
        <v>7341</v>
      </c>
      <c r="C477" t="s">
        <v>16</v>
      </c>
      <c r="D477" t="s">
        <v>19</v>
      </c>
      <c r="E477" s="2">
        <v>46087</v>
      </c>
      <c r="F477" s="2">
        <v>46086</v>
      </c>
      <c r="G477" t="s">
        <v>453</v>
      </c>
      <c r="H477">
        <v>106740400</v>
      </c>
      <c r="I477">
        <v>302280350</v>
      </c>
      <c r="J477">
        <v>0</v>
      </c>
      <c r="K477">
        <v>0</v>
      </c>
      <c r="L477">
        <v>195910000</v>
      </c>
      <c r="M477">
        <f>I477-(H477+J477-K477)- L477</f>
        <v>-370050</v>
      </c>
      <c r="N477" t="str">
        <f>IF(M477=0,"Cuadrado",IF(M477&gt;0,"Faltante","Sobrante"))</f>
        <v>Sobrante</v>
      </c>
      <c r="O477" t="s">
        <v>423</v>
      </c>
      <c r="P477">
        <v>94508187</v>
      </c>
    </row>
    <row r="478" spans="1:16" hidden="1" x14ac:dyDescent="0.35">
      <c r="A478">
        <v>848</v>
      </c>
      <c r="B478">
        <v>7374</v>
      </c>
      <c r="C478" t="s">
        <v>16</v>
      </c>
      <c r="D478" t="s">
        <v>16</v>
      </c>
      <c r="E478" s="2">
        <v>46100</v>
      </c>
      <c r="F478" s="2">
        <v>46099</v>
      </c>
      <c r="G478" t="s">
        <v>150</v>
      </c>
      <c r="H478">
        <v>116965200</v>
      </c>
      <c r="I478">
        <v>87211200</v>
      </c>
      <c r="J478">
        <v>7760000</v>
      </c>
      <c r="K478">
        <v>37514000</v>
      </c>
      <c r="M478">
        <f>I478-(H478+J478-K478)- L478</f>
        <v>0</v>
      </c>
      <c r="N478" t="str">
        <f>IF(M478=0,"Cuadrado",IF(M478&gt;0,"Faltante","Sobrante"))</f>
        <v>Cuadrado</v>
      </c>
      <c r="O478" t="s">
        <v>37</v>
      </c>
      <c r="P478">
        <v>29877107</v>
      </c>
    </row>
    <row r="479" spans="1:16" hidden="1" x14ac:dyDescent="0.35">
      <c r="A479">
        <v>848</v>
      </c>
      <c r="B479">
        <v>7374</v>
      </c>
      <c r="C479" t="s">
        <v>16</v>
      </c>
      <c r="D479" t="s">
        <v>16</v>
      </c>
      <c r="E479" s="2">
        <v>46094</v>
      </c>
      <c r="F479" s="2">
        <v>46093</v>
      </c>
      <c r="G479" t="s">
        <v>40</v>
      </c>
      <c r="H479">
        <v>121382500</v>
      </c>
      <c r="I479">
        <v>121982500</v>
      </c>
      <c r="J479">
        <v>1100000</v>
      </c>
      <c r="K479">
        <v>500000</v>
      </c>
      <c r="M479">
        <f>I479-(H479+J479-K479)- L479</f>
        <v>0</v>
      </c>
      <c r="N479" t="str">
        <f>IF(M479=0,"Cuadrado",IF(M479&gt;0,"Faltante","Sobrante"))</f>
        <v>Cuadrado</v>
      </c>
      <c r="O479" t="s">
        <v>37</v>
      </c>
      <c r="P479">
        <v>29877107</v>
      </c>
    </row>
    <row r="480" spans="1:16" hidden="1" x14ac:dyDescent="0.35">
      <c r="A480">
        <v>848</v>
      </c>
      <c r="B480">
        <v>7374</v>
      </c>
      <c r="C480" t="s">
        <v>16</v>
      </c>
      <c r="D480" t="s">
        <v>16</v>
      </c>
      <c r="E480" s="2">
        <v>46091</v>
      </c>
      <c r="F480" s="2">
        <v>46090</v>
      </c>
      <c r="G480" t="s">
        <v>392</v>
      </c>
      <c r="H480">
        <v>46734150</v>
      </c>
      <c r="I480">
        <v>32765200</v>
      </c>
      <c r="J480">
        <v>2340000</v>
      </c>
      <c r="K480">
        <v>17000000</v>
      </c>
      <c r="L480">
        <v>691050</v>
      </c>
      <c r="M480">
        <f>I480-(H480+J480-K480)- L480</f>
        <v>0</v>
      </c>
      <c r="N480" t="str">
        <f>IF(M480=0,"Cuadrado",IF(M480&gt;0,"Faltante","Sobrante"))</f>
        <v>Cuadrado</v>
      </c>
      <c r="O480" t="s">
        <v>393</v>
      </c>
      <c r="P480">
        <v>29877107</v>
      </c>
    </row>
    <row r="481" spans="1:16" hidden="1" x14ac:dyDescent="0.35">
      <c r="A481">
        <v>623</v>
      </c>
      <c r="B481">
        <v>7375</v>
      </c>
      <c r="C481" t="s">
        <v>19</v>
      </c>
      <c r="D481" t="s">
        <v>19</v>
      </c>
      <c r="E481" s="2">
        <v>46087</v>
      </c>
      <c r="F481" s="2">
        <v>46086</v>
      </c>
      <c r="G481" t="s">
        <v>161</v>
      </c>
      <c r="H481">
        <v>181099450</v>
      </c>
      <c r="I481">
        <v>180959850</v>
      </c>
      <c r="J481">
        <v>1310000</v>
      </c>
      <c r="K481">
        <v>1434000</v>
      </c>
      <c r="L481">
        <v>-15600</v>
      </c>
      <c r="M481">
        <f>I481-(H481+J481-K481)- L481</f>
        <v>0</v>
      </c>
      <c r="N481" t="str">
        <f>IF(M481=0,"Cuadrado",IF(M481&gt;0,"Faltante","Sobrante"))</f>
        <v>Cuadrado</v>
      </c>
      <c r="O481" t="s">
        <v>37</v>
      </c>
      <c r="P481">
        <v>1012348871</v>
      </c>
    </row>
    <row r="482" spans="1:16" hidden="1" x14ac:dyDescent="0.35">
      <c r="A482">
        <v>623</v>
      </c>
      <c r="B482">
        <v>7375</v>
      </c>
      <c r="C482" t="s">
        <v>19</v>
      </c>
      <c r="D482" t="s">
        <v>19</v>
      </c>
      <c r="E482" s="2">
        <v>46086</v>
      </c>
      <c r="F482" s="2">
        <v>46085</v>
      </c>
      <c r="G482" t="s">
        <v>482</v>
      </c>
      <c r="H482">
        <v>266162450</v>
      </c>
      <c r="I482">
        <v>219601050</v>
      </c>
      <c r="J482">
        <v>22340000</v>
      </c>
      <c r="K482">
        <v>68885800</v>
      </c>
      <c r="L482">
        <v>0</v>
      </c>
      <c r="M482">
        <f>I482-(H482+J482-K482)- L482</f>
        <v>-15600</v>
      </c>
      <c r="N482" t="str">
        <f>IF(M482=0,"Cuadrado",IF(M482&gt;0,"Faltante","Sobrante"))</f>
        <v>Sobrante</v>
      </c>
      <c r="O482" t="s">
        <v>467</v>
      </c>
      <c r="P482">
        <v>1060651791</v>
      </c>
    </row>
    <row r="483" spans="1:16" hidden="1" x14ac:dyDescent="0.35">
      <c r="A483">
        <v>172</v>
      </c>
      <c r="B483">
        <v>7429</v>
      </c>
      <c r="C483" t="s">
        <v>19</v>
      </c>
      <c r="D483" t="s">
        <v>19</v>
      </c>
      <c r="E483" s="2">
        <v>46093</v>
      </c>
      <c r="F483" s="2">
        <v>46092</v>
      </c>
      <c r="G483" t="s">
        <v>48</v>
      </c>
      <c r="H483">
        <v>241706750</v>
      </c>
      <c r="I483">
        <v>243504250</v>
      </c>
      <c r="J483">
        <v>1800000</v>
      </c>
      <c r="K483">
        <v>0</v>
      </c>
      <c r="M483">
        <f>I483-(H483+J483-K483)- L483</f>
        <v>-2500</v>
      </c>
      <c r="N483" t="str">
        <f>IF(M483=0,"Cuadrado",IF(M483&gt;0,"Faltante","Sobrante"))</f>
        <v>Sobrante</v>
      </c>
      <c r="O483" t="s">
        <v>311</v>
      </c>
      <c r="P483">
        <v>52156260</v>
      </c>
    </row>
    <row r="484" spans="1:16" hidden="1" x14ac:dyDescent="0.35">
      <c r="A484">
        <v>172</v>
      </c>
      <c r="B484">
        <v>7429</v>
      </c>
      <c r="C484" t="s">
        <v>19</v>
      </c>
      <c r="D484" t="s">
        <v>19</v>
      </c>
      <c r="E484" s="2">
        <v>46090</v>
      </c>
      <c r="F484" s="2">
        <v>46087</v>
      </c>
      <c r="G484" t="s">
        <v>411</v>
      </c>
      <c r="H484">
        <v>409279650</v>
      </c>
      <c r="I484">
        <v>352117650</v>
      </c>
      <c r="J484">
        <v>16070000</v>
      </c>
      <c r="K484">
        <v>68064900</v>
      </c>
      <c r="M484">
        <f>I484-(H484+J484-K484)- L484</f>
        <v>-5167100</v>
      </c>
      <c r="N484" t="str">
        <f>IF(M484=0,"Cuadrado",IF(M484&gt;0,"Faltante","Sobrante"))</f>
        <v>Sobrante</v>
      </c>
      <c r="O484" t="s">
        <v>406</v>
      </c>
      <c r="P484">
        <v>52156260</v>
      </c>
    </row>
    <row r="485" spans="1:16" hidden="1" x14ac:dyDescent="0.35">
      <c r="A485">
        <v>332</v>
      </c>
      <c r="B485">
        <v>7569</v>
      </c>
      <c r="C485" t="s">
        <v>19</v>
      </c>
      <c r="D485" t="s">
        <v>19</v>
      </c>
      <c r="E485" s="2">
        <v>46101</v>
      </c>
      <c r="F485" s="2">
        <v>46100</v>
      </c>
      <c r="G485" t="s">
        <v>68</v>
      </c>
      <c r="H485">
        <v>122736100</v>
      </c>
      <c r="I485">
        <v>120401800</v>
      </c>
      <c r="J485">
        <v>19800000</v>
      </c>
      <c r="K485">
        <v>21624300</v>
      </c>
      <c r="M485">
        <f>I485-(H485+J485-K485)- L485</f>
        <v>-510000</v>
      </c>
      <c r="N485" t="str">
        <f>IF(M485=0,"Cuadrado",IF(M485&gt;0,"Faltante","Sobrante"))</f>
        <v>Sobrante</v>
      </c>
      <c r="O485" t="s">
        <v>69</v>
      </c>
      <c r="P485">
        <v>80541675</v>
      </c>
    </row>
    <row r="486" spans="1:16" hidden="1" x14ac:dyDescent="0.35">
      <c r="A486">
        <v>332</v>
      </c>
      <c r="B486">
        <v>7569</v>
      </c>
      <c r="C486" t="s">
        <v>19</v>
      </c>
      <c r="D486" t="s">
        <v>16</v>
      </c>
      <c r="E486" s="2">
        <v>46086</v>
      </c>
      <c r="F486" s="2">
        <v>46085</v>
      </c>
      <c r="G486" t="s">
        <v>477</v>
      </c>
      <c r="H486">
        <v>132013300</v>
      </c>
      <c r="I486">
        <v>189455350</v>
      </c>
      <c r="J486">
        <v>26080000</v>
      </c>
      <c r="K486">
        <v>66447950</v>
      </c>
      <c r="M486">
        <f>I486-(H486+J486-K486)- L486</f>
        <v>97810000</v>
      </c>
      <c r="N486" t="str">
        <f>IF(M486=0,"Cuadrado",IF(M486&gt;0,"Faltante","Sobrante"))</f>
        <v>Faltante</v>
      </c>
      <c r="O486" t="s">
        <v>476</v>
      </c>
      <c r="P486">
        <v>80541675</v>
      </c>
    </row>
    <row r="487" spans="1:16" hidden="1" x14ac:dyDescent="0.35">
      <c r="A487">
        <v>332</v>
      </c>
      <c r="B487">
        <v>7569</v>
      </c>
      <c r="C487" t="s">
        <v>19</v>
      </c>
      <c r="D487" t="s">
        <v>19</v>
      </c>
      <c r="E487" s="2">
        <v>46084</v>
      </c>
      <c r="F487" s="2">
        <v>46083</v>
      </c>
      <c r="G487" t="s">
        <v>412</v>
      </c>
      <c r="H487">
        <v>15708350</v>
      </c>
      <c r="I487">
        <v>216513950</v>
      </c>
      <c r="J487">
        <v>0</v>
      </c>
      <c r="K487">
        <v>7804400</v>
      </c>
      <c r="L487">
        <v>111822000</v>
      </c>
      <c r="M487">
        <f>I487-(H487+J487-K487)- L487</f>
        <v>96788000</v>
      </c>
      <c r="N487" t="str">
        <f>IF(M487=0,"Cuadrado",IF(M487&gt;0,"Faltante","Sobrante"))</f>
        <v>Faltante</v>
      </c>
      <c r="O487" t="s">
        <v>260</v>
      </c>
      <c r="P487">
        <v>80541675</v>
      </c>
    </row>
    <row r="488" spans="1:16" hidden="1" x14ac:dyDescent="0.35">
      <c r="A488">
        <v>812</v>
      </c>
      <c r="B488">
        <v>7613</v>
      </c>
      <c r="C488" t="s">
        <v>16</v>
      </c>
      <c r="D488" t="s">
        <v>16</v>
      </c>
      <c r="E488" s="2">
        <v>46092</v>
      </c>
      <c r="F488" s="2">
        <v>46091</v>
      </c>
      <c r="G488" t="s">
        <v>103</v>
      </c>
      <c r="H488">
        <v>95478850</v>
      </c>
      <c r="I488">
        <v>91637950</v>
      </c>
      <c r="J488">
        <v>4800000</v>
      </c>
      <c r="K488">
        <v>2675000</v>
      </c>
      <c r="L488">
        <v>-2130900</v>
      </c>
      <c r="M488">
        <f>I488-(H488+J488-K488)- L488</f>
        <v>-3835000</v>
      </c>
      <c r="N488" t="str">
        <f>IF(M488=0,"Cuadrado",IF(M488&gt;0,"Faltante","Sobrante"))</f>
        <v>Sobrante</v>
      </c>
      <c r="O488" t="s">
        <v>357</v>
      </c>
      <c r="P488">
        <v>31711383</v>
      </c>
    </row>
    <row r="489" spans="1:16" hidden="1" x14ac:dyDescent="0.35">
      <c r="A489">
        <v>812</v>
      </c>
      <c r="B489">
        <v>7614</v>
      </c>
      <c r="C489" t="s">
        <v>16</v>
      </c>
      <c r="D489" t="s">
        <v>16</v>
      </c>
      <c r="E489" s="2">
        <v>46092</v>
      </c>
      <c r="F489" s="2">
        <v>46091</v>
      </c>
      <c r="G489" t="s">
        <v>317</v>
      </c>
      <c r="H489">
        <v>193328250</v>
      </c>
      <c r="I489">
        <v>164466200</v>
      </c>
      <c r="J489">
        <v>1740000</v>
      </c>
      <c r="K489">
        <v>28867950</v>
      </c>
      <c r="L489">
        <v>-38100</v>
      </c>
      <c r="M489">
        <f>I489-(H489+J489-K489)- L489</f>
        <v>-1696000</v>
      </c>
      <c r="N489" t="str">
        <f>IF(M489=0,"Cuadrado",IF(M489&gt;0,"Faltante","Sobrante"))</f>
        <v>Sobrante</v>
      </c>
      <c r="O489" t="s">
        <v>357</v>
      </c>
      <c r="P489">
        <v>31711383</v>
      </c>
    </row>
    <row r="490" spans="1:16" hidden="1" x14ac:dyDescent="0.35">
      <c r="A490">
        <v>318</v>
      </c>
      <c r="B490">
        <v>7680</v>
      </c>
      <c r="C490" t="s">
        <v>19</v>
      </c>
      <c r="D490" t="s">
        <v>19</v>
      </c>
      <c r="E490" s="2">
        <v>46093</v>
      </c>
      <c r="F490" s="2">
        <v>46092</v>
      </c>
      <c r="G490" t="s">
        <v>338</v>
      </c>
      <c r="H490">
        <v>317454750</v>
      </c>
      <c r="I490">
        <v>328714750</v>
      </c>
      <c r="J490">
        <v>8980000</v>
      </c>
      <c r="K490">
        <v>0</v>
      </c>
      <c r="L490">
        <v>2280000</v>
      </c>
      <c r="M490">
        <f>I490-(H490+J490-K490)- L490</f>
        <v>0</v>
      </c>
      <c r="N490" t="str">
        <f>IF(M490=0,"Cuadrado",IF(M490&gt;0,"Faltante","Sobrante"))</f>
        <v>Cuadrado</v>
      </c>
      <c r="O490" t="s">
        <v>339</v>
      </c>
      <c r="P490">
        <v>1065862494</v>
      </c>
    </row>
    <row r="491" spans="1:16" hidden="1" x14ac:dyDescent="0.35">
      <c r="A491">
        <v>318</v>
      </c>
      <c r="B491">
        <v>7680</v>
      </c>
      <c r="C491" t="s">
        <v>19</v>
      </c>
      <c r="D491" t="s">
        <v>19</v>
      </c>
      <c r="E491" s="2">
        <v>46084</v>
      </c>
      <c r="F491" s="2">
        <v>46083</v>
      </c>
      <c r="G491" t="s">
        <v>97</v>
      </c>
      <c r="H491">
        <v>77044000</v>
      </c>
      <c r="I491">
        <v>69364000</v>
      </c>
      <c r="J491">
        <v>450000</v>
      </c>
      <c r="K491">
        <v>6400000</v>
      </c>
      <c r="M491">
        <f>I491-(H491+J491-K491)- L491</f>
        <v>-1730000</v>
      </c>
      <c r="N491" t="str">
        <f>IF(M491=0,"Cuadrado",IF(M491&gt;0,"Faltante","Sobrante"))</f>
        <v>Sobrante</v>
      </c>
      <c r="O491" t="s">
        <v>504</v>
      </c>
      <c r="P491">
        <v>1065862494</v>
      </c>
    </row>
    <row r="492" spans="1:16" hidden="1" x14ac:dyDescent="0.35">
      <c r="A492">
        <v>476</v>
      </c>
      <c r="B492">
        <v>7759</v>
      </c>
      <c r="C492" t="s">
        <v>16</v>
      </c>
      <c r="D492" t="s">
        <v>16</v>
      </c>
      <c r="E492" s="2">
        <v>46092</v>
      </c>
      <c r="F492" s="2">
        <v>46091</v>
      </c>
      <c r="G492" t="s">
        <v>365</v>
      </c>
      <c r="H492">
        <v>76624400</v>
      </c>
      <c r="I492">
        <v>72501050</v>
      </c>
      <c r="J492">
        <v>2460000</v>
      </c>
      <c r="K492">
        <v>6500000</v>
      </c>
      <c r="M492">
        <f>I492-(H492+J492-K492)- L492</f>
        <v>-83350</v>
      </c>
      <c r="N492" t="str">
        <f>IF(M492=0,"Cuadrado",IF(M492&gt;0,"Faltante","Sobrante"))</f>
        <v>Sobrante</v>
      </c>
      <c r="O492" t="s">
        <v>357</v>
      </c>
      <c r="P492">
        <v>1094240170</v>
      </c>
    </row>
    <row r="493" spans="1:16" hidden="1" x14ac:dyDescent="0.35">
      <c r="A493">
        <v>7</v>
      </c>
      <c r="B493">
        <v>7812</v>
      </c>
      <c r="C493" t="s">
        <v>16</v>
      </c>
      <c r="D493" t="s">
        <v>16</v>
      </c>
      <c r="E493" s="2">
        <v>46094</v>
      </c>
      <c r="F493" s="2">
        <v>46093</v>
      </c>
      <c r="G493" t="s">
        <v>286</v>
      </c>
      <c r="H493">
        <v>79467200</v>
      </c>
      <c r="I493">
        <v>72091200</v>
      </c>
      <c r="J493">
        <v>6330000</v>
      </c>
      <c r="K493">
        <v>24166000</v>
      </c>
      <c r="L493" t="s">
        <v>287</v>
      </c>
      <c r="M493" t="e">
        <f>I493-(H493+J493-K493)- L493</f>
        <v>#VALUE!</v>
      </c>
      <c r="N493" t="e">
        <f>IF(M493=0,"Cuadrado",IF(M493&gt;0,"Faltante","Sobrante"))</f>
        <v>#VALUE!</v>
      </c>
      <c r="O493" t="s">
        <v>244</v>
      </c>
      <c r="P493">
        <v>1020460907</v>
      </c>
    </row>
    <row r="494" spans="1:16" hidden="1" x14ac:dyDescent="0.35">
      <c r="A494">
        <v>7</v>
      </c>
      <c r="B494">
        <v>7812</v>
      </c>
      <c r="C494" t="s">
        <v>16</v>
      </c>
      <c r="D494" t="s">
        <v>16</v>
      </c>
      <c r="E494" s="2">
        <v>46092</v>
      </c>
      <c r="F494" s="2">
        <v>46091</v>
      </c>
      <c r="G494" t="s">
        <v>310</v>
      </c>
      <c r="H494">
        <v>72975250</v>
      </c>
      <c r="I494">
        <v>73365250</v>
      </c>
      <c r="J494">
        <v>4230000</v>
      </c>
      <c r="K494">
        <v>4450000</v>
      </c>
      <c r="M494">
        <f>I494-(H494+J494-K494)- L494</f>
        <v>610000</v>
      </c>
      <c r="N494" t="str">
        <f>IF(M494=0,"Cuadrado",IF(M494&gt;0,"Faltante","Sobrante"))</f>
        <v>Faltante</v>
      </c>
      <c r="O494" t="s">
        <v>260</v>
      </c>
      <c r="P494">
        <v>1020460907</v>
      </c>
    </row>
    <row r="495" spans="1:16" hidden="1" x14ac:dyDescent="0.35">
      <c r="A495">
        <v>7</v>
      </c>
      <c r="B495">
        <v>7812</v>
      </c>
      <c r="C495" t="s">
        <v>16</v>
      </c>
      <c r="D495" t="s">
        <v>19</v>
      </c>
      <c r="E495" s="2">
        <v>46084</v>
      </c>
      <c r="F495" s="2">
        <v>46083</v>
      </c>
      <c r="G495" t="s">
        <v>40</v>
      </c>
      <c r="H495">
        <v>69564800</v>
      </c>
      <c r="I495">
        <v>77472800</v>
      </c>
      <c r="J495">
        <v>4500000</v>
      </c>
      <c r="K495">
        <v>4955000</v>
      </c>
      <c r="L495">
        <v>8363000</v>
      </c>
      <c r="M495">
        <f>I495-(H495+J495-K495)- L495</f>
        <v>0</v>
      </c>
      <c r="N495" t="str">
        <f>IF(M495=0,"Cuadrado",IF(M495&gt;0,"Faltante","Sobrante"))</f>
        <v>Cuadrado</v>
      </c>
      <c r="O495" t="s">
        <v>37</v>
      </c>
      <c r="P495">
        <v>1017155472</v>
      </c>
    </row>
    <row r="496" spans="1:16" hidden="1" x14ac:dyDescent="0.35">
      <c r="A496">
        <v>609</v>
      </c>
      <c r="B496">
        <v>7875</v>
      </c>
      <c r="C496" t="s">
        <v>19</v>
      </c>
      <c r="D496" t="s">
        <v>19</v>
      </c>
      <c r="E496" s="2">
        <v>46099</v>
      </c>
      <c r="F496" s="2">
        <v>46098</v>
      </c>
      <c r="G496" t="s">
        <v>187</v>
      </c>
      <c r="H496">
        <v>99185350</v>
      </c>
      <c r="I496">
        <v>122411650</v>
      </c>
      <c r="J496">
        <v>33090000</v>
      </c>
      <c r="K496">
        <v>10830700</v>
      </c>
      <c r="M496">
        <f>I496-(H496+J496-K496)- L496</f>
        <v>967000</v>
      </c>
      <c r="N496" t="str">
        <f>IF(M496=0,"Cuadrado",IF(M496&gt;0,"Faltante","Sobrante"))</f>
        <v>Faltante</v>
      </c>
      <c r="O496" t="s">
        <v>188</v>
      </c>
    </row>
    <row r="497" spans="1:16" hidden="1" x14ac:dyDescent="0.35">
      <c r="A497">
        <v>609</v>
      </c>
      <c r="B497">
        <v>7875</v>
      </c>
      <c r="C497" t="s">
        <v>19</v>
      </c>
      <c r="D497" t="s">
        <v>19</v>
      </c>
      <c r="E497" s="2">
        <v>46092</v>
      </c>
      <c r="F497" s="2">
        <v>46091</v>
      </c>
      <c r="G497" t="s">
        <v>306</v>
      </c>
      <c r="H497">
        <v>215782650</v>
      </c>
      <c r="I497">
        <v>219490650</v>
      </c>
      <c r="J497">
        <v>48340000</v>
      </c>
      <c r="K497">
        <v>39588000</v>
      </c>
      <c r="M497">
        <f>I497-(H497+J497-K497)- L497</f>
        <v>-5044000</v>
      </c>
      <c r="N497" t="str">
        <f>IF(M497=0,"Cuadrado",IF(M497&gt;0,"Faltante","Sobrante"))</f>
        <v>Sobrante</v>
      </c>
      <c r="O497" t="s">
        <v>357</v>
      </c>
      <c r="P497">
        <v>98695047</v>
      </c>
    </row>
    <row r="498" spans="1:16" hidden="1" x14ac:dyDescent="0.35">
      <c r="A498">
        <v>609</v>
      </c>
      <c r="B498">
        <v>7875</v>
      </c>
      <c r="C498" t="s">
        <v>19</v>
      </c>
      <c r="D498" t="s">
        <v>19</v>
      </c>
      <c r="E498" s="2">
        <v>46086</v>
      </c>
      <c r="F498" s="2">
        <v>46085</v>
      </c>
      <c r="G498" t="s">
        <v>382</v>
      </c>
      <c r="H498">
        <v>191573750</v>
      </c>
      <c r="I498">
        <v>79680750</v>
      </c>
      <c r="J498">
        <v>23450000</v>
      </c>
      <c r="K498">
        <v>14450000</v>
      </c>
      <c r="M498">
        <f>I498-(H498+J498-K498)- L498</f>
        <v>-120893000</v>
      </c>
      <c r="N498" t="str">
        <f>IF(M498=0,"Cuadrado",IF(M498&gt;0,"Faltante","Sobrante"))</f>
        <v>Sobrante</v>
      </c>
      <c r="O498" t="s">
        <v>467</v>
      </c>
      <c r="P498">
        <v>98695047</v>
      </c>
    </row>
    <row r="499" spans="1:16" hidden="1" x14ac:dyDescent="0.35">
      <c r="A499">
        <v>609</v>
      </c>
      <c r="B499">
        <v>7888</v>
      </c>
      <c r="C499" t="s">
        <v>19</v>
      </c>
      <c r="D499" t="s">
        <v>19</v>
      </c>
      <c r="E499" s="2">
        <v>46099</v>
      </c>
      <c r="F499" s="2">
        <v>46098</v>
      </c>
      <c r="G499" t="s">
        <v>102</v>
      </c>
      <c r="H499">
        <v>212465400</v>
      </c>
      <c r="I499">
        <v>254542400</v>
      </c>
      <c r="J499">
        <v>44720000</v>
      </c>
      <c r="K499">
        <v>6334000</v>
      </c>
      <c r="M499">
        <f>I499-(H499+J499-K499)- L499</f>
        <v>3691000</v>
      </c>
      <c r="N499" t="str">
        <f>IF(M499=0,"Cuadrado",IF(M499&gt;0,"Faltante","Sobrante"))</f>
        <v>Faltante</v>
      </c>
      <c r="O499" t="s">
        <v>189</v>
      </c>
    </row>
    <row r="500" spans="1:16" hidden="1" x14ac:dyDescent="0.35">
      <c r="A500">
        <v>609</v>
      </c>
      <c r="B500">
        <v>7888</v>
      </c>
      <c r="C500" t="s">
        <v>19</v>
      </c>
      <c r="D500" t="s">
        <v>19</v>
      </c>
      <c r="E500" s="2">
        <v>46092</v>
      </c>
      <c r="F500" s="2">
        <v>46091</v>
      </c>
      <c r="G500" t="s">
        <v>366</v>
      </c>
      <c r="H500">
        <v>175042400</v>
      </c>
      <c r="I500">
        <v>154832050</v>
      </c>
      <c r="J500">
        <v>19020000</v>
      </c>
      <c r="K500">
        <v>14932000</v>
      </c>
      <c r="M500">
        <f>I500-(H500+J500-K500)- L500</f>
        <v>-24298350</v>
      </c>
      <c r="N500" t="str">
        <f>IF(M500=0,"Cuadrado",IF(M500&gt;0,"Faltante","Sobrante"))</f>
        <v>Sobrante</v>
      </c>
      <c r="O500" t="s">
        <v>357</v>
      </c>
      <c r="P500">
        <v>98695047</v>
      </c>
    </row>
    <row r="501" spans="1:16" hidden="1" x14ac:dyDescent="0.35">
      <c r="A501">
        <v>609</v>
      </c>
      <c r="B501">
        <v>7888</v>
      </c>
      <c r="C501" t="s">
        <v>19</v>
      </c>
      <c r="D501" t="s">
        <v>19</v>
      </c>
      <c r="E501" s="2">
        <v>46086</v>
      </c>
      <c r="F501" s="2">
        <v>46085</v>
      </c>
      <c r="G501" t="s">
        <v>77</v>
      </c>
      <c r="H501">
        <v>139026500</v>
      </c>
      <c r="I501">
        <v>157952150</v>
      </c>
      <c r="J501">
        <v>49090000</v>
      </c>
      <c r="K501">
        <v>14070000</v>
      </c>
      <c r="M501">
        <f>I501-(H501+J501-K501)- L501</f>
        <v>-16094350</v>
      </c>
      <c r="N501" t="str">
        <f>IF(M501=0,"Cuadrado",IF(M501&gt;0,"Faltante","Sobrante"))</f>
        <v>Sobrante</v>
      </c>
      <c r="O501" t="s">
        <v>260</v>
      </c>
      <c r="P501">
        <v>98695047</v>
      </c>
    </row>
    <row r="502" spans="1:16" hidden="1" x14ac:dyDescent="0.35">
      <c r="A502">
        <v>166</v>
      </c>
      <c r="B502">
        <v>7939</v>
      </c>
      <c r="C502" t="s">
        <v>19</v>
      </c>
      <c r="D502" t="s">
        <v>19</v>
      </c>
      <c r="E502" s="2">
        <v>46092</v>
      </c>
      <c r="F502" s="2">
        <v>46091</v>
      </c>
      <c r="G502" t="s">
        <v>367</v>
      </c>
      <c r="H502">
        <v>244849450</v>
      </c>
      <c r="I502">
        <v>204451100</v>
      </c>
      <c r="J502">
        <v>1340000</v>
      </c>
      <c r="K502">
        <v>38538350</v>
      </c>
      <c r="M502">
        <f>I502-(H502+J502-K502)- L502</f>
        <v>-3200000</v>
      </c>
      <c r="N502" t="str">
        <f>IF(M502=0,"Cuadrado",IF(M502&gt;0,"Faltante","Sobrante"))</f>
        <v>Sobrante</v>
      </c>
      <c r="O502" t="s">
        <v>357</v>
      </c>
      <c r="P502">
        <v>50938822</v>
      </c>
    </row>
    <row r="503" spans="1:16" hidden="1" x14ac:dyDescent="0.35">
      <c r="A503">
        <v>166</v>
      </c>
      <c r="B503">
        <v>7939</v>
      </c>
      <c r="C503" t="s">
        <v>19</v>
      </c>
      <c r="D503" t="s">
        <v>19</v>
      </c>
      <c r="E503" s="2">
        <v>46090</v>
      </c>
      <c r="F503" s="2">
        <v>46087</v>
      </c>
      <c r="G503" t="s">
        <v>366</v>
      </c>
      <c r="H503">
        <v>195168750</v>
      </c>
      <c r="I503">
        <v>192678750</v>
      </c>
      <c r="J503">
        <v>0</v>
      </c>
      <c r="K503">
        <v>0</v>
      </c>
      <c r="M503">
        <f>I503-(H503+J503-K503)- L503</f>
        <v>-2490000</v>
      </c>
      <c r="N503" t="str">
        <f>IF(M503=0,"Cuadrado",IF(M503&gt;0,"Faltante","Sobrante"))</f>
        <v>Sobrante</v>
      </c>
      <c r="O503" t="s">
        <v>406</v>
      </c>
      <c r="P503">
        <v>50938822</v>
      </c>
    </row>
    <row r="504" spans="1:16" hidden="1" x14ac:dyDescent="0.35">
      <c r="A504">
        <v>166</v>
      </c>
      <c r="B504">
        <v>7940</v>
      </c>
      <c r="C504" t="s">
        <v>19</v>
      </c>
      <c r="D504" t="s">
        <v>19</v>
      </c>
      <c r="E504" s="2">
        <v>46092</v>
      </c>
      <c r="F504" s="2">
        <v>46091</v>
      </c>
      <c r="G504" t="s">
        <v>255</v>
      </c>
      <c r="H504">
        <v>109275800</v>
      </c>
      <c r="I504">
        <v>67160850</v>
      </c>
      <c r="J504">
        <v>3840000</v>
      </c>
      <c r="K504">
        <v>46594900</v>
      </c>
      <c r="L504">
        <v>639950</v>
      </c>
      <c r="M504">
        <f>I504-(H504+J504-K504)- L504</f>
        <v>0</v>
      </c>
      <c r="N504" t="str">
        <f>IF(M504=0,"Cuadrado",IF(M504&gt;0,"Faltante","Sobrante"))</f>
        <v>Cuadrado</v>
      </c>
      <c r="O504" t="s">
        <v>368</v>
      </c>
      <c r="P504">
        <v>50938822</v>
      </c>
    </row>
    <row r="505" spans="1:16" hidden="1" x14ac:dyDescent="0.35">
      <c r="A505">
        <v>166</v>
      </c>
      <c r="B505">
        <v>7940</v>
      </c>
      <c r="C505" t="s">
        <v>19</v>
      </c>
      <c r="D505" t="s">
        <v>16</v>
      </c>
      <c r="E505" s="2">
        <v>46085</v>
      </c>
      <c r="F505" s="2">
        <v>46084</v>
      </c>
      <c r="G505" t="s">
        <v>490</v>
      </c>
      <c r="H505">
        <v>337097000</v>
      </c>
      <c r="I505">
        <v>204376600</v>
      </c>
      <c r="J505">
        <v>40230000</v>
      </c>
      <c r="K505">
        <v>169096500</v>
      </c>
      <c r="M505">
        <f>I505-(H505+J505-K505)- L505</f>
        <v>-3853900</v>
      </c>
      <c r="N505" t="str">
        <f>IF(M505=0,"Cuadrado",IF(M505&gt;0,"Faltante","Sobrante"))</f>
        <v>Sobrante</v>
      </c>
      <c r="O505" t="s">
        <v>489</v>
      </c>
      <c r="P505">
        <v>50938822</v>
      </c>
    </row>
    <row r="506" spans="1:16" hidden="1" x14ac:dyDescent="0.35">
      <c r="A506">
        <v>91</v>
      </c>
      <c r="B506">
        <v>7943</v>
      </c>
      <c r="C506" t="s">
        <v>16</v>
      </c>
      <c r="D506" t="s">
        <v>16</v>
      </c>
      <c r="E506" s="2">
        <v>46093</v>
      </c>
      <c r="F506" s="2">
        <v>46092</v>
      </c>
      <c r="G506" t="s">
        <v>340</v>
      </c>
      <c r="H506">
        <v>267821450</v>
      </c>
      <c r="I506">
        <v>253664450</v>
      </c>
      <c r="J506">
        <v>0</v>
      </c>
      <c r="K506">
        <v>5002000</v>
      </c>
      <c r="L506">
        <v>-1874000</v>
      </c>
      <c r="M506">
        <f>I506-(H506+J506-K506)- L506</f>
        <v>-7281000</v>
      </c>
      <c r="N506" t="str">
        <f>IF(M506=0,"Cuadrado",IF(M506&gt;0,"Faltante","Sobrante"))</f>
        <v>Sobrante</v>
      </c>
      <c r="O506" t="s">
        <v>311</v>
      </c>
      <c r="P506">
        <v>1067844638</v>
      </c>
    </row>
    <row r="507" spans="1:16" x14ac:dyDescent="0.35">
      <c r="A507">
        <v>91</v>
      </c>
      <c r="B507">
        <v>7943</v>
      </c>
      <c r="C507" t="s">
        <v>16</v>
      </c>
      <c r="D507" t="s">
        <v>16</v>
      </c>
      <c r="E507" s="2">
        <v>46106</v>
      </c>
      <c r="F507" s="2">
        <v>46101</v>
      </c>
      <c r="G507" t="s">
        <v>518</v>
      </c>
      <c r="H507">
        <v>22899750</v>
      </c>
      <c r="I507">
        <v>222030750</v>
      </c>
      <c r="J507">
        <v>4860000</v>
      </c>
      <c r="K507">
        <v>21551000</v>
      </c>
      <c r="L507">
        <f>219656000</f>
        <v>219656000</v>
      </c>
      <c r="M507">
        <f>I507-(H507+J507-K507)- L507</f>
        <v>-3834000</v>
      </c>
      <c r="N507" t="str">
        <f>IF(M507=0,"Cuadrado",IF(M507&gt;0,"Faltante","Sobrante"))</f>
        <v>Sobrante</v>
      </c>
      <c r="O507" t="s">
        <v>515</v>
      </c>
      <c r="P507">
        <v>1067844638</v>
      </c>
    </row>
    <row r="508" spans="1:16" hidden="1" x14ac:dyDescent="0.35">
      <c r="A508">
        <v>693</v>
      </c>
      <c r="B508">
        <v>7979</v>
      </c>
      <c r="C508" t="s">
        <v>19</v>
      </c>
      <c r="D508" t="s">
        <v>19</v>
      </c>
      <c r="E508" s="2">
        <v>46094</v>
      </c>
      <c r="F508" s="2">
        <v>46093</v>
      </c>
      <c r="G508" t="s">
        <v>288</v>
      </c>
      <c r="H508">
        <v>191976900</v>
      </c>
      <c r="I508">
        <v>150361900</v>
      </c>
      <c r="J508">
        <v>5800000</v>
      </c>
      <c r="K508">
        <v>46785000</v>
      </c>
      <c r="L508">
        <v>-630000</v>
      </c>
      <c r="M508">
        <f>I508-(H508+J508-K508)- L508</f>
        <v>0</v>
      </c>
      <c r="N508" t="str">
        <f>IF(M508=0,"Cuadrado",IF(M508&gt;0,"Faltante","Sobrante"))</f>
        <v>Cuadrado</v>
      </c>
      <c r="O508" t="s">
        <v>37</v>
      </c>
      <c r="P508">
        <v>98557134</v>
      </c>
    </row>
    <row r="509" spans="1:16" hidden="1" x14ac:dyDescent="0.35">
      <c r="A509">
        <v>693</v>
      </c>
      <c r="B509">
        <v>7979</v>
      </c>
      <c r="C509" t="s">
        <v>19</v>
      </c>
      <c r="D509" t="s">
        <v>19</v>
      </c>
      <c r="E509" s="2">
        <v>46093</v>
      </c>
      <c r="F509" s="2">
        <v>46092</v>
      </c>
      <c r="G509" t="s">
        <v>196</v>
      </c>
      <c r="H509">
        <v>104759900</v>
      </c>
      <c r="I509">
        <v>89777050</v>
      </c>
      <c r="J509">
        <v>1000000</v>
      </c>
      <c r="K509">
        <v>15352850</v>
      </c>
      <c r="M509">
        <f>I509-(H509+J509-K509)- L509</f>
        <v>-630000</v>
      </c>
      <c r="N509" t="str">
        <f>IF(M509=0,"Cuadrado",IF(M509&gt;0,"Faltante","Sobrante"))</f>
        <v>Sobrante</v>
      </c>
      <c r="O509" t="s">
        <v>311</v>
      </c>
      <c r="P509">
        <v>98557134</v>
      </c>
    </row>
    <row r="510" spans="1:16" hidden="1" x14ac:dyDescent="0.35">
      <c r="A510">
        <v>419</v>
      </c>
      <c r="B510">
        <v>7980</v>
      </c>
      <c r="C510" t="s">
        <v>19</v>
      </c>
      <c r="D510" t="s">
        <v>19</v>
      </c>
      <c r="E510" s="2">
        <v>46092</v>
      </c>
      <c r="F510" s="2">
        <v>46091</v>
      </c>
      <c r="G510" t="s">
        <v>38</v>
      </c>
      <c r="H510">
        <v>112468200</v>
      </c>
      <c r="I510">
        <v>106558200</v>
      </c>
      <c r="J510">
        <v>3960000</v>
      </c>
      <c r="K510">
        <v>8520000</v>
      </c>
      <c r="M510">
        <f>I510-(H510+J510-K510)- L510</f>
        <v>-1350000</v>
      </c>
      <c r="N510" t="str">
        <f>IF(M510=0,"Cuadrado",IF(M510&gt;0,"Faltante","Sobrante"))</f>
        <v>Sobrante</v>
      </c>
      <c r="O510" t="s">
        <v>357</v>
      </c>
      <c r="P510">
        <v>79248430</v>
      </c>
    </row>
    <row r="511" spans="1:16" hidden="1" x14ac:dyDescent="0.35">
      <c r="A511">
        <v>453</v>
      </c>
      <c r="B511">
        <v>8018</v>
      </c>
      <c r="C511" t="s">
        <v>19</v>
      </c>
      <c r="D511" t="s">
        <v>19</v>
      </c>
      <c r="E511" s="2">
        <v>46097</v>
      </c>
      <c r="F511" s="2">
        <v>46094</v>
      </c>
      <c r="G511" t="s">
        <v>226</v>
      </c>
      <c r="H511">
        <v>398032150</v>
      </c>
      <c r="I511">
        <v>411702150</v>
      </c>
      <c r="J511">
        <v>620000</v>
      </c>
      <c r="K511">
        <v>2100000</v>
      </c>
      <c r="M511">
        <f>I511-(H511+J511-K511)- L511</f>
        <v>15150000</v>
      </c>
      <c r="N511" t="str">
        <f>IF(M511=0,"Cuadrado",IF(M511&gt;0,"Faltante","Sobrante"))</f>
        <v>Faltante</v>
      </c>
      <c r="O511" t="s">
        <v>227</v>
      </c>
      <c r="P511">
        <v>1083897578</v>
      </c>
    </row>
    <row r="512" spans="1:16" hidden="1" x14ac:dyDescent="0.35">
      <c r="A512">
        <v>453</v>
      </c>
      <c r="B512">
        <v>8018</v>
      </c>
      <c r="C512" t="s">
        <v>19</v>
      </c>
      <c r="D512" t="s">
        <v>19</v>
      </c>
      <c r="E512" s="2">
        <v>46085</v>
      </c>
      <c r="F512" s="2">
        <v>46084</v>
      </c>
      <c r="G512" t="s">
        <v>333</v>
      </c>
      <c r="H512">
        <v>317539300</v>
      </c>
      <c r="I512">
        <v>276186300</v>
      </c>
      <c r="J512">
        <v>4780000</v>
      </c>
      <c r="K512">
        <v>18220000</v>
      </c>
      <c r="M512">
        <f>I512-(H512+J512-K512)- L512</f>
        <v>-27913000</v>
      </c>
      <c r="N512" t="str">
        <f>IF(M512=0,"Cuadrado",IF(M512&gt;0,"Faltante","Sobrante"))</f>
        <v>Sobrante</v>
      </c>
      <c r="O512" t="s">
        <v>489</v>
      </c>
      <c r="P512">
        <v>1083897578</v>
      </c>
    </row>
    <row r="513" spans="1:16" hidden="1" x14ac:dyDescent="0.35">
      <c r="A513">
        <v>453</v>
      </c>
      <c r="B513">
        <v>8018</v>
      </c>
      <c r="C513" t="s">
        <v>19</v>
      </c>
      <c r="D513" t="s">
        <v>19</v>
      </c>
      <c r="E513" s="2">
        <v>46084</v>
      </c>
      <c r="F513" s="2">
        <v>46083</v>
      </c>
      <c r="G513" t="s">
        <v>342</v>
      </c>
      <c r="H513">
        <v>116554650</v>
      </c>
      <c r="I513">
        <v>83609650</v>
      </c>
      <c r="J513">
        <v>5880000</v>
      </c>
      <c r="K513">
        <v>24532000</v>
      </c>
      <c r="M513">
        <f>I513-(H513+J513-K513)- L513</f>
        <v>-14293000</v>
      </c>
      <c r="N513" t="str">
        <f>IF(M513=0,"Cuadrado",IF(M513&gt;0,"Faltante","Sobrante"))</f>
        <v>Sobrante</v>
      </c>
      <c r="O513" t="s">
        <v>260</v>
      </c>
      <c r="P513">
        <v>1083897578</v>
      </c>
    </row>
    <row r="514" spans="1:16" hidden="1" x14ac:dyDescent="0.35">
      <c r="A514">
        <v>453</v>
      </c>
      <c r="B514">
        <v>8019</v>
      </c>
      <c r="C514" t="s">
        <v>19</v>
      </c>
      <c r="D514" t="s">
        <v>19</v>
      </c>
      <c r="E514" s="2">
        <v>46097</v>
      </c>
      <c r="F514" s="2">
        <v>46094</v>
      </c>
      <c r="G514" t="s">
        <v>228</v>
      </c>
      <c r="H514">
        <v>214523100</v>
      </c>
      <c r="I514">
        <v>218440600</v>
      </c>
      <c r="J514">
        <v>0</v>
      </c>
      <c r="K514">
        <v>0</v>
      </c>
      <c r="M514">
        <f>I514-(H514+J514-K514)- L514</f>
        <v>3917500</v>
      </c>
      <c r="N514" t="str">
        <f>IF(M514=0,"Cuadrado",IF(M514&gt;0,"Faltante","Sobrante"))</f>
        <v>Faltante</v>
      </c>
      <c r="O514" t="s">
        <v>229</v>
      </c>
      <c r="P514">
        <v>1083897578</v>
      </c>
    </row>
    <row r="515" spans="1:16" hidden="1" x14ac:dyDescent="0.35">
      <c r="A515">
        <v>453</v>
      </c>
      <c r="B515">
        <v>8019</v>
      </c>
      <c r="C515" t="s">
        <v>19</v>
      </c>
      <c r="D515" t="s">
        <v>19</v>
      </c>
      <c r="E515" s="2">
        <v>46086</v>
      </c>
      <c r="F515" s="2">
        <v>46085</v>
      </c>
      <c r="G515" t="s">
        <v>273</v>
      </c>
      <c r="H515">
        <v>335517100</v>
      </c>
      <c r="I515">
        <v>327457100</v>
      </c>
      <c r="J515">
        <v>0</v>
      </c>
      <c r="K515">
        <v>0</v>
      </c>
      <c r="L515">
        <v>-2610000</v>
      </c>
      <c r="M515">
        <f>I515-(H515+J515-K515)- L515</f>
        <v>-5450000</v>
      </c>
      <c r="N515" t="str">
        <f>IF(M515=0,"Cuadrado",IF(M515&gt;0,"Faltante","Sobrante"))</f>
        <v>Sobrante</v>
      </c>
      <c r="O515" t="s">
        <v>467</v>
      </c>
      <c r="P515">
        <v>1083897578</v>
      </c>
    </row>
    <row r="516" spans="1:16" hidden="1" x14ac:dyDescent="0.35">
      <c r="A516">
        <v>453</v>
      </c>
      <c r="B516">
        <v>8019</v>
      </c>
      <c r="C516" t="s">
        <v>19</v>
      </c>
      <c r="D516" t="s">
        <v>19</v>
      </c>
      <c r="E516" s="2">
        <v>46085</v>
      </c>
      <c r="F516" s="2">
        <v>46084</v>
      </c>
      <c r="G516" t="s">
        <v>226</v>
      </c>
      <c r="H516">
        <v>290564100</v>
      </c>
      <c r="I516">
        <v>260374100</v>
      </c>
      <c r="J516">
        <v>7170000</v>
      </c>
      <c r="K516">
        <v>34750000</v>
      </c>
      <c r="M516">
        <f>I516-(H516+J516-K516)- L516</f>
        <v>-2610000</v>
      </c>
      <c r="N516" t="str">
        <f>IF(M516=0,"Cuadrado",IF(M516&gt;0,"Faltante","Sobrante"))</f>
        <v>Sobrante</v>
      </c>
      <c r="O516" t="s">
        <v>489</v>
      </c>
      <c r="P516">
        <v>1083897578</v>
      </c>
    </row>
    <row r="517" spans="1:16" hidden="1" x14ac:dyDescent="0.35">
      <c r="A517">
        <v>725</v>
      </c>
      <c r="B517">
        <v>8090</v>
      </c>
      <c r="C517" t="s">
        <v>19</v>
      </c>
      <c r="D517" t="s">
        <v>19</v>
      </c>
      <c r="E517" s="2">
        <v>46101</v>
      </c>
      <c r="F517" s="2">
        <v>46100</v>
      </c>
      <c r="G517" t="s">
        <v>70</v>
      </c>
      <c r="H517">
        <v>123749700</v>
      </c>
      <c r="I517">
        <v>128864700</v>
      </c>
      <c r="J517">
        <v>18970000</v>
      </c>
      <c r="K517">
        <v>14450000</v>
      </c>
      <c r="M517">
        <f>I517-(H517+J517-K517)- L517</f>
        <v>595000</v>
      </c>
      <c r="N517" t="str">
        <f>IF(M517=0,"Cuadrado",IF(M517&gt;0,"Faltante","Sobrante"))</f>
        <v>Faltante</v>
      </c>
      <c r="O517" t="s">
        <v>49</v>
      </c>
      <c r="P517">
        <v>1093220078</v>
      </c>
    </row>
    <row r="518" spans="1:16" hidden="1" x14ac:dyDescent="0.35">
      <c r="A518">
        <v>725</v>
      </c>
      <c r="B518">
        <v>8090</v>
      </c>
      <c r="C518" t="s">
        <v>19</v>
      </c>
      <c r="D518" t="s">
        <v>19</v>
      </c>
      <c r="E518" s="2">
        <v>46099</v>
      </c>
      <c r="F518" s="2">
        <v>46098</v>
      </c>
      <c r="G518" t="s">
        <v>190</v>
      </c>
      <c r="H518">
        <v>48931700</v>
      </c>
      <c r="I518">
        <v>62258200</v>
      </c>
      <c r="J518">
        <v>21840000</v>
      </c>
      <c r="K518">
        <v>9108500</v>
      </c>
      <c r="M518">
        <f>I518-(H518+J518-K518)- L518</f>
        <v>595000</v>
      </c>
      <c r="N518" t="str">
        <f>IF(M518=0,"Cuadrado",IF(M518&gt;0,"Faltante","Sobrante"))</f>
        <v>Faltante</v>
      </c>
      <c r="O518" t="s">
        <v>59</v>
      </c>
    </row>
    <row r="519" spans="1:16" hidden="1" x14ac:dyDescent="0.35">
      <c r="A519">
        <v>725</v>
      </c>
      <c r="B519">
        <v>8090</v>
      </c>
      <c r="C519" t="s">
        <v>19</v>
      </c>
      <c r="D519" t="s">
        <v>19</v>
      </c>
      <c r="E519" s="2">
        <v>46093</v>
      </c>
      <c r="F519" s="2">
        <v>46092</v>
      </c>
      <c r="G519" t="s">
        <v>204</v>
      </c>
      <c r="H519">
        <v>147875200</v>
      </c>
      <c r="I519">
        <v>145705200</v>
      </c>
      <c r="J519">
        <v>2380000</v>
      </c>
      <c r="K519">
        <v>4550000</v>
      </c>
      <c r="M519">
        <f>I519-(H519+J519-K519)- L519</f>
        <v>0</v>
      </c>
      <c r="N519" t="str">
        <f>IF(M519=0,"Cuadrado",IF(M519&gt;0,"Faltante","Sobrante"))</f>
        <v>Cuadrado</v>
      </c>
      <c r="O519" t="s">
        <v>37</v>
      </c>
      <c r="P519">
        <v>1093220078</v>
      </c>
    </row>
    <row r="520" spans="1:16" hidden="1" x14ac:dyDescent="0.35">
      <c r="A520">
        <v>725</v>
      </c>
      <c r="B520">
        <v>8090</v>
      </c>
      <c r="C520" t="s">
        <v>19</v>
      </c>
      <c r="D520" t="s">
        <v>19</v>
      </c>
      <c r="E520" s="2">
        <v>46091</v>
      </c>
      <c r="F520" s="2">
        <v>46090</v>
      </c>
      <c r="G520" t="s">
        <v>115</v>
      </c>
      <c r="H520">
        <v>48107200</v>
      </c>
      <c r="I520">
        <v>43837200</v>
      </c>
      <c r="J520">
        <v>2360000</v>
      </c>
      <c r="K520">
        <v>6630000</v>
      </c>
      <c r="M520">
        <f>I520-(H520+J520-K520)- L520</f>
        <v>0</v>
      </c>
      <c r="N520" t="str">
        <f>IF(M520=0,"Cuadrado",IF(M520&gt;0,"Faltante","Sobrante"))</f>
        <v>Cuadrado</v>
      </c>
      <c r="O520" t="s">
        <v>37</v>
      </c>
      <c r="P520">
        <v>1088032608</v>
      </c>
    </row>
    <row r="521" spans="1:16" hidden="1" x14ac:dyDescent="0.35">
      <c r="A521">
        <v>725</v>
      </c>
      <c r="B521">
        <v>8090</v>
      </c>
      <c r="C521" t="s">
        <v>19</v>
      </c>
      <c r="D521" t="s">
        <v>19</v>
      </c>
      <c r="E521" s="2">
        <v>46084</v>
      </c>
      <c r="F521" s="2">
        <v>46080</v>
      </c>
      <c r="G521" t="s">
        <v>195</v>
      </c>
      <c r="H521">
        <v>75762300</v>
      </c>
      <c r="I521">
        <v>86092300</v>
      </c>
      <c r="J521">
        <v>10550000</v>
      </c>
      <c r="K521">
        <v>220000</v>
      </c>
      <c r="M521">
        <f>I521-(H521+J521-K521)- L521</f>
        <v>0</v>
      </c>
      <c r="N521" t="str">
        <f>IF(M521=0,"Cuadrado",IF(M521&gt;0,"Faltante","Sobrante"))</f>
        <v>Cuadrado</v>
      </c>
      <c r="O521" t="s">
        <v>37</v>
      </c>
      <c r="P521">
        <v>1088032608</v>
      </c>
    </row>
    <row r="522" spans="1:16" hidden="1" x14ac:dyDescent="0.35">
      <c r="A522">
        <v>569</v>
      </c>
      <c r="B522">
        <v>8129</v>
      </c>
      <c r="C522" t="s">
        <v>16</v>
      </c>
      <c r="D522" t="s">
        <v>16</v>
      </c>
      <c r="E522" s="2">
        <v>46100</v>
      </c>
      <c r="F522" s="2">
        <v>46099</v>
      </c>
      <c r="G522" t="s">
        <v>136</v>
      </c>
      <c r="H522">
        <v>277963450</v>
      </c>
      <c r="I522">
        <v>274610450</v>
      </c>
      <c r="J522">
        <v>5850000</v>
      </c>
      <c r="K522">
        <v>9200000</v>
      </c>
      <c r="M522">
        <f>I522-(H522+J522-K522)- L522</f>
        <v>-3000</v>
      </c>
      <c r="N522" t="str">
        <f>IF(M522=0,"Cuadrado",IF(M522&gt;0,"Faltante","Sobrante"))</f>
        <v>Sobrante</v>
      </c>
      <c r="O522" t="s">
        <v>95</v>
      </c>
      <c r="P522">
        <v>10779993</v>
      </c>
    </row>
    <row r="523" spans="1:16" hidden="1" x14ac:dyDescent="0.35">
      <c r="A523">
        <v>569</v>
      </c>
      <c r="B523">
        <v>8129</v>
      </c>
      <c r="C523" t="s">
        <v>16</v>
      </c>
      <c r="D523" t="s">
        <v>16</v>
      </c>
      <c r="E523" s="2">
        <v>46093</v>
      </c>
      <c r="F523" s="2">
        <v>46092</v>
      </c>
      <c r="G523" t="s">
        <v>341</v>
      </c>
      <c r="H523">
        <v>244617900</v>
      </c>
      <c r="I523">
        <v>250763150</v>
      </c>
      <c r="J523">
        <v>6150000</v>
      </c>
      <c r="K523">
        <v>0</v>
      </c>
      <c r="M523">
        <f>I523-(H523+J523-K523)- L523</f>
        <v>-4750</v>
      </c>
      <c r="N523" t="str">
        <f>IF(M523=0,"Cuadrado",IF(M523&gt;0,"Faltante","Sobrante"))</f>
        <v>Sobrante</v>
      </c>
      <c r="O523" t="s">
        <v>311</v>
      </c>
      <c r="P523">
        <v>10779993</v>
      </c>
    </row>
    <row r="524" spans="1:16" hidden="1" x14ac:dyDescent="0.35">
      <c r="A524">
        <v>569</v>
      </c>
      <c r="B524">
        <v>8129</v>
      </c>
      <c r="C524" t="s">
        <v>16</v>
      </c>
      <c r="D524" t="s">
        <v>16</v>
      </c>
      <c r="E524" s="2">
        <v>46091</v>
      </c>
      <c r="F524" s="2">
        <v>46090</v>
      </c>
      <c r="G524" t="s">
        <v>394</v>
      </c>
      <c r="H524">
        <v>256898200</v>
      </c>
      <c r="I524">
        <v>264208200</v>
      </c>
      <c r="J524">
        <v>10550000</v>
      </c>
      <c r="K524">
        <v>0</v>
      </c>
      <c r="M524">
        <f>I524-(H524+J524-K524)- L524</f>
        <v>-3240000</v>
      </c>
      <c r="N524" t="str">
        <f>IF(M524=0,"Cuadrado",IF(M524&gt;0,"Faltante","Sobrante"))</f>
        <v>Sobrante</v>
      </c>
      <c r="O524" t="s">
        <v>383</v>
      </c>
      <c r="P524">
        <v>10779993</v>
      </c>
    </row>
    <row r="525" spans="1:16" hidden="1" x14ac:dyDescent="0.35">
      <c r="A525">
        <v>291</v>
      </c>
      <c r="B525">
        <v>8139</v>
      </c>
      <c r="C525" t="s">
        <v>16</v>
      </c>
      <c r="D525" t="s">
        <v>16</v>
      </c>
      <c r="E525" s="2">
        <v>46093</v>
      </c>
      <c r="F525" s="2">
        <v>46092</v>
      </c>
      <c r="G525" t="s">
        <v>134</v>
      </c>
      <c r="H525">
        <v>191207450</v>
      </c>
      <c r="I525">
        <v>190428450</v>
      </c>
      <c r="J525">
        <v>0</v>
      </c>
      <c r="K525">
        <v>650000</v>
      </c>
      <c r="M525">
        <f>I525-(H525+J525-K525)- L525</f>
        <v>-129000</v>
      </c>
      <c r="N525" t="str">
        <f>IF(M525=0,"Cuadrado",IF(M525&gt;0,"Faltante","Sobrante"))</f>
        <v>Sobrante</v>
      </c>
      <c r="O525" t="s">
        <v>311</v>
      </c>
      <c r="P525">
        <v>1095930956</v>
      </c>
    </row>
    <row r="526" spans="1:16" hidden="1" x14ac:dyDescent="0.35">
      <c r="A526">
        <v>291</v>
      </c>
      <c r="B526">
        <v>8139</v>
      </c>
      <c r="C526" t="s">
        <v>16</v>
      </c>
      <c r="D526" t="s">
        <v>16</v>
      </c>
      <c r="E526" s="2">
        <v>46091</v>
      </c>
      <c r="F526" s="2">
        <v>46090</v>
      </c>
      <c r="G526" t="s">
        <v>395</v>
      </c>
      <c r="H526">
        <v>260314550</v>
      </c>
      <c r="I526">
        <v>283871550</v>
      </c>
      <c r="J526">
        <v>25500000</v>
      </c>
      <c r="K526">
        <v>0</v>
      </c>
      <c r="L526">
        <v>-1943000</v>
      </c>
      <c r="M526">
        <f>I526-(H526+J526-K526)- L526</f>
        <v>0</v>
      </c>
      <c r="N526" t="str">
        <f>IF(M526=0,"Cuadrado",IF(M526&gt;0,"Faltante","Sobrante"))</f>
        <v>Cuadrado</v>
      </c>
      <c r="O526" t="s">
        <v>396</v>
      </c>
      <c r="P526">
        <v>1095930956</v>
      </c>
    </row>
    <row r="527" spans="1:16" hidden="1" x14ac:dyDescent="0.35">
      <c r="A527">
        <v>291</v>
      </c>
      <c r="B527">
        <v>8139</v>
      </c>
      <c r="C527" t="s">
        <v>16</v>
      </c>
      <c r="D527" t="s">
        <v>16</v>
      </c>
      <c r="E527" s="2">
        <v>46090</v>
      </c>
      <c r="F527" s="2">
        <v>46087</v>
      </c>
      <c r="G527" t="s">
        <v>394</v>
      </c>
      <c r="H527">
        <v>283058050</v>
      </c>
      <c r="I527">
        <v>210516350</v>
      </c>
      <c r="J527">
        <v>7070000</v>
      </c>
      <c r="K527">
        <v>77611700</v>
      </c>
      <c r="M527">
        <f>I527-(H527+J527-K527)- L527</f>
        <v>-2000000</v>
      </c>
      <c r="N527" t="str">
        <f>IF(M527=0,"Cuadrado",IF(M527&gt;0,"Faltante","Sobrante"))</f>
        <v>Sobrante</v>
      </c>
      <c r="O527" t="s">
        <v>406</v>
      </c>
      <c r="P527">
        <v>1095930956</v>
      </c>
    </row>
    <row r="528" spans="1:16" hidden="1" x14ac:dyDescent="0.35">
      <c r="A528">
        <v>291</v>
      </c>
      <c r="B528">
        <v>8139</v>
      </c>
      <c r="C528" t="s">
        <v>16</v>
      </c>
      <c r="D528" t="s">
        <v>19</v>
      </c>
      <c r="E528" s="2">
        <v>46085</v>
      </c>
      <c r="F528" s="2">
        <v>46084</v>
      </c>
      <c r="G528" t="s">
        <v>115</v>
      </c>
      <c r="H528">
        <v>98387300</v>
      </c>
      <c r="I528">
        <v>111026600</v>
      </c>
      <c r="J528">
        <v>16070000</v>
      </c>
      <c r="K528">
        <v>3450000</v>
      </c>
      <c r="L528">
        <v>19300</v>
      </c>
      <c r="M528">
        <f>I528-(H528+J528-K528)- L528</f>
        <v>0</v>
      </c>
      <c r="N528" t="str">
        <f>IF(M528=0,"Cuadrado",IF(M528&gt;0,"Faltante","Sobrante"))</f>
        <v>Cuadrado</v>
      </c>
      <c r="O528" t="s">
        <v>493</v>
      </c>
      <c r="P528">
        <v>1095930956</v>
      </c>
    </row>
    <row r="529" spans="1:16" hidden="1" x14ac:dyDescent="0.35">
      <c r="A529">
        <v>810</v>
      </c>
      <c r="B529">
        <v>8204</v>
      </c>
      <c r="C529" t="s">
        <v>19</v>
      </c>
      <c r="D529" t="s">
        <v>19</v>
      </c>
      <c r="E529" s="2">
        <v>46092</v>
      </c>
      <c r="F529" s="2">
        <v>46091</v>
      </c>
      <c r="G529" t="s">
        <v>369</v>
      </c>
      <c r="H529">
        <v>239025150</v>
      </c>
      <c r="I529">
        <v>197021350</v>
      </c>
      <c r="J529">
        <v>2060000</v>
      </c>
      <c r="K529">
        <v>43083800</v>
      </c>
      <c r="L529">
        <v>-980000</v>
      </c>
      <c r="M529">
        <f>I529-(H529+J529-K529)- L529</f>
        <v>0</v>
      </c>
      <c r="N529" t="str">
        <f>IF(M529=0,"Cuadrado",IF(M529&gt;0,"Faltante","Sobrante"))</f>
        <v>Cuadrado</v>
      </c>
      <c r="O529" t="s">
        <v>37</v>
      </c>
      <c r="P529">
        <v>29682644</v>
      </c>
    </row>
    <row r="530" spans="1:16" hidden="1" x14ac:dyDescent="0.35">
      <c r="A530">
        <v>554</v>
      </c>
      <c r="B530">
        <v>8294</v>
      </c>
      <c r="C530" t="s">
        <v>19</v>
      </c>
      <c r="D530" t="s">
        <v>19</v>
      </c>
      <c r="E530" s="2">
        <v>46100</v>
      </c>
      <c r="F530" s="2">
        <v>46099</v>
      </c>
      <c r="G530" t="s">
        <v>89</v>
      </c>
      <c r="H530">
        <v>285524150</v>
      </c>
      <c r="I530">
        <v>272233150</v>
      </c>
      <c r="J530">
        <v>1140000</v>
      </c>
      <c r="K530">
        <v>10656000</v>
      </c>
      <c r="M530">
        <f>I530-(H530+J530-K530)- L530</f>
        <v>-3775000</v>
      </c>
      <c r="N530" t="str">
        <f>IF(M530=0,"Cuadrado",IF(M530&gt;0,"Faltante","Sobrante"))</f>
        <v>Sobrante</v>
      </c>
      <c r="O530" t="s">
        <v>95</v>
      </c>
      <c r="P530">
        <v>1143151164</v>
      </c>
    </row>
    <row r="531" spans="1:16" hidden="1" x14ac:dyDescent="0.35">
      <c r="A531">
        <v>554</v>
      </c>
      <c r="B531">
        <v>8294</v>
      </c>
      <c r="C531" t="s">
        <v>19</v>
      </c>
      <c r="D531" t="s">
        <v>19</v>
      </c>
      <c r="E531" s="2">
        <v>46094</v>
      </c>
      <c r="F531" s="2">
        <v>46093</v>
      </c>
      <c r="G531" t="s">
        <v>71</v>
      </c>
      <c r="H531">
        <v>325339250</v>
      </c>
      <c r="I531">
        <v>330089750</v>
      </c>
      <c r="J531">
        <v>1280000</v>
      </c>
      <c r="K531">
        <v>0</v>
      </c>
      <c r="L531">
        <v>3470500</v>
      </c>
      <c r="M531">
        <f>I531-(H531+J531-K531)- L531</f>
        <v>0</v>
      </c>
      <c r="N531" t="str">
        <f>IF(M531=0,"Cuadrado",IF(M531&gt;0,"Faltante","Sobrante"))</f>
        <v>Cuadrado</v>
      </c>
      <c r="O531" t="s">
        <v>289</v>
      </c>
      <c r="P531">
        <v>1143151164</v>
      </c>
    </row>
    <row r="532" spans="1:16" hidden="1" x14ac:dyDescent="0.35">
      <c r="A532">
        <v>554</v>
      </c>
      <c r="B532">
        <v>8294</v>
      </c>
      <c r="C532" t="s">
        <v>19</v>
      </c>
      <c r="D532" t="s">
        <v>19</v>
      </c>
      <c r="E532" s="2">
        <v>46084</v>
      </c>
      <c r="F532" s="2">
        <v>46083</v>
      </c>
      <c r="G532" t="s">
        <v>293</v>
      </c>
      <c r="H532">
        <v>209347850</v>
      </c>
      <c r="I532">
        <v>219907850</v>
      </c>
      <c r="J532">
        <v>10560000</v>
      </c>
      <c r="K532">
        <v>0</v>
      </c>
      <c r="M532">
        <f>I532-(H532+J532-K532)- L532</f>
        <v>0</v>
      </c>
      <c r="N532" t="str">
        <f>IF(M532=0,"Cuadrado",IF(M532&gt;0,"Faltante","Sobrante"))</f>
        <v>Cuadrado</v>
      </c>
      <c r="O532" t="s">
        <v>37</v>
      </c>
      <c r="P532">
        <v>1010130794</v>
      </c>
    </row>
    <row r="533" spans="1:16" hidden="1" x14ac:dyDescent="0.35">
      <c r="A533">
        <v>554</v>
      </c>
      <c r="B533">
        <v>8295</v>
      </c>
      <c r="C533" t="s">
        <v>19</v>
      </c>
      <c r="D533" t="s">
        <v>19</v>
      </c>
      <c r="E533" s="2">
        <v>46094</v>
      </c>
      <c r="F533" s="2">
        <v>46093</v>
      </c>
      <c r="G533" t="s">
        <v>51</v>
      </c>
      <c r="H533">
        <v>252268800</v>
      </c>
      <c r="I533">
        <v>229308450</v>
      </c>
      <c r="J533">
        <v>2050000</v>
      </c>
      <c r="K533">
        <v>24060000</v>
      </c>
      <c r="M533">
        <f>I533-(H533+J533-K533)- L533</f>
        <v>-950350</v>
      </c>
      <c r="N533" t="str">
        <f>IF(M533=0,"Cuadrado",IF(M533&gt;0,"Faltante","Sobrante"))</f>
        <v>Sobrante</v>
      </c>
      <c r="O533" t="s">
        <v>245</v>
      </c>
      <c r="P533">
        <v>1143151164</v>
      </c>
    </row>
    <row r="534" spans="1:16" hidden="1" x14ac:dyDescent="0.35">
      <c r="A534">
        <v>554</v>
      </c>
      <c r="B534">
        <v>8295</v>
      </c>
      <c r="C534" t="s">
        <v>19</v>
      </c>
      <c r="D534" t="s">
        <v>19</v>
      </c>
      <c r="E534" s="2">
        <v>46084</v>
      </c>
      <c r="F534" s="2">
        <v>46083</v>
      </c>
      <c r="G534" t="s">
        <v>224</v>
      </c>
      <c r="H534">
        <v>160173050</v>
      </c>
      <c r="I534">
        <v>135761900</v>
      </c>
      <c r="J534">
        <v>1000000</v>
      </c>
      <c r="K534">
        <v>16603000</v>
      </c>
      <c r="M534">
        <f>I534-(H534+J534-K534)- L534</f>
        <v>-8808150</v>
      </c>
      <c r="N534" t="str">
        <f>IF(M534=0,"Cuadrado",IF(M534&gt;0,"Faltante","Sobrante"))</f>
        <v>Sobrante</v>
      </c>
      <c r="O534" t="s">
        <v>504</v>
      </c>
      <c r="P534">
        <v>1010130794</v>
      </c>
    </row>
    <row r="535" spans="1:16" hidden="1" x14ac:dyDescent="0.35">
      <c r="A535">
        <v>915</v>
      </c>
      <c r="B535">
        <v>8313</v>
      </c>
      <c r="C535" t="s">
        <v>19</v>
      </c>
      <c r="D535" t="s">
        <v>19</v>
      </c>
      <c r="E535" s="2">
        <v>46101</v>
      </c>
      <c r="F535" s="2">
        <v>46100</v>
      </c>
      <c r="G535" t="s">
        <v>71</v>
      </c>
      <c r="H535">
        <v>198750700</v>
      </c>
      <c r="I535">
        <v>181725850</v>
      </c>
      <c r="J535">
        <v>1060000</v>
      </c>
      <c r="K535">
        <v>17677000</v>
      </c>
      <c r="M535">
        <f>I535-(H535+J535-K535)- L535</f>
        <v>-407850</v>
      </c>
      <c r="N535" t="str">
        <f>IF(M535=0,"Cuadrado",IF(M535&gt;0,"Faltante","Sobrante"))</f>
        <v>Sobrante</v>
      </c>
      <c r="O535" t="s">
        <v>39</v>
      </c>
      <c r="P535">
        <v>52279779</v>
      </c>
    </row>
    <row r="536" spans="1:16" hidden="1" x14ac:dyDescent="0.35">
      <c r="A536">
        <v>915</v>
      </c>
      <c r="B536">
        <v>8313</v>
      </c>
      <c r="C536" t="s">
        <v>19</v>
      </c>
      <c r="D536" t="s">
        <v>19</v>
      </c>
      <c r="E536" s="2">
        <v>46090</v>
      </c>
      <c r="F536" s="2">
        <v>46087</v>
      </c>
      <c r="G536" t="s">
        <v>280</v>
      </c>
      <c r="H536">
        <v>204138050</v>
      </c>
      <c r="I536">
        <v>174842050</v>
      </c>
      <c r="J536">
        <v>100000</v>
      </c>
      <c r="K536">
        <v>11096000</v>
      </c>
      <c r="M536">
        <f>I536-(H536+J536-K536)- L536</f>
        <v>-18300000</v>
      </c>
      <c r="N536" t="str">
        <f>IF(M536=0,"Cuadrado",IF(M536&gt;0,"Faltante","Sobrante"))</f>
        <v>Sobrante</v>
      </c>
      <c r="O536" t="s">
        <v>406</v>
      </c>
      <c r="P536">
        <v>52279779</v>
      </c>
    </row>
    <row r="537" spans="1:16" hidden="1" x14ac:dyDescent="0.35">
      <c r="A537">
        <v>915</v>
      </c>
      <c r="B537">
        <v>8313</v>
      </c>
      <c r="C537" t="s">
        <v>19</v>
      </c>
      <c r="D537" t="s">
        <v>16</v>
      </c>
      <c r="E537" s="2">
        <v>46086</v>
      </c>
      <c r="F537" s="2">
        <v>46085</v>
      </c>
      <c r="G537" t="s">
        <v>280</v>
      </c>
      <c r="H537">
        <v>382047100</v>
      </c>
      <c r="I537">
        <v>365612100</v>
      </c>
      <c r="J537">
        <v>3270000</v>
      </c>
      <c r="K537">
        <v>6705000</v>
      </c>
      <c r="M537">
        <f>I537-(H537+J537-K537)- L537</f>
        <v>-13000000</v>
      </c>
      <c r="N537" t="str">
        <f>IF(M537=0,"Cuadrado",IF(M537&gt;0,"Faltante","Sobrante"))</f>
        <v>Sobrante</v>
      </c>
      <c r="O537" t="s">
        <v>260</v>
      </c>
      <c r="P537">
        <v>52279779</v>
      </c>
    </row>
    <row r="538" spans="1:16" hidden="1" x14ac:dyDescent="0.35">
      <c r="A538">
        <v>915</v>
      </c>
      <c r="B538">
        <v>8314</v>
      </c>
      <c r="C538" t="s">
        <v>19</v>
      </c>
      <c r="D538" t="s">
        <v>19</v>
      </c>
      <c r="E538" s="2">
        <v>46101</v>
      </c>
      <c r="F538" s="2">
        <v>46100</v>
      </c>
      <c r="G538" t="s">
        <v>72</v>
      </c>
      <c r="H538">
        <v>153238800</v>
      </c>
      <c r="I538">
        <v>123321600</v>
      </c>
      <c r="J538">
        <v>5240000</v>
      </c>
      <c r="K538">
        <v>33390000</v>
      </c>
      <c r="M538">
        <f>I538-(H538+J538-K538)- L538</f>
        <v>-1767200</v>
      </c>
      <c r="N538" t="str">
        <f>IF(M538=0,"Cuadrado",IF(M538&gt;0,"Faltante","Sobrante"))</f>
        <v>Sobrante</v>
      </c>
      <c r="O538" t="s">
        <v>39</v>
      </c>
      <c r="P538">
        <v>52279779</v>
      </c>
    </row>
    <row r="539" spans="1:16" hidden="1" x14ac:dyDescent="0.35">
      <c r="A539">
        <v>915</v>
      </c>
      <c r="B539">
        <v>8314</v>
      </c>
      <c r="C539" t="s">
        <v>19</v>
      </c>
      <c r="D539" t="s">
        <v>19</v>
      </c>
      <c r="E539" s="2">
        <v>46092</v>
      </c>
      <c r="F539" s="2">
        <v>46091</v>
      </c>
      <c r="G539" t="s">
        <v>154</v>
      </c>
      <c r="H539">
        <v>97882500</v>
      </c>
      <c r="I539">
        <v>83281000</v>
      </c>
      <c r="J539">
        <v>2260000</v>
      </c>
      <c r="K539">
        <v>16894000</v>
      </c>
      <c r="M539">
        <f>I539-(H539+J539-K539)- L539</f>
        <v>32500</v>
      </c>
      <c r="N539" t="str">
        <f>IF(M539=0,"Cuadrado",IF(M539&gt;0,"Faltante","Sobrante"))</f>
        <v>Faltante</v>
      </c>
      <c r="O539" t="s">
        <v>352</v>
      </c>
      <c r="P539">
        <v>52279779</v>
      </c>
    </row>
    <row r="540" spans="1:16" hidden="1" x14ac:dyDescent="0.35">
      <c r="A540">
        <v>915</v>
      </c>
      <c r="B540">
        <v>8314</v>
      </c>
      <c r="C540" t="s">
        <v>19</v>
      </c>
      <c r="D540" t="s">
        <v>19</v>
      </c>
      <c r="E540" s="2">
        <v>46090</v>
      </c>
      <c r="F540" s="2">
        <v>46087</v>
      </c>
      <c r="G540" t="s">
        <v>412</v>
      </c>
      <c r="H540">
        <v>268487500</v>
      </c>
      <c r="I540">
        <v>282533400</v>
      </c>
      <c r="J540">
        <v>4380000</v>
      </c>
      <c r="K540">
        <v>380000</v>
      </c>
      <c r="M540">
        <f>I540-(H540+J540-K540)- L540</f>
        <v>10045900</v>
      </c>
      <c r="N540" t="str">
        <f>IF(M540=0,"Cuadrado",IF(M540&gt;0,"Faltante","Sobrante"))</f>
        <v>Faltante</v>
      </c>
      <c r="O540" t="s">
        <v>260</v>
      </c>
      <c r="P540">
        <v>52279779</v>
      </c>
    </row>
    <row r="541" spans="1:16" hidden="1" x14ac:dyDescent="0.35">
      <c r="A541">
        <v>915</v>
      </c>
      <c r="B541">
        <v>8314</v>
      </c>
      <c r="C541" t="s">
        <v>19</v>
      </c>
      <c r="D541" t="s">
        <v>19</v>
      </c>
      <c r="E541" s="2">
        <v>46086</v>
      </c>
      <c r="F541" s="2">
        <v>46085</v>
      </c>
      <c r="G541" t="s">
        <v>488</v>
      </c>
      <c r="H541">
        <v>349886600</v>
      </c>
      <c r="I541">
        <v>358370200</v>
      </c>
      <c r="J541">
        <v>8430000</v>
      </c>
      <c r="K541">
        <v>0</v>
      </c>
      <c r="M541">
        <f>I541-(H541+J541-K541)- L541</f>
        <v>53600</v>
      </c>
      <c r="N541" t="str">
        <f>IF(M541=0,"Cuadrado",IF(M541&gt;0,"Faltante","Sobrante"))</f>
        <v>Faltante</v>
      </c>
      <c r="O541" t="s">
        <v>260</v>
      </c>
      <c r="P541">
        <v>52279779</v>
      </c>
    </row>
    <row r="542" spans="1:16" hidden="1" x14ac:dyDescent="0.35">
      <c r="A542">
        <v>556</v>
      </c>
      <c r="B542">
        <v>8333</v>
      </c>
      <c r="C542" t="s">
        <v>19</v>
      </c>
      <c r="D542" t="s">
        <v>19</v>
      </c>
      <c r="E542" s="2">
        <v>46100</v>
      </c>
      <c r="F542" s="2">
        <v>46099</v>
      </c>
      <c r="G542" t="s">
        <v>151</v>
      </c>
      <c r="H542">
        <v>536637050</v>
      </c>
      <c r="I542">
        <v>512817050</v>
      </c>
      <c r="J542">
        <v>7680000</v>
      </c>
      <c r="K542">
        <v>31500000</v>
      </c>
      <c r="M542">
        <f>I542-(H542+J542-K542)- L542</f>
        <v>0</v>
      </c>
      <c r="N542" t="str">
        <f>IF(M542=0,"Cuadrado",IF(M542&gt;0,"Faltante","Sobrante"))</f>
        <v>Cuadrado</v>
      </c>
      <c r="O542" t="s">
        <v>37</v>
      </c>
      <c r="P542">
        <v>39450196</v>
      </c>
    </row>
    <row r="543" spans="1:16" hidden="1" x14ac:dyDescent="0.35">
      <c r="A543">
        <v>556</v>
      </c>
      <c r="B543">
        <v>8333</v>
      </c>
      <c r="C543" t="s">
        <v>19</v>
      </c>
      <c r="D543" t="s">
        <v>19</v>
      </c>
      <c r="E543" s="2">
        <v>46097</v>
      </c>
      <c r="F543" s="2">
        <v>46094</v>
      </c>
      <c r="G543" t="s">
        <v>230</v>
      </c>
      <c r="H543">
        <v>335832450</v>
      </c>
      <c r="I543">
        <v>326064500</v>
      </c>
      <c r="J543">
        <v>6820000</v>
      </c>
      <c r="K543">
        <v>16583500</v>
      </c>
      <c r="M543">
        <f>I543-(H543+J543-K543)- L543</f>
        <v>-4450</v>
      </c>
      <c r="N543" t="str">
        <f>IF(M543=0,"Cuadrado",IF(M543&gt;0,"Faltante","Sobrante"))</f>
        <v>Sobrante</v>
      </c>
      <c r="P543">
        <v>39450196</v>
      </c>
    </row>
    <row r="544" spans="1:16" hidden="1" x14ac:dyDescent="0.35">
      <c r="A544">
        <v>556</v>
      </c>
      <c r="B544">
        <v>8333</v>
      </c>
      <c r="C544" t="s">
        <v>19</v>
      </c>
      <c r="D544" t="s">
        <v>19</v>
      </c>
      <c r="E544" s="2">
        <v>46093</v>
      </c>
      <c r="F544" s="2">
        <v>46092</v>
      </c>
      <c r="G544" t="s">
        <v>333</v>
      </c>
      <c r="H544">
        <v>532663450</v>
      </c>
      <c r="I544">
        <v>521247450</v>
      </c>
      <c r="J544">
        <v>2340000</v>
      </c>
      <c r="K544">
        <v>13756000</v>
      </c>
      <c r="M544">
        <f>I544-(H544+J544-K544)- L544</f>
        <v>0</v>
      </c>
      <c r="N544" t="str">
        <f>IF(M544=0,"Cuadrado",IF(M544&gt;0,"Faltante","Sobrante"))</f>
        <v>Cuadrado</v>
      </c>
      <c r="O544" t="s">
        <v>37</v>
      </c>
      <c r="P544">
        <v>39450196</v>
      </c>
    </row>
    <row r="545" spans="1:16" hidden="1" x14ac:dyDescent="0.35">
      <c r="A545">
        <v>556</v>
      </c>
      <c r="B545">
        <v>8333</v>
      </c>
      <c r="C545" t="s">
        <v>19</v>
      </c>
      <c r="D545" t="s">
        <v>19</v>
      </c>
      <c r="E545" s="2">
        <v>46091</v>
      </c>
      <c r="F545" s="2">
        <v>46090</v>
      </c>
      <c r="G545" t="s">
        <v>280</v>
      </c>
      <c r="H545">
        <v>387578900</v>
      </c>
      <c r="I545">
        <v>379432100</v>
      </c>
      <c r="J545">
        <v>7700000</v>
      </c>
      <c r="K545">
        <v>15818000</v>
      </c>
      <c r="L545">
        <v>-28700</v>
      </c>
      <c r="M545">
        <f>I545-(H545+J545-K545)- L545</f>
        <v>-100</v>
      </c>
      <c r="N545" t="str">
        <f>IF(M545=0,"Cuadrado",IF(M545&gt;0,"Faltante","Sobrante"))</f>
        <v>Sobrante</v>
      </c>
      <c r="O545" t="s">
        <v>383</v>
      </c>
      <c r="P545">
        <v>39450196</v>
      </c>
    </row>
    <row r="546" spans="1:16" hidden="1" x14ac:dyDescent="0.35">
      <c r="A546">
        <v>556</v>
      </c>
      <c r="B546">
        <v>8333</v>
      </c>
      <c r="C546" t="s">
        <v>19</v>
      </c>
      <c r="D546" t="s">
        <v>19</v>
      </c>
      <c r="E546" s="2">
        <v>46090</v>
      </c>
      <c r="F546" s="2">
        <v>46087</v>
      </c>
      <c r="G546" t="s">
        <v>413</v>
      </c>
      <c r="H546">
        <v>352150800</v>
      </c>
      <c r="I546">
        <v>274348500</v>
      </c>
      <c r="J546">
        <v>25610000</v>
      </c>
      <c r="K546">
        <v>103383600</v>
      </c>
      <c r="M546">
        <f>I546-(H546+J546-K546)- L546</f>
        <v>-28700</v>
      </c>
      <c r="N546" t="str">
        <f>IF(M546=0,"Cuadrado",IF(M546&gt;0,"Faltante","Sobrante"))</f>
        <v>Sobrante</v>
      </c>
      <c r="O546" t="s">
        <v>406</v>
      </c>
      <c r="P546">
        <v>39450196</v>
      </c>
    </row>
    <row r="547" spans="1:16" hidden="1" x14ac:dyDescent="0.35">
      <c r="A547">
        <v>556</v>
      </c>
      <c r="B547">
        <v>8333</v>
      </c>
      <c r="C547" t="s">
        <v>19</v>
      </c>
      <c r="D547" t="s">
        <v>19</v>
      </c>
      <c r="E547" s="2">
        <v>46084</v>
      </c>
      <c r="F547" s="2">
        <v>46081</v>
      </c>
      <c r="G547" t="s">
        <v>166</v>
      </c>
      <c r="H547">
        <v>232437400</v>
      </c>
      <c r="I547">
        <v>252363900</v>
      </c>
      <c r="J547">
        <v>31530000</v>
      </c>
      <c r="K547">
        <v>11603500</v>
      </c>
      <c r="M547">
        <f>I547-(H547+J547-K547)- L547</f>
        <v>0</v>
      </c>
      <c r="N547" t="str">
        <f>IF(M547=0,"Cuadrado",IF(M547&gt;0,"Faltante","Sobrante"))</f>
        <v>Cuadrado</v>
      </c>
      <c r="O547" t="s">
        <v>37</v>
      </c>
      <c r="P547">
        <v>39450196</v>
      </c>
    </row>
    <row r="548" spans="1:16" x14ac:dyDescent="0.35">
      <c r="A548">
        <v>556</v>
      </c>
      <c r="B548">
        <v>8333</v>
      </c>
      <c r="C548" t="s">
        <v>19</v>
      </c>
      <c r="D548" t="s">
        <v>19</v>
      </c>
      <c r="E548" s="2">
        <v>46106</v>
      </c>
      <c r="F548" s="2">
        <v>46105</v>
      </c>
      <c r="G548" t="s">
        <v>148</v>
      </c>
      <c r="H548">
        <v>288496250</v>
      </c>
      <c r="I548">
        <v>288290250</v>
      </c>
      <c r="J548">
        <v>3480000</v>
      </c>
      <c r="K548">
        <v>3686000</v>
      </c>
      <c r="L548">
        <f>0</f>
        <v>0</v>
      </c>
      <c r="M548">
        <f>I548-(H548+J548-K548)- L548</f>
        <v>0</v>
      </c>
      <c r="N548" t="str">
        <f>IF(M548=0,"Cuadrado",IF(M548&gt;0,"Faltante","Sobrante"))</f>
        <v>Cuadrado</v>
      </c>
      <c r="O548" t="s">
        <v>37</v>
      </c>
      <c r="P548">
        <v>39450196</v>
      </c>
    </row>
    <row r="549" spans="1:16" hidden="1" x14ac:dyDescent="0.35">
      <c r="A549">
        <v>944</v>
      </c>
      <c r="B549">
        <v>8353</v>
      </c>
      <c r="C549" t="s">
        <v>19</v>
      </c>
      <c r="D549" t="s">
        <v>19</v>
      </c>
      <c r="E549" s="2">
        <v>46099</v>
      </c>
      <c r="F549" s="2">
        <v>46098</v>
      </c>
      <c r="G549" t="s">
        <v>72</v>
      </c>
      <c r="H549">
        <v>208215300</v>
      </c>
      <c r="I549">
        <v>153647300</v>
      </c>
      <c r="J549">
        <v>2970000</v>
      </c>
      <c r="K549">
        <v>41482000</v>
      </c>
      <c r="M549">
        <f>I549-(H549+J549-K549)- L549</f>
        <v>-16056000</v>
      </c>
      <c r="N549" t="str">
        <f>IF(M549=0,"Cuadrado",IF(M549&gt;0,"Faltante","Sobrante"))</f>
        <v>Sobrante</v>
      </c>
      <c r="O549" t="s">
        <v>156</v>
      </c>
    </row>
    <row r="550" spans="1:16" hidden="1" x14ac:dyDescent="0.35">
      <c r="A550">
        <v>944</v>
      </c>
      <c r="B550">
        <v>8354</v>
      </c>
      <c r="C550" t="s">
        <v>19</v>
      </c>
      <c r="D550" t="s">
        <v>19</v>
      </c>
      <c r="E550" s="2">
        <v>46099</v>
      </c>
      <c r="F550" s="2">
        <v>46098</v>
      </c>
      <c r="G550" t="s">
        <v>32</v>
      </c>
      <c r="H550">
        <v>279964850</v>
      </c>
      <c r="I550">
        <v>236076800</v>
      </c>
      <c r="J550">
        <v>5470000</v>
      </c>
      <c r="K550">
        <v>50012650</v>
      </c>
      <c r="M550">
        <f>I550-(H550+J550-K550)- L550</f>
        <v>654600</v>
      </c>
      <c r="N550" t="str">
        <f>IF(M550=0,"Cuadrado",IF(M550&gt;0,"Faltante","Sobrante"))</f>
        <v>Faltante</v>
      </c>
      <c r="O550" t="s">
        <v>191</v>
      </c>
    </row>
    <row r="551" spans="1:16" hidden="1" x14ac:dyDescent="0.35">
      <c r="A551">
        <v>944</v>
      </c>
      <c r="B551">
        <v>8354</v>
      </c>
      <c r="C551" t="s">
        <v>19</v>
      </c>
      <c r="D551" t="s">
        <v>19</v>
      </c>
      <c r="E551" s="2">
        <v>46087</v>
      </c>
      <c r="F551" s="2">
        <v>46086</v>
      </c>
      <c r="G551" t="s">
        <v>140</v>
      </c>
      <c r="H551">
        <v>17519050</v>
      </c>
      <c r="I551">
        <v>255044350</v>
      </c>
      <c r="J551">
        <v>20220000</v>
      </c>
      <c r="K551">
        <v>39022700</v>
      </c>
      <c r="L551">
        <v>256328000</v>
      </c>
      <c r="M551">
        <f>I551-(H551+J551-K551)- L551</f>
        <v>0</v>
      </c>
      <c r="N551" t="str">
        <f>IF(M551=0,"Cuadrado",IF(M551&gt;0,"Faltante","Sobrante"))</f>
        <v>Cuadrado</v>
      </c>
      <c r="O551" t="s">
        <v>454</v>
      </c>
      <c r="P551">
        <v>79644034</v>
      </c>
    </row>
    <row r="552" spans="1:16" hidden="1" x14ac:dyDescent="0.35">
      <c r="A552">
        <v>495</v>
      </c>
      <c r="B552">
        <v>8482</v>
      </c>
      <c r="C552" t="s">
        <v>19</v>
      </c>
      <c r="D552" t="s">
        <v>19</v>
      </c>
      <c r="E552" s="2">
        <v>46092</v>
      </c>
      <c r="F552" s="2">
        <v>46091</v>
      </c>
      <c r="G552" t="s">
        <v>148</v>
      </c>
      <c r="H552">
        <v>242178600</v>
      </c>
      <c r="I552">
        <v>219369600</v>
      </c>
      <c r="J552">
        <v>4000000</v>
      </c>
      <c r="K552">
        <v>27241000</v>
      </c>
      <c r="L552">
        <v>452000</v>
      </c>
      <c r="M552">
        <f>I552-(H552+J552-K552)- L552</f>
        <v>-20000</v>
      </c>
      <c r="N552" t="str">
        <f>IF(M552=0,"Cuadrado",IF(M552&gt;0,"Faltante","Sobrante"))</f>
        <v>Sobrante</v>
      </c>
      <c r="O552" t="s">
        <v>357</v>
      </c>
      <c r="P552">
        <v>1052081923</v>
      </c>
    </row>
    <row r="553" spans="1:16" hidden="1" x14ac:dyDescent="0.35">
      <c r="A553">
        <v>495</v>
      </c>
      <c r="B553">
        <v>8482</v>
      </c>
      <c r="C553" t="s">
        <v>19</v>
      </c>
      <c r="D553" t="s">
        <v>19</v>
      </c>
      <c r="E553" s="2">
        <v>46091</v>
      </c>
      <c r="F553" s="2">
        <v>46090</v>
      </c>
      <c r="G553" t="s">
        <v>42</v>
      </c>
      <c r="H553">
        <v>37697400</v>
      </c>
      <c r="I553">
        <v>38149400</v>
      </c>
      <c r="J553">
        <v>0</v>
      </c>
      <c r="K553">
        <v>0</v>
      </c>
      <c r="M553">
        <f>I553-(H553+J553-K553)- L553</f>
        <v>452000</v>
      </c>
      <c r="N553" t="str">
        <f>IF(M553=0,"Cuadrado",IF(M553&gt;0,"Faltante","Sobrante"))</f>
        <v>Faltante</v>
      </c>
      <c r="O553" t="s">
        <v>397</v>
      </c>
      <c r="P553">
        <v>1052081923</v>
      </c>
    </row>
    <row r="554" spans="1:16" hidden="1" x14ac:dyDescent="0.35">
      <c r="A554">
        <v>495</v>
      </c>
      <c r="B554">
        <v>8482</v>
      </c>
      <c r="C554" t="s">
        <v>19</v>
      </c>
      <c r="D554" t="s">
        <v>16</v>
      </c>
      <c r="E554" s="2">
        <v>46087</v>
      </c>
      <c r="F554" s="2">
        <v>46086</v>
      </c>
      <c r="G554" t="s">
        <v>317</v>
      </c>
      <c r="H554">
        <v>153231600</v>
      </c>
      <c r="I554">
        <v>155683600</v>
      </c>
      <c r="J554">
        <v>0</v>
      </c>
      <c r="K554">
        <v>0</v>
      </c>
      <c r="M554">
        <f>I554-(H554+J554-K554)- L554</f>
        <v>2452000</v>
      </c>
      <c r="N554" t="str">
        <f>IF(M554=0,"Cuadrado",IF(M554&gt;0,"Faltante","Sobrante"))</f>
        <v>Faltante</v>
      </c>
      <c r="O554" t="s">
        <v>260</v>
      </c>
      <c r="P554">
        <v>1052081923</v>
      </c>
    </row>
    <row r="555" spans="1:16" hidden="1" x14ac:dyDescent="0.35">
      <c r="A555">
        <v>236</v>
      </c>
      <c r="B555">
        <v>8497</v>
      </c>
      <c r="C555" t="s">
        <v>19</v>
      </c>
      <c r="D555" t="s">
        <v>19</v>
      </c>
      <c r="E555" s="2">
        <v>46094</v>
      </c>
      <c r="F555" s="2">
        <v>46093</v>
      </c>
      <c r="G555" t="s">
        <v>290</v>
      </c>
      <c r="H555">
        <v>208888300</v>
      </c>
      <c r="I555">
        <v>166352300</v>
      </c>
      <c r="J555">
        <v>21070000</v>
      </c>
      <c r="K555">
        <v>59548000</v>
      </c>
      <c r="M555">
        <f>I555-(H555+J555-K555)- L555</f>
        <v>-4058000</v>
      </c>
      <c r="N555" t="str">
        <f>IF(M555=0,"Cuadrado",IF(M555&gt;0,"Faltante","Sobrante"))</f>
        <v>Sobrante</v>
      </c>
      <c r="O555" t="s">
        <v>245</v>
      </c>
      <c r="P555">
        <v>71369714</v>
      </c>
    </row>
    <row r="556" spans="1:16" hidden="1" x14ac:dyDescent="0.35">
      <c r="A556">
        <v>236</v>
      </c>
      <c r="B556">
        <v>8497</v>
      </c>
      <c r="C556" t="s">
        <v>19</v>
      </c>
      <c r="D556" t="s">
        <v>19</v>
      </c>
      <c r="E556" s="2">
        <v>46084</v>
      </c>
      <c r="F556" s="2">
        <v>46083</v>
      </c>
      <c r="G556" t="s">
        <v>34</v>
      </c>
      <c r="H556">
        <v>91447850</v>
      </c>
      <c r="I556">
        <v>328503750</v>
      </c>
      <c r="J556">
        <v>25800000</v>
      </c>
      <c r="K556">
        <v>67128000</v>
      </c>
      <c r="L556">
        <v>281748000</v>
      </c>
      <c r="M556">
        <f>I556-(H556+J556-K556)- L556</f>
        <v>-3364100</v>
      </c>
      <c r="N556" t="str">
        <f>IF(M556=0,"Cuadrado",IF(M556&gt;0,"Faltante","Sobrante"))</f>
        <v>Sobrante</v>
      </c>
      <c r="O556" t="s">
        <v>504</v>
      </c>
      <c r="P556">
        <v>71369714</v>
      </c>
    </row>
    <row r="557" spans="1:16" hidden="1" x14ac:dyDescent="0.35">
      <c r="A557">
        <v>193</v>
      </c>
      <c r="B557">
        <v>8537</v>
      </c>
      <c r="C557" t="s">
        <v>19</v>
      </c>
      <c r="D557" t="s">
        <v>19</v>
      </c>
      <c r="E557" s="2">
        <v>46092</v>
      </c>
      <c r="F557" s="2">
        <v>46091</v>
      </c>
      <c r="G557" t="s">
        <v>173</v>
      </c>
      <c r="H557">
        <v>229716950</v>
      </c>
      <c r="I557">
        <v>216614950</v>
      </c>
      <c r="J557">
        <v>5650000</v>
      </c>
      <c r="K557">
        <v>18771250</v>
      </c>
      <c r="M557">
        <f>I557-(H557+J557-K557)- L557</f>
        <v>19250</v>
      </c>
      <c r="N557" t="str">
        <f>IF(M557=0,"Cuadrado",IF(M557&gt;0,"Faltante","Sobrante"))</f>
        <v>Faltante</v>
      </c>
      <c r="O557" t="s">
        <v>352</v>
      </c>
      <c r="P557">
        <v>52048601</v>
      </c>
    </row>
    <row r="558" spans="1:16" hidden="1" x14ac:dyDescent="0.35">
      <c r="A558">
        <v>15</v>
      </c>
      <c r="B558">
        <v>8576</v>
      </c>
      <c r="C558" t="s">
        <v>19</v>
      </c>
      <c r="D558" t="s">
        <v>19</v>
      </c>
      <c r="E558" s="2">
        <v>46101</v>
      </c>
      <c r="F558" s="2">
        <v>46100</v>
      </c>
      <c r="G558" t="s">
        <v>73</v>
      </c>
      <c r="H558">
        <v>131220350</v>
      </c>
      <c r="I558">
        <v>134780550</v>
      </c>
      <c r="J558">
        <v>22420000</v>
      </c>
      <c r="K558">
        <v>15459800</v>
      </c>
      <c r="M558">
        <f>I558-(H558+J558-K558)- L558</f>
        <v>-3400000</v>
      </c>
      <c r="N558" t="str">
        <f>IF(M558=0,"Cuadrado",IF(M558&gt;0,"Faltante","Sobrante"))</f>
        <v>Sobrante</v>
      </c>
      <c r="O558" t="s">
        <v>39</v>
      </c>
      <c r="P558">
        <v>1037325417</v>
      </c>
    </row>
    <row r="559" spans="1:16" hidden="1" x14ac:dyDescent="0.35">
      <c r="A559">
        <v>15</v>
      </c>
      <c r="B559">
        <v>8577</v>
      </c>
      <c r="C559" t="s">
        <v>19</v>
      </c>
      <c r="D559" t="s">
        <v>19</v>
      </c>
      <c r="E559" s="2">
        <v>46101</v>
      </c>
      <c r="F559" s="2">
        <v>46100</v>
      </c>
      <c r="G559" t="s">
        <v>74</v>
      </c>
      <c r="H559">
        <v>177431300</v>
      </c>
      <c r="I559">
        <v>167174300</v>
      </c>
      <c r="J559">
        <v>22070000</v>
      </c>
      <c r="K559">
        <v>32322000</v>
      </c>
      <c r="M559">
        <f>I559-(H559+J559-K559)- L559</f>
        <v>-5000</v>
      </c>
      <c r="N559" t="str">
        <f>IF(M559=0,"Cuadrado",IF(M559&gt;0,"Faltante","Sobrante"))</f>
        <v>Sobrante</v>
      </c>
      <c r="O559" t="s">
        <v>39</v>
      </c>
      <c r="P559">
        <v>1037325417</v>
      </c>
    </row>
    <row r="560" spans="1:16" hidden="1" x14ac:dyDescent="0.35">
      <c r="A560">
        <v>15</v>
      </c>
      <c r="B560">
        <v>8578</v>
      </c>
      <c r="C560" t="s">
        <v>19</v>
      </c>
      <c r="D560" t="s">
        <v>19</v>
      </c>
      <c r="E560" s="2">
        <v>46101</v>
      </c>
      <c r="F560" s="2">
        <v>46100</v>
      </c>
      <c r="G560" t="s">
        <v>75</v>
      </c>
      <c r="H560">
        <v>163019200</v>
      </c>
      <c r="I560">
        <v>152613900</v>
      </c>
      <c r="J560">
        <v>26400000</v>
      </c>
      <c r="K560">
        <v>38097000</v>
      </c>
      <c r="M560">
        <f>I560-(H560+J560-K560)- L560</f>
        <v>1291700</v>
      </c>
      <c r="N560" t="str">
        <f>IF(M560=0,"Cuadrado",IF(M560&gt;0,"Faltante","Sobrante"))</f>
        <v>Faltante</v>
      </c>
      <c r="O560" t="s">
        <v>76</v>
      </c>
      <c r="P560">
        <v>1037325417</v>
      </c>
    </row>
    <row r="561" spans="1:16" hidden="1" x14ac:dyDescent="0.35">
      <c r="A561">
        <v>15</v>
      </c>
      <c r="B561">
        <v>8578</v>
      </c>
      <c r="C561" t="s">
        <v>19</v>
      </c>
      <c r="D561" t="s">
        <v>19</v>
      </c>
      <c r="E561" s="2">
        <v>46084</v>
      </c>
      <c r="F561" s="2">
        <v>46083</v>
      </c>
      <c r="G561" t="s">
        <v>505</v>
      </c>
      <c r="H561">
        <v>37305450</v>
      </c>
      <c r="I561">
        <v>53765450</v>
      </c>
      <c r="J561">
        <v>45750000</v>
      </c>
      <c r="K561">
        <v>28525000</v>
      </c>
      <c r="M561">
        <f>I561-(H561+J561-K561)- L561</f>
        <v>-765000</v>
      </c>
      <c r="N561" t="str">
        <f>IF(M561=0,"Cuadrado",IF(M561&gt;0,"Faltante","Sobrante"))</f>
        <v>Sobrante</v>
      </c>
      <c r="O561" t="s">
        <v>504</v>
      </c>
      <c r="P561">
        <v>1037325417</v>
      </c>
    </row>
    <row r="562" spans="1:16" hidden="1" x14ac:dyDescent="0.35">
      <c r="A562">
        <v>728</v>
      </c>
      <c r="B562">
        <v>8586</v>
      </c>
      <c r="C562" t="s">
        <v>19</v>
      </c>
      <c r="D562" t="s">
        <v>19</v>
      </c>
      <c r="E562" s="2">
        <v>46105</v>
      </c>
      <c r="F562" s="2">
        <v>46101</v>
      </c>
      <c r="G562" t="s">
        <v>36</v>
      </c>
      <c r="H562">
        <v>266490150</v>
      </c>
      <c r="I562">
        <v>259713150</v>
      </c>
      <c r="J562">
        <v>18980000</v>
      </c>
      <c r="K562">
        <v>25757000</v>
      </c>
      <c r="L562">
        <v>0</v>
      </c>
      <c r="M562">
        <f>I562-(H562+J562-K562)- L562</f>
        <v>0</v>
      </c>
      <c r="N562" t="str">
        <f>IF(M562=0,"Cuadrado",IF(M562&gt;0,"Faltante","Sobrante"))</f>
        <v>Cuadrado</v>
      </c>
      <c r="O562" t="s">
        <v>37</v>
      </c>
      <c r="P562">
        <v>1112783690</v>
      </c>
    </row>
    <row r="563" spans="1:16" hidden="1" x14ac:dyDescent="0.35">
      <c r="A563">
        <v>728</v>
      </c>
      <c r="B563">
        <v>8586</v>
      </c>
      <c r="C563" t="s">
        <v>19</v>
      </c>
      <c r="D563" t="s">
        <v>19</v>
      </c>
      <c r="E563" s="2">
        <v>46100</v>
      </c>
      <c r="F563" s="2">
        <v>46099</v>
      </c>
      <c r="G563" t="s">
        <v>152</v>
      </c>
      <c r="H563">
        <v>179379000</v>
      </c>
      <c r="I563">
        <v>145814000</v>
      </c>
      <c r="J563">
        <v>22510000</v>
      </c>
      <c r="K563">
        <v>56075000</v>
      </c>
      <c r="M563">
        <f>I563-(H563+J563-K563)- L563</f>
        <v>0</v>
      </c>
      <c r="N563" t="str">
        <f>IF(M563=0,"Cuadrado",IF(M563&gt;0,"Faltante","Sobrante"))</f>
        <v>Cuadrado</v>
      </c>
      <c r="O563" t="s">
        <v>37</v>
      </c>
      <c r="P563">
        <v>1112783690</v>
      </c>
    </row>
    <row r="564" spans="1:16" hidden="1" x14ac:dyDescent="0.35">
      <c r="A564">
        <v>728</v>
      </c>
      <c r="B564">
        <v>8586</v>
      </c>
      <c r="C564" t="s">
        <v>19</v>
      </c>
      <c r="D564" t="s">
        <v>19</v>
      </c>
      <c r="E564" s="2">
        <v>46098</v>
      </c>
      <c r="F564" s="2">
        <v>46097</v>
      </c>
      <c r="G564" t="s">
        <v>210</v>
      </c>
      <c r="H564">
        <v>46232850</v>
      </c>
      <c r="I564">
        <v>52632850</v>
      </c>
      <c r="J564">
        <v>6400000</v>
      </c>
      <c r="K564">
        <v>0</v>
      </c>
      <c r="L564">
        <v>0</v>
      </c>
      <c r="M564">
        <f>I564-(H564+J564-K564)- L564</f>
        <v>0</v>
      </c>
      <c r="N564" t="str">
        <f>IF(M564=0,"Cuadrado",IF(M564&gt;0,"Faltante","Sobrante"))</f>
        <v>Cuadrado</v>
      </c>
      <c r="O564" t="s">
        <v>37</v>
      </c>
      <c r="P564">
        <v>1112783690</v>
      </c>
    </row>
    <row r="565" spans="1:16" hidden="1" x14ac:dyDescent="0.35">
      <c r="A565">
        <v>728</v>
      </c>
      <c r="B565">
        <v>8586</v>
      </c>
      <c r="C565" t="s">
        <v>19</v>
      </c>
      <c r="D565" t="s">
        <v>19</v>
      </c>
      <c r="E565" s="2">
        <v>46097</v>
      </c>
      <c r="F565" s="2">
        <v>46094</v>
      </c>
      <c r="G565" t="s">
        <v>242</v>
      </c>
      <c r="H565">
        <v>71611650</v>
      </c>
      <c r="I565">
        <v>97971650</v>
      </c>
      <c r="J565">
        <v>26360000</v>
      </c>
      <c r="K565">
        <v>0</v>
      </c>
      <c r="M565">
        <f>I565-(H565+J565-K565)- L565</f>
        <v>0</v>
      </c>
      <c r="N565" t="str">
        <f>IF(M565=0,"Cuadrado",IF(M565&gt;0,"Faltante","Sobrante"))</f>
        <v>Cuadrado</v>
      </c>
      <c r="O565" t="s">
        <v>37</v>
      </c>
      <c r="P565">
        <v>1112783690</v>
      </c>
    </row>
    <row r="566" spans="1:16" hidden="1" x14ac:dyDescent="0.35">
      <c r="A566">
        <v>728</v>
      </c>
      <c r="B566">
        <v>8586</v>
      </c>
      <c r="C566" t="s">
        <v>19</v>
      </c>
      <c r="D566" t="s">
        <v>19</v>
      </c>
      <c r="E566" s="2">
        <v>46094</v>
      </c>
      <c r="F566" s="2">
        <v>46093</v>
      </c>
      <c r="G566" t="s">
        <v>306</v>
      </c>
      <c r="H566">
        <v>402213650</v>
      </c>
      <c r="I566">
        <v>402213650</v>
      </c>
      <c r="J566">
        <v>0</v>
      </c>
      <c r="K566">
        <v>0</v>
      </c>
      <c r="M566">
        <f>I566-(H566+J566-K566)- L566</f>
        <v>0</v>
      </c>
      <c r="N566" t="str">
        <f>IF(M566=0,"Cuadrado",IF(M566&gt;0,"Faltante","Sobrante"))</f>
        <v>Cuadrado</v>
      </c>
      <c r="O566" t="s">
        <v>37</v>
      </c>
      <c r="P566">
        <v>1112783690</v>
      </c>
    </row>
    <row r="567" spans="1:16" hidden="1" x14ac:dyDescent="0.35">
      <c r="A567">
        <v>728</v>
      </c>
      <c r="B567">
        <v>8586</v>
      </c>
      <c r="C567" t="s">
        <v>19</v>
      </c>
      <c r="D567" t="s">
        <v>19</v>
      </c>
      <c r="E567" s="2">
        <v>46091</v>
      </c>
      <c r="F567" s="2">
        <v>46090</v>
      </c>
      <c r="G567" t="s">
        <v>38</v>
      </c>
      <c r="H567">
        <v>101942150</v>
      </c>
      <c r="I567">
        <v>104962150</v>
      </c>
      <c r="J567">
        <v>4470000</v>
      </c>
      <c r="K567">
        <v>1450000</v>
      </c>
      <c r="M567">
        <f>I567-(H567+J567-K567)- L567</f>
        <v>0</v>
      </c>
      <c r="N567" t="str">
        <f>IF(M567=0,"Cuadrado",IF(M567&gt;0,"Faltante","Sobrante"))</f>
        <v>Cuadrado</v>
      </c>
      <c r="O567" t="s">
        <v>37</v>
      </c>
      <c r="P567">
        <v>1112783690</v>
      </c>
    </row>
    <row r="568" spans="1:16" hidden="1" x14ac:dyDescent="0.35">
      <c r="A568">
        <v>728</v>
      </c>
      <c r="B568">
        <v>8586</v>
      </c>
      <c r="C568" t="s">
        <v>19</v>
      </c>
      <c r="D568" t="s">
        <v>19</v>
      </c>
      <c r="E568" s="2">
        <v>46090</v>
      </c>
      <c r="F568" s="2">
        <v>46087</v>
      </c>
      <c r="G568" t="s">
        <v>414</v>
      </c>
      <c r="H568">
        <v>115960150</v>
      </c>
      <c r="I568">
        <v>120815150</v>
      </c>
      <c r="J568">
        <v>40600000</v>
      </c>
      <c r="K568">
        <v>33634000</v>
      </c>
      <c r="L568">
        <v>-2111000</v>
      </c>
      <c r="M568">
        <f>I568-(H568+J568-K568)- L568</f>
        <v>0</v>
      </c>
      <c r="N568" t="str">
        <f>IF(M568=0,"Cuadrado",IF(M568&gt;0,"Faltante","Sobrante"))</f>
        <v>Cuadrado</v>
      </c>
      <c r="O568" t="s">
        <v>37</v>
      </c>
      <c r="P568">
        <v>1112783690</v>
      </c>
    </row>
    <row r="569" spans="1:16" hidden="1" x14ac:dyDescent="0.35">
      <c r="A569">
        <v>728</v>
      </c>
      <c r="B569">
        <v>8586</v>
      </c>
      <c r="C569" t="s">
        <v>19</v>
      </c>
      <c r="D569" t="s">
        <v>19</v>
      </c>
      <c r="E569" s="2">
        <v>46087</v>
      </c>
      <c r="F569" s="2">
        <v>46086</v>
      </c>
      <c r="G569" t="s">
        <v>455</v>
      </c>
      <c r="H569">
        <v>197400800</v>
      </c>
      <c r="I569">
        <v>194709800</v>
      </c>
      <c r="J569">
        <v>6420000</v>
      </c>
      <c r="K569">
        <v>7000000</v>
      </c>
      <c r="M569">
        <f>I569-(H569+J569-K569)- L569</f>
        <v>-2111000</v>
      </c>
      <c r="N569" t="str">
        <f>IF(M569=0,"Cuadrado",IF(M569&gt;0,"Faltante","Sobrante"))</f>
        <v>Sobrante</v>
      </c>
      <c r="O569" t="s">
        <v>423</v>
      </c>
      <c r="P569">
        <v>1112783690</v>
      </c>
    </row>
    <row r="570" spans="1:16" hidden="1" x14ac:dyDescent="0.35">
      <c r="A570">
        <v>728</v>
      </c>
      <c r="B570">
        <v>8586</v>
      </c>
      <c r="C570" t="s">
        <v>19</v>
      </c>
      <c r="D570" t="s">
        <v>19</v>
      </c>
      <c r="E570" s="2">
        <v>46085</v>
      </c>
      <c r="F570" s="2">
        <v>46084</v>
      </c>
      <c r="G570" t="s">
        <v>155</v>
      </c>
      <c r="H570">
        <v>124069800</v>
      </c>
      <c r="I570">
        <v>43355300</v>
      </c>
      <c r="J570">
        <v>24450000</v>
      </c>
      <c r="K570">
        <v>103924000</v>
      </c>
      <c r="L570">
        <v>-1240500</v>
      </c>
      <c r="M570">
        <f>I570-(H570+J570-K570)- L570</f>
        <v>0</v>
      </c>
      <c r="N570" t="str">
        <f>IF(M570=0,"Cuadrado",IF(M570&gt;0,"Faltante","Sobrante"))</f>
        <v>Cuadrado</v>
      </c>
      <c r="O570" t="s">
        <v>37</v>
      </c>
      <c r="P570">
        <v>1112783690</v>
      </c>
    </row>
    <row r="571" spans="1:16" hidden="1" x14ac:dyDescent="0.35">
      <c r="A571">
        <v>728</v>
      </c>
      <c r="B571">
        <v>8586</v>
      </c>
      <c r="C571" t="s">
        <v>19</v>
      </c>
      <c r="D571" t="s">
        <v>19</v>
      </c>
      <c r="E571" s="2">
        <v>46084</v>
      </c>
      <c r="F571" s="2">
        <v>46083</v>
      </c>
      <c r="G571" t="s">
        <v>134</v>
      </c>
      <c r="H571">
        <v>21395000</v>
      </c>
      <c r="I571">
        <v>57395000</v>
      </c>
      <c r="J571">
        <v>41600000</v>
      </c>
      <c r="K571">
        <v>2248500</v>
      </c>
      <c r="M571">
        <f>I571-(H571+J571-K571)- L571</f>
        <v>-3351500</v>
      </c>
      <c r="N571" t="str">
        <f>IF(M571=0,"Cuadrado",IF(M571&gt;0,"Faltante","Sobrante"))</f>
        <v>Sobrante</v>
      </c>
      <c r="O571" t="s">
        <v>504</v>
      </c>
      <c r="P571">
        <v>1112783690</v>
      </c>
    </row>
    <row r="572" spans="1:16" x14ac:dyDescent="0.35">
      <c r="A572">
        <v>728</v>
      </c>
      <c r="B572">
        <v>8586</v>
      </c>
      <c r="C572" t="s">
        <v>19</v>
      </c>
      <c r="D572" t="s">
        <v>19</v>
      </c>
      <c r="E572" s="2">
        <v>46106</v>
      </c>
      <c r="F572" s="2">
        <v>46105</v>
      </c>
      <c r="G572" t="s">
        <v>280</v>
      </c>
      <c r="H572">
        <v>338920150</v>
      </c>
      <c r="I572">
        <v>276620150</v>
      </c>
      <c r="J572">
        <v>11800000</v>
      </c>
      <c r="K572">
        <v>74100000</v>
      </c>
      <c r="L572">
        <f>0</f>
        <v>0</v>
      </c>
      <c r="M572">
        <f>I572-(H572+J572-K572)- L572</f>
        <v>0</v>
      </c>
      <c r="N572" t="str">
        <f>IF(M572=0,"Cuadrado",IF(M572&gt;0,"Faltante","Sobrante"))</f>
        <v>Cuadrado</v>
      </c>
      <c r="O572" t="s">
        <v>37</v>
      </c>
      <c r="P572">
        <v>1112783690</v>
      </c>
    </row>
    <row r="573" spans="1:16" hidden="1" x14ac:dyDescent="0.35">
      <c r="A573">
        <v>728</v>
      </c>
      <c r="B573">
        <v>8587</v>
      </c>
      <c r="C573" t="s">
        <v>19</v>
      </c>
      <c r="D573" t="s">
        <v>19</v>
      </c>
      <c r="E573" s="2">
        <v>46105</v>
      </c>
      <c r="F573" s="2">
        <v>46101</v>
      </c>
      <c r="G573" t="s">
        <v>29</v>
      </c>
      <c r="H573">
        <v>182812350</v>
      </c>
      <c r="I573">
        <v>168712350</v>
      </c>
      <c r="J573">
        <v>30200000</v>
      </c>
      <c r="K573">
        <v>44299950</v>
      </c>
      <c r="L573">
        <v>0</v>
      </c>
      <c r="M573">
        <f>I573-(H573+J573-K573)- L573</f>
        <v>-50</v>
      </c>
      <c r="N573" t="str">
        <f>IF(M573=0,"Cuadrado",IF(M573&gt;0,"Faltante","Sobrante"))</f>
        <v>Sobrante</v>
      </c>
      <c r="O573" t="s">
        <v>21</v>
      </c>
      <c r="P573">
        <v>1112783690</v>
      </c>
    </row>
    <row r="574" spans="1:16" hidden="1" x14ac:dyDescent="0.35">
      <c r="A574">
        <v>728</v>
      </c>
      <c r="B574">
        <v>8587</v>
      </c>
      <c r="C574" t="s">
        <v>19</v>
      </c>
      <c r="D574" t="s">
        <v>19</v>
      </c>
      <c r="E574" s="2">
        <v>46100</v>
      </c>
      <c r="F574" s="2">
        <v>46099</v>
      </c>
      <c r="G574" t="s">
        <v>153</v>
      </c>
      <c r="H574">
        <v>183562350</v>
      </c>
      <c r="I574">
        <v>163132350</v>
      </c>
      <c r="J574">
        <v>17120000</v>
      </c>
      <c r="K574">
        <v>37550000</v>
      </c>
      <c r="M574">
        <f>I574-(H574+J574-K574)- L574</f>
        <v>0</v>
      </c>
      <c r="N574" t="str">
        <f>IF(M574=0,"Cuadrado",IF(M574&gt;0,"Faltante","Sobrante"))</f>
        <v>Cuadrado</v>
      </c>
      <c r="O574" t="s">
        <v>37</v>
      </c>
      <c r="P574">
        <v>1112783690</v>
      </c>
    </row>
    <row r="575" spans="1:16" hidden="1" x14ac:dyDescent="0.35">
      <c r="A575">
        <v>728</v>
      </c>
      <c r="B575">
        <v>8587</v>
      </c>
      <c r="C575" t="s">
        <v>19</v>
      </c>
      <c r="D575" t="s">
        <v>19</v>
      </c>
      <c r="E575" s="2">
        <v>46098</v>
      </c>
      <c r="F575" s="2">
        <v>46097</v>
      </c>
      <c r="G575" t="s">
        <v>149</v>
      </c>
      <c r="H575">
        <v>168973150</v>
      </c>
      <c r="I575">
        <v>170863150</v>
      </c>
      <c r="J575">
        <v>5110000</v>
      </c>
      <c r="K575">
        <v>3220000</v>
      </c>
      <c r="L575">
        <v>0</v>
      </c>
      <c r="M575">
        <f>I575-(H575+J575-K575)- L575</f>
        <v>0</v>
      </c>
      <c r="N575" t="str">
        <f>IF(M575=0,"Cuadrado",IF(M575&gt;0,"Faltante","Sobrante"))</f>
        <v>Cuadrado</v>
      </c>
      <c r="O575" t="s">
        <v>37</v>
      </c>
      <c r="P575">
        <v>1112783690</v>
      </c>
    </row>
    <row r="576" spans="1:16" hidden="1" x14ac:dyDescent="0.35">
      <c r="A576">
        <v>728</v>
      </c>
      <c r="B576">
        <v>8587</v>
      </c>
      <c r="C576" t="s">
        <v>19</v>
      </c>
      <c r="D576" t="s">
        <v>19</v>
      </c>
      <c r="E576" s="2">
        <v>46097</v>
      </c>
      <c r="F576" s="2">
        <v>46094</v>
      </c>
      <c r="G576" t="s">
        <v>243</v>
      </c>
      <c r="H576">
        <v>272030750</v>
      </c>
      <c r="I576">
        <v>146290750</v>
      </c>
      <c r="J576">
        <v>34040000</v>
      </c>
      <c r="K576">
        <v>159780000</v>
      </c>
      <c r="M576">
        <f>I576-(H576+J576-K576)- L576</f>
        <v>0</v>
      </c>
      <c r="N576" t="str">
        <f>IF(M576=0,"Cuadrado",IF(M576&gt;0,"Faltante","Sobrante"))</f>
        <v>Cuadrado</v>
      </c>
      <c r="O576" t="s">
        <v>37</v>
      </c>
      <c r="P576">
        <v>1112783690</v>
      </c>
    </row>
    <row r="577" spans="1:16" hidden="1" x14ac:dyDescent="0.35">
      <c r="A577">
        <v>728</v>
      </c>
      <c r="B577">
        <v>8587</v>
      </c>
      <c r="C577" t="s">
        <v>19</v>
      </c>
      <c r="D577" t="s">
        <v>19</v>
      </c>
      <c r="E577" s="2">
        <v>46094</v>
      </c>
      <c r="F577" s="2">
        <v>46093</v>
      </c>
      <c r="G577" t="s">
        <v>130</v>
      </c>
      <c r="H577">
        <v>186042750</v>
      </c>
      <c r="I577">
        <v>186692750</v>
      </c>
      <c r="J577">
        <v>650000</v>
      </c>
      <c r="K577">
        <v>0</v>
      </c>
      <c r="M577">
        <f>I577-(H577+J577-K577)- L577</f>
        <v>0</v>
      </c>
      <c r="N577" t="str">
        <f>IF(M577=0,"Cuadrado",IF(M577&gt;0,"Faltante","Sobrante"))</f>
        <v>Cuadrado</v>
      </c>
      <c r="O577" t="s">
        <v>37</v>
      </c>
      <c r="P577">
        <v>1112783690</v>
      </c>
    </row>
    <row r="578" spans="1:16" hidden="1" x14ac:dyDescent="0.35">
      <c r="A578">
        <v>728</v>
      </c>
      <c r="B578">
        <v>8587</v>
      </c>
      <c r="C578" t="s">
        <v>19</v>
      </c>
      <c r="D578" t="s">
        <v>19</v>
      </c>
      <c r="E578" s="2">
        <v>46091</v>
      </c>
      <c r="F578" s="2">
        <v>46090</v>
      </c>
      <c r="G578" t="s">
        <v>401</v>
      </c>
      <c r="H578">
        <v>139335350</v>
      </c>
      <c r="I578">
        <v>138565350</v>
      </c>
      <c r="J578">
        <v>2330000</v>
      </c>
      <c r="K578">
        <v>3100000</v>
      </c>
      <c r="M578">
        <f>I578-(H578+J578-K578)- L578</f>
        <v>0</v>
      </c>
      <c r="N578" t="str">
        <f>IF(M578=0,"Cuadrado",IF(M578&gt;0,"Faltante","Sobrante"))</f>
        <v>Cuadrado</v>
      </c>
      <c r="O578" t="s">
        <v>37</v>
      </c>
      <c r="P578">
        <v>1112783690</v>
      </c>
    </row>
    <row r="579" spans="1:16" hidden="1" x14ac:dyDescent="0.35">
      <c r="A579">
        <v>728</v>
      </c>
      <c r="B579">
        <v>8587</v>
      </c>
      <c r="C579" t="s">
        <v>19</v>
      </c>
      <c r="D579" t="s">
        <v>19</v>
      </c>
      <c r="E579" s="2">
        <v>46090</v>
      </c>
      <c r="F579" s="2">
        <v>46087</v>
      </c>
      <c r="G579" t="s">
        <v>290</v>
      </c>
      <c r="H579">
        <v>167219850</v>
      </c>
      <c r="I579">
        <v>96449850</v>
      </c>
      <c r="J579">
        <v>22070000</v>
      </c>
      <c r="K579">
        <v>92820000</v>
      </c>
      <c r="L579">
        <v>-20000</v>
      </c>
      <c r="M579">
        <f>I579-(H579+J579-K579)- L579</f>
        <v>0</v>
      </c>
      <c r="N579" t="str">
        <f>IF(M579=0,"Cuadrado",IF(M579&gt;0,"Faltante","Sobrante"))</f>
        <v>Cuadrado</v>
      </c>
      <c r="O579" t="s">
        <v>37</v>
      </c>
      <c r="P579">
        <v>1112783690</v>
      </c>
    </row>
    <row r="580" spans="1:16" hidden="1" x14ac:dyDescent="0.35">
      <c r="A580">
        <v>728</v>
      </c>
      <c r="B580">
        <v>8587</v>
      </c>
      <c r="C580" t="s">
        <v>19</v>
      </c>
      <c r="D580" t="s">
        <v>19</v>
      </c>
      <c r="E580" s="2">
        <v>46087</v>
      </c>
      <c r="F580" s="2">
        <v>46086</v>
      </c>
      <c r="G580" t="s">
        <v>456</v>
      </c>
      <c r="H580">
        <v>152249850</v>
      </c>
      <c r="I580">
        <v>161403850</v>
      </c>
      <c r="J580">
        <v>9230000</v>
      </c>
      <c r="K580">
        <v>56000</v>
      </c>
      <c r="M580">
        <f>I580-(H580+J580-K580)- L580</f>
        <v>-20000</v>
      </c>
      <c r="N580" t="str">
        <f>IF(M580=0,"Cuadrado",IF(M580&gt;0,"Faltante","Sobrante"))</f>
        <v>Sobrante</v>
      </c>
      <c r="O580" t="s">
        <v>423</v>
      </c>
      <c r="P580">
        <v>1112783690</v>
      </c>
    </row>
    <row r="581" spans="1:16" hidden="1" x14ac:dyDescent="0.35">
      <c r="A581">
        <v>728</v>
      </c>
      <c r="B581">
        <v>8587</v>
      </c>
      <c r="C581" t="s">
        <v>19</v>
      </c>
      <c r="D581" t="s">
        <v>19</v>
      </c>
      <c r="E581" s="2">
        <v>46085</v>
      </c>
      <c r="F581" s="2">
        <v>46084</v>
      </c>
      <c r="G581" t="s">
        <v>498</v>
      </c>
      <c r="H581">
        <v>117107850</v>
      </c>
      <c r="I581">
        <v>87763850</v>
      </c>
      <c r="J581">
        <v>4320000</v>
      </c>
      <c r="K581">
        <v>33684000</v>
      </c>
      <c r="L581">
        <v>20000</v>
      </c>
      <c r="M581">
        <f>I581-(H581+J581-K581)- L581</f>
        <v>0</v>
      </c>
      <c r="N581" t="str">
        <f>IF(M581=0,"Cuadrado",IF(M581&gt;0,"Faltante","Sobrante"))</f>
        <v>Cuadrado</v>
      </c>
      <c r="O581" t="s">
        <v>37</v>
      </c>
      <c r="P581">
        <v>1112783690</v>
      </c>
    </row>
    <row r="582" spans="1:16" hidden="1" x14ac:dyDescent="0.35">
      <c r="A582">
        <v>728</v>
      </c>
      <c r="B582">
        <v>8587</v>
      </c>
      <c r="C582" t="s">
        <v>19</v>
      </c>
      <c r="D582" t="s">
        <v>19</v>
      </c>
      <c r="E582" s="2">
        <v>46084</v>
      </c>
      <c r="F582" s="2">
        <v>46083</v>
      </c>
      <c r="G582" t="s">
        <v>149</v>
      </c>
      <c r="H582">
        <v>53145600</v>
      </c>
      <c r="I582">
        <v>43795600</v>
      </c>
      <c r="J582">
        <v>1350000</v>
      </c>
      <c r="K582">
        <v>10700000</v>
      </c>
      <c r="M582">
        <f>I582-(H582+J582-K582)- L582</f>
        <v>0</v>
      </c>
      <c r="N582" t="str">
        <f>IF(M582=0,"Cuadrado",IF(M582&gt;0,"Faltante","Sobrante"))</f>
        <v>Cuadrado</v>
      </c>
      <c r="O582" t="s">
        <v>37</v>
      </c>
      <c r="P582">
        <v>1112783690</v>
      </c>
    </row>
    <row r="583" spans="1:16" x14ac:dyDescent="0.35">
      <c r="A583">
        <v>728</v>
      </c>
      <c r="B583">
        <v>8587</v>
      </c>
      <c r="C583" t="s">
        <v>19</v>
      </c>
      <c r="D583" t="s">
        <v>19</v>
      </c>
      <c r="E583" s="2">
        <v>46106</v>
      </c>
      <c r="F583" s="2">
        <v>46105</v>
      </c>
      <c r="G583" t="s">
        <v>430</v>
      </c>
      <c r="H583">
        <v>178638600</v>
      </c>
      <c r="I583">
        <v>152393900</v>
      </c>
      <c r="J583">
        <v>13090000</v>
      </c>
      <c r="K583">
        <v>39334700</v>
      </c>
      <c r="L583">
        <f>-50+50</f>
        <v>0</v>
      </c>
      <c r="M583">
        <f>I583-(H583+J583-K583)- L583</f>
        <v>0</v>
      </c>
      <c r="N583" t="str">
        <f>IF(M583=0,"Cuadrado",IF(M583&gt;0,"Faltante","Sobrante"))</f>
        <v>Cuadrado</v>
      </c>
      <c r="O583" t="s">
        <v>530</v>
      </c>
      <c r="P583">
        <v>1112783690</v>
      </c>
    </row>
    <row r="584" spans="1:16" hidden="1" x14ac:dyDescent="0.35">
      <c r="A584">
        <v>78</v>
      </c>
      <c r="B584">
        <v>8594</v>
      </c>
      <c r="C584" t="s">
        <v>19</v>
      </c>
      <c r="D584" t="s">
        <v>19</v>
      </c>
      <c r="E584" s="2">
        <v>46101</v>
      </c>
      <c r="F584" s="2">
        <v>46100</v>
      </c>
      <c r="G584" t="s">
        <v>23</v>
      </c>
      <c r="H584">
        <v>208680200</v>
      </c>
      <c r="I584">
        <v>203040250</v>
      </c>
      <c r="J584">
        <v>2160000</v>
      </c>
      <c r="K584">
        <v>7800000</v>
      </c>
      <c r="M584">
        <f>I584-(H584+J584-K584)- L584</f>
        <v>50</v>
      </c>
      <c r="N584" t="str">
        <f>IF(M584=0,"Cuadrado",IF(M584&gt;0,"Faltante","Sobrante"))</f>
        <v>Faltante</v>
      </c>
      <c r="O584" t="s">
        <v>59</v>
      </c>
      <c r="P584">
        <v>91284848</v>
      </c>
    </row>
    <row r="585" spans="1:16" hidden="1" x14ac:dyDescent="0.35">
      <c r="A585">
        <v>78</v>
      </c>
      <c r="B585">
        <v>8594</v>
      </c>
      <c r="C585" t="s">
        <v>19</v>
      </c>
      <c r="D585" t="s">
        <v>19</v>
      </c>
      <c r="E585" s="2">
        <v>46094</v>
      </c>
      <c r="F585" s="2">
        <v>46093</v>
      </c>
      <c r="G585" t="s">
        <v>210</v>
      </c>
      <c r="H585">
        <v>194525150</v>
      </c>
      <c r="I585">
        <v>185085150</v>
      </c>
      <c r="J585">
        <v>510000</v>
      </c>
      <c r="K585">
        <v>12149950</v>
      </c>
      <c r="L585">
        <v>2199950</v>
      </c>
      <c r="M585">
        <f>I585-(H585+J585-K585)- L585</f>
        <v>0</v>
      </c>
      <c r="N585" t="str">
        <f>IF(M585=0,"Cuadrado",IF(M585&gt;0,"Faltante","Sobrante"))</f>
        <v>Cuadrado</v>
      </c>
      <c r="O585" t="s">
        <v>291</v>
      </c>
      <c r="P585">
        <v>1098657131</v>
      </c>
    </row>
    <row r="586" spans="1:16" hidden="1" x14ac:dyDescent="0.35">
      <c r="A586">
        <v>78</v>
      </c>
      <c r="B586">
        <v>8594</v>
      </c>
      <c r="C586" t="s">
        <v>19</v>
      </c>
      <c r="D586" t="s">
        <v>19</v>
      </c>
      <c r="E586" s="2">
        <v>46087</v>
      </c>
      <c r="F586" s="2">
        <v>46086</v>
      </c>
      <c r="G586" t="s">
        <v>457</v>
      </c>
      <c r="H586">
        <v>135632050</v>
      </c>
      <c r="I586">
        <v>147082050</v>
      </c>
      <c r="J586">
        <v>6040000</v>
      </c>
      <c r="K586">
        <v>0</v>
      </c>
      <c r="L586">
        <v>5410000</v>
      </c>
      <c r="M586">
        <f>I586-(H586+J586-K586)- L586</f>
        <v>0</v>
      </c>
      <c r="N586" t="str">
        <f>IF(M586=0,"Cuadrado",IF(M586&gt;0,"Faltante","Sobrante"))</f>
        <v>Cuadrado</v>
      </c>
      <c r="O586" t="s">
        <v>458</v>
      </c>
      <c r="P586">
        <v>1098657131</v>
      </c>
    </row>
    <row r="587" spans="1:16" hidden="1" x14ac:dyDescent="0.35">
      <c r="A587">
        <v>4</v>
      </c>
      <c r="B587">
        <v>8630</v>
      </c>
      <c r="C587" t="s">
        <v>19</v>
      </c>
      <c r="D587" t="s">
        <v>19</v>
      </c>
      <c r="E587" s="2">
        <v>46101</v>
      </c>
      <c r="F587" s="2">
        <v>46100</v>
      </c>
      <c r="G587" t="s">
        <v>77</v>
      </c>
      <c r="H587">
        <v>86357000</v>
      </c>
      <c r="I587">
        <v>84098000</v>
      </c>
      <c r="J587">
        <v>1990000</v>
      </c>
      <c r="K587">
        <v>3750000</v>
      </c>
      <c r="M587">
        <f>I587-(H587+J587-K587)- L587</f>
        <v>-499000</v>
      </c>
      <c r="N587" t="str">
        <f>IF(M587=0,"Cuadrado",IF(M587&gt;0,"Faltante","Sobrante"))</f>
        <v>Sobrante</v>
      </c>
      <c r="O587" t="s">
        <v>39</v>
      </c>
      <c r="P587">
        <v>1152186094</v>
      </c>
    </row>
    <row r="588" spans="1:16" hidden="1" x14ac:dyDescent="0.35">
      <c r="A588">
        <v>4</v>
      </c>
      <c r="B588">
        <v>8630</v>
      </c>
      <c r="C588" t="s">
        <v>19</v>
      </c>
      <c r="D588" t="s">
        <v>19</v>
      </c>
      <c r="E588" s="2">
        <v>46084</v>
      </c>
      <c r="F588" s="2">
        <v>46083</v>
      </c>
      <c r="G588" t="s">
        <v>125</v>
      </c>
      <c r="H588">
        <v>340986350</v>
      </c>
      <c r="I588">
        <v>309933350</v>
      </c>
      <c r="J588">
        <v>1640000</v>
      </c>
      <c r="K588">
        <v>32693000</v>
      </c>
      <c r="M588">
        <f>I588-(H588+J588-K588)- L588</f>
        <v>0</v>
      </c>
      <c r="N588" t="str">
        <f>IF(M588=0,"Cuadrado",IF(M588&gt;0,"Faltante","Sobrante"))</f>
        <v>Cuadrado</v>
      </c>
      <c r="O588" t="s">
        <v>37</v>
      </c>
      <c r="P588">
        <v>71278620</v>
      </c>
    </row>
    <row r="589" spans="1:16" hidden="1" x14ac:dyDescent="0.35">
      <c r="A589">
        <v>4</v>
      </c>
      <c r="B589">
        <v>8631</v>
      </c>
      <c r="C589" t="s">
        <v>19</v>
      </c>
      <c r="D589" t="s">
        <v>19</v>
      </c>
      <c r="E589" s="2">
        <v>46101</v>
      </c>
      <c r="F589" s="2">
        <v>46100</v>
      </c>
      <c r="G589" t="s">
        <v>78</v>
      </c>
      <c r="H589">
        <v>213311100</v>
      </c>
      <c r="I589">
        <v>213322100</v>
      </c>
      <c r="J589">
        <v>8710000</v>
      </c>
      <c r="K589">
        <v>8670000</v>
      </c>
      <c r="M589">
        <f>I589-(H589+J589-K589)- L589</f>
        <v>-29000</v>
      </c>
      <c r="N589" t="str">
        <f>IF(M589=0,"Cuadrado",IF(M589&gt;0,"Faltante","Sobrante"))</f>
        <v>Sobrante</v>
      </c>
      <c r="O589" t="s">
        <v>39</v>
      </c>
      <c r="P589">
        <v>1152186094</v>
      </c>
    </row>
    <row r="590" spans="1:16" hidden="1" x14ac:dyDescent="0.35">
      <c r="A590">
        <v>4</v>
      </c>
      <c r="B590">
        <v>8631</v>
      </c>
      <c r="C590" t="s">
        <v>19</v>
      </c>
      <c r="D590" t="s">
        <v>19</v>
      </c>
      <c r="E590" s="2">
        <v>46084</v>
      </c>
      <c r="F590" s="2">
        <v>46083</v>
      </c>
      <c r="G590" t="s">
        <v>363</v>
      </c>
      <c r="H590">
        <v>212123550</v>
      </c>
      <c r="I590">
        <v>170623550</v>
      </c>
      <c r="J590">
        <v>15550000</v>
      </c>
      <c r="K590">
        <v>57050000</v>
      </c>
      <c r="M590">
        <f>I590-(H590+J590-K590)- L590</f>
        <v>0</v>
      </c>
      <c r="N590" t="str">
        <f>IF(M590=0,"Cuadrado",IF(M590&gt;0,"Faltante","Sobrante"))</f>
        <v>Cuadrado</v>
      </c>
      <c r="O590" t="s">
        <v>37</v>
      </c>
      <c r="P590">
        <v>71278620</v>
      </c>
    </row>
    <row r="591" spans="1:16" hidden="1" x14ac:dyDescent="0.35">
      <c r="A591">
        <v>541</v>
      </c>
      <c r="B591">
        <v>8660</v>
      </c>
      <c r="C591" t="s">
        <v>19</v>
      </c>
      <c r="D591" t="s">
        <v>19</v>
      </c>
      <c r="E591" s="2">
        <v>46090</v>
      </c>
      <c r="F591" s="2">
        <v>46087</v>
      </c>
      <c r="G591" t="s">
        <v>347</v>
      </c>
      <c r="H591">
        <v>147279100</v>
      </c>
      <c r="I591">
        <v>150301100</v>
      </c>
      <c r="J591">
        <v>5020000</v>
      </c>
      <c r="K591">
        <v>1790000</v>
      </c>
      <c r="M591">
        <f>I591-(H591+J591-K591)- L591</f>
        <v>-208000</v>
      </c>
      <c r="N591" t="str">
        <f>IF(M591=0,"Cuadrado",IF(M591&gt;0,"Faltante","Sobrante"))</f>
        <v>Sobrante</v>
      </c>
      <c r="O591" t="s">
        <v>406</v>
      </c>
      <c r="P591">
        <v>1090148688</v>
      </c>
    </row>
    <row r="592" spans="1:16" hidden="1" x14ac:dyDescent="0.35">
      <c r="A592">
        <v>866</v>
      </c>
      <c r="B592">
        <v>8662</v>
      </c>
      <c r="C592" t="s">
        <v>19</v>
      </c>
      <c r="D592" t="s">
        <v>19</v>
      </c>
      <c r="E592" s="2">
        <v>46094</v>
      </c>
      <c r="F592" s="2">
        <v>46093</v>
      </c>
      <c r="G592" t="s">
        <v>149</v>
      </c>
      <c r="H592">
        <v>268806450</v>
      </c>
      <c r="I592">
        <v>277320450</v>
      </c>
      <c r="J592">
        <v>9220000</v>
      </c>
      <c r="K592">
        <v>25000</v>
      </c>
      <c r="M592">
        <f>I592-(H592+J592-K592)- L592</f>
        <v>-681000</v>
      </c>
      <c r="N592" t="str">
        <f>IF(M592=0,"Cuadrado",IF(M592&gt;0,"Faltante","Sobrante"))</f>
        <v>Sobrante</v>
      </c>
      <c r="O592" t="s">
        <v>245</v>
      </c>
      <c r="P592">
        <v>1113674245</v>
      </c>
    </row>
    <row r="593" spans="1:16" hidden="1" x14ac:dyDescent="0.35">
      <c r="A593">
        <v>866</v>
      </c>
      <c r="B593">
        <v>8662</v>
      </c>
      <c r="C593" t="s">
        <v>19</v>
      </c>
      <c r="D593" t="s">
        <v>19</v>
      </c>
      <c r="E593" s="2">
        <v>46087</v>
      </c>
      <c r="F593" s="2">
        <v>46086</v>
      </c>
      <c r="G593" t="s">
        <v>437</v>
      </c>
      <c r="H593">
        <v>222373450</v>
      </c>
      <c r="I593">
        <v>250073450</v>
      </c>
      <c r="J593">
        <v>27700000</v>
      </c>
      <c r="K593">
        <v>0</v>
      </c>
      <c r="M593">
        <f>I593-(H593+J593-K593)- L593</f>
        <v>0</v>
      </c>
      <c r="N593" t="str">
        <f>IF(M593=0,"Cuadrado",IF(M593&gt;0,"Faltante","Sobrante"))</f>
        <v>Cuadrado</v>
      </c>
      <c r="O593" t="s">
        <v>37</v>
      </c>
      <c r="P593">
        <v>1113674245</v>
      </c>
    </row>
    <row r="594" spans="1:16" hidden="1" x14ac:dyDescent="0.35">
      <c r="A594">
        <v>866</v>
      </c>
      <c r="B594">
        <v>8662</v>
      </c>
      <c r="C594" t="s">
        <v>19</v>
      </c>
      <c r="D594" t="s">
        <v>19</v>
      </c>
      <c r="E594" s="2">
        <v>46086</v>
      </c>
      <c r="F594" s="2">
        <v>46085</v>
      </c>
      <c r="G594" t="s">
        <v>74</v>
      </c>
      <c r="H594">
        <v>66818450</v>
      </c>
      <c r="I594">
        <v>93518450</v>
      </c>
      <c r="J594">
        <v>36890000</v>
      </c>
      <c r="K594">
        <v>10190000</v>
      </c>
      <c r="M594">
        <f>I594-(H594+J594-K594)- L594</f>
        <v>0</v>
      </c>
      <c r="N594" t="str">
        <f>IF(M594=0,"Cuadrado",IF(M594&gt;0,"Faltante","Sobrante"))</f>
        <v>Cuadrado</v>
      </c>
      <c r="O594" t="s">
        <v>37</v>
      </c>
      <c r="P594">
        <v>1113674245</v>
      </c>
    </row>
    <row r="595" spans="1:16" hidden="1" x14ac:dyDescent="0.35">
      <c r="A595">
        <v>866</v>
      </c>
      <c r="B595">
        <v>8662</v>
      </c>
      <c r="C595" t="s">
        <v>19</v>
      </c>
      <c r="D595" t="s">
        <v>19</v>
      </c>
      <c r="E595" s="2">
        <v>46084</v>
      </c>
      <c r="F595" s="2">
        <v>46083</v>
      </c>
      <c r="G595" t="s">
        <v>331</v>
      </c>
      <c r="H595">
        <v>63045450</v>
      </c>
      <c r="I595">
        <v>74845450</v>
      </c>
      <c r="J595">
        <v>11400000</v>
      </c>
      <c r="K595">
        <v>0</v>
      </c>
      <c r="M595">
        <f>I595-(H595+J595-K595)- L595</f>
        <v>400000</v>
      </c>
      <c r="N595" t="str">
        <f>IF(M595=0,"Cuadrado",IF(M595&gt;0,"Faltante","Sobrante"))</f>
        <v>Faltante</v>
      </c>
      <c r="O595" t="s">
        <v>260</v>
      </c>
      <c r="P595">
        <v>1113674245</v>
      </c>
    </row>
    <row r="596" spans="1:16" hidden="1" x14ac:dyDescent="0.35">
      <c r="A596">
        <v>769</v>
      </c>
      <c r="B596">
        <v>8679</v>
      </c>
      <c r="C596" t="s">
        <v>19</v>
      </c>
      <c r="D596" t="s">
        <v>19</v>
      </c>
      <c r="E596" s="2">
        <v>46097</v>
      </c>
      <c r="F596" s="2">
        <v>46094</v>
      </c>
      <c r="G596" t="s">
        <v>231</v>
      </c>
      <c r="H596">
        <v>87502300</v>
      </c>
      <c r="I596">
        <v>65809200</v>
      </c>
      <c r="J596">
        <v>7140000</v>
      </c>
      <c r="K596">
        <v>18893100</v>
      </c>
      <c r="M596">
        <f>I596-(H596+J596-K596)- L596</f>
        <v>-9940000</v>
      </c>
      <c r="N596" t="str">
        <f>IF(M596=0,"Cuadrado",IF(M596&gt;0,"Faltante","Sobrante"))</f>
        <v>Sobrante</v>
      </c>
      <c r="P596">
        <v>1129580385</v>
      </c>
    </row>
    <row r="597" spans="1:16" hidden="1" x14ac:dyDescent="0.35">
      <c r="A597">
        <v>769</v>
      </c>
      <c r="B597">
        <v>8679</v>
      </c>
      <c r="C597" t="s">
        <v>19</v>
      </c>
      <c r="D597" t="s">
        <v>19</v>
      </c>
      <c r="E597" s="2">
        <v>46093</v>
      </c>
      <c r="F597" s="2">
        <v>46092</v>
      </c>
      <c r="G597" t="s">
        <v>342</v>
      </c>
      <c r="H597">
        <v>75467600</v>
      </c>
      <c r="I597">
        <v>62265600</v>
      </c>
      <c r="J597">
        <v>810000</v>
      </c>
      <c r="K597">
        <v>4080000</v>
      </c>
      <c r="M597">
        <f>I597-(H597+J597-K597)- L597</f>
        <v>-9932000</v>
      </c>
      <c r="N597" t="str">
        <f>IF(M597=0,"Cuadrado",IF(M597&gt;0,"Faltante","Sobrante"))</f>
        <v>Sobrante</v>
      </c>
      <c r="O597" t="s">
        <v>260</v>
      </c>
      <c r="P597">
        <v>1129580385</v>
      </c>
    </row>
    <row r="598" spans="1:16" hidden="1" x14ac:dyDescent="0.35">
      <c r="A598">
        <v>779</v>
      </c>
      <c r="B598">
        <v>8684</v>
      </c>
      <c r="C598" t="s">
        <v>16</v>
      </c>
      <c r="D598" t="s">
        <v>19</v>
      </c>
      <c r="E598" s="2">
        <v>46101</v>
      </c>
      <c r="F598" s="2">
        <v>46100</v>
      </c>
      <c r="G598" t="s">
        <v>47</v>
      </c>
      <c r="H598">
        <v>31301450</v>
      </c>
      <c r="I598">
        <v>72937950</v>
      </c>
      <c r="J598">
        <v>8020000</v>
      </c>
      <c r="K598">
        <v>30951000</v>
      </c>
      <c r="M598">
        <f>I598-(H598+J598-K598)- L598</f>
        <v>64567500</v>
      </c>
      <c r="N598" t="str">
        <f>IF(M598=0,"Cuadrado",IF(M598&gt;0,"Faltante","Sobrante"))</f>
        <v>Faltante</v>
      </c>
      <c r="O598" t="s">
        <v>39</v>
      </c>
      <c r="P598">
        <v>1082858126</v>
      </c>
    </row>
    <row r="599" spans="1:16" hidden="1" x14ac:dyDescent="0.35">
      <c r="A599">
        <v>779</v>
      </c>
      <c r="B599">
        <v>8685</v>
      </c>
      <c r="C599" t="s">
        <v>19</v>
      </c>
      <c r="D599" t="s">
        <v>19</v>
      </c>
      <c r="E599" s="2">
        <v>46101</v>
      </c>
      <c r="F599" s="2">
        <v>46100</v>
      </c>
      <c r="G599" t="s">
        <v>79</v>
      </c>
      <c r="H599">
        <v>49377150</v>
      </c>
      <c r="I599">
        <v>110910150</v>
      </c>
      <c r="J599">
        <v>1000000</v>
      </c>
      <c r="K599">
        <v>53830000</v>
      </c>
      <c r="M599">
        <f>I599-(H599+J599-K599)- L599</f>
        <v>114363000</v>
      </c>
      <c r="N599" t="str">
        <f>IF(M599=0,"Cuadrado",IF(M599&gt;0,"Faltante","Sobrante"))</f>
        <v>Faltante</v>
      </c>
      <c r="O599" t="s">
        <v>39</v>
      </c>
      <c r="P599">
        <v>1082858126</v>
      </c>
    </row>
    <row r="600" spans="1:16" hidden="1" x14ac:dyDescent="0.35">
      <c r="A600">
        <v>779</v>
      </c>
      <c r="B600">
        <v>8685</v>
      </c>
      <c r="C600" t="s">
        <v>19</v>
      </c>
      <c r="D600" t="s">
        <v>19</v>
      </c>
      <c r="E600" s="2">
        <v>46085</v>
      </c>
      <c r="F600" s="2">
        <v>46084</v>
      </c>
      <c r="G600" t="s">
        <v>353</v>
      </c>
      <c r="H600">
        <v>72923450</v>
      </c>
      <c r="I600">
        <v>62434550</v>
      </c>
      <c r="J600">
        <v>6450000</v>
      </c>
      <c r="K600">
        <v>12427000</v>
      </c>
      <c r="M600">
        <f>I600-(H600+J600-K600)- L600</f>
        <v>-4511900</v>
      </c>
      <c r="N600" t="str">
        <f>IF(M600=0,"Cuadrado",IF(M600&gt;0,"Faltante","Sobrante"))</f>
        <v>Sobrante</v>
      </c>
      <c r="O600" t="s">
        <v>489</v>
      </c>
      <c r="P600">
        <v>1082858126</v>
      </c>
    </row>
    <row r="601" spans="1:16" hidden="1" x14ac:dyDescent="0.35">
      <c r="A601">
        <v>60</v>
      </c>
      <c r="B601">
        <v>8727</v>
      </c>
      <c r="C601" t="s">
        <v>19</v>
      </c>
      <c r="D601" t="s">
        <v>19</v>
      </c>
      <c r="E601" s="2">
        <v>46097</v>
      </c>
      <c r="F601" s="2">
        <v>46094</v>
      </c>
      <c r="G601" t="s">
        <v>232</v>
      </c>
      <c r="H601">
        <v>105704050</v>
      </c>
      <c r="I601">
        <v>243171450</v>
      </c>
      <c r="J601">
        <v>27980000</v>
      </c>
      <c r="K601">
        <v>40699600</v>
      </c>
      <c r="M601">
        <f>I601-(H601+J601-K601)- L601</f>
        <v>150187000</v>
      </c>
      <c r="N601" t="str">
        <f>IF(M601=0,"Cuadrado",IF(M601&gt;0,"Faltante","Sobrante"))</f>
        <v>Faltante</v>
      </c>
      <c r="O601" t="s">
        <v>233</v>
      </c>
      <c r="P601">
        <v>14697128</v>
      </c>
    </row>
    <row r="602" spans="1:16" hidden="1" x14ac:dyDescent="0.35">
      <c r="A602">
        <v>60</v>
      </c>
      <c r="B602">
        <v>8727</v>
      </c>
      <c r="C602" t="s">
        <v>19</v>
      </c>
      <c r="D602" t="s">
        <v>19</v>
      </c>
      <c r="E602" s="2">
        <v>46087</v>
      </c>
      <c r="F602" s="2">
        <v>46086</v>
      </c>
      <c r="G602" t="s">
        <v>371</v>
      </c>
      <c r="H602">
        <v>195193800</v>
      </c>
      <c r="I602">
        <v>160851800</v>
      </c>
      <c r="J602">
        <v>5040000</v>
      </c>
      <c r="K602">
        <v>39240000</v>
      </c>
      <c r="M602">
        <f>I602-(H602+J602-K602)- L602</f>
        <v>-142000</v>
      </c>
      <c r="N602" t="str">
        <f>IF(M602=0,"Cuadrado",IF(M602&gt;0,"Faltante","Sobrante"))</f>
        <v>Sobrante</v>
      </c>
      <c r="O602" t="s">
        <v>423</v>
      </c>
      <c r="P602">
        <v>14697128</v>
      </c>
    </row>
    <row r="603" spans="1:16" hidden="1" x14ac:dyDescent="0.35">
      <c r="A603">
        <v>60</v>
      </c>
      <c r="B603">
        <v>8728</v>
      </c>
      <c r="C603" t="s">
        <v>16</v>
      </c>
      <c r="D603" t="s">
        <v>16</v>
      </c>
      <c r="E603" s="2">
        <v>46105</v>
      </c>
      <c r="F603" s="2">
        <v>46101</v>
      </c>
      <c r="G603" t="s">
        <v>30</v>
      </c>
      <c r="H603">
        <v>122840950</v>
      </c>
      <c r="I603">
        <v>114983150</v>
      </c>
      <c r="J603">
        <v>0</v>
      </c>
      <c r="K603">
        <v>7629800</v>
      </c>
      <c r="L603">
        <v>0</v>
      </c>
      <c r="M603">
        <f>I603-(H603+J603-K603)- L603</f>
        <v>-228000</v>
      </c>
      <c r="N603" t="str">
        <f>IF(M603=0,"Cuadrado",IF(M603&gt;0,"Faltante","Sobrante"))</f>
        <v>Sobrante</v>
      </c>
      <c r="O603" t="s">
        <v>21</v>
      </c>
      <c r="P603">
        <v>14697128</v>
      </c>
    </row>
    <row r="604" spans="1:16" hidden="1" x14ac:dyDescent="0.35">
      <c r="A604">
        <v>60</v>
      </c>
      <c r="B604">
        <v>8728</v>
      </c>
      <c r="C604" t="s">
        <v>16</v>
      </c>
      <c r="D604" t="s">
        <v>16</v>
      </c>
      <c r="E604" s="2">
        <v>46091</v>
      </c>
      <c r="F604" s="2">
        <v>46090</v>
      </c>
      <c r="G604" t="s">
        <v>318</v>
      </c>
      <c r="H604">
        <v>147853100</v>
      </c>
      <c r="I604">
        <v>145400100</v>
      </c>
      <c r="J604">
        <v>3320000</v>
      </c>
      <c r="K604">
        <v>6020000</v>
      </c>
      <c r="M604">
        <f>I604-(H604+J604-K604)- L604</f>
        <v>247000</v>
      </c>
      <c r="N604" t="str">
        <f>IF(M604=0,"Cuadrado",IF(M604&gt;0,"Faltante","Sobrante"))</f>
        <v>Faltante</v>
      </c>
      <c r="O604" t="s">
        <v>397</v>
      </c>
      <c r="P604">
        <v>14697128</v>
      </c>
    </row>
    <row r="605" spans="1:16" hidden="1" x14ac:dyDescent="0.35">
      <c r="A605">
        <v>60</v>
      </c>
      <c r="B605">
        <v>8728</v>
      </c>
      <c r="C605" t="s">
        <v>16</v>
      </c>
      <c r="D605" t="s">
        <v>19</v>
      </c>
      <c r="E605" s="2">
        <v>46087</v>
      </c>
      <c r="F605" s="2">
        <v>46086</v>
      </c>
      <c r="G605" t="s">
        <v>171</v>
      </c>
      <c r="H605">
        <v>104602550</v>
      </c>
      <c r="I605">
        <v>108312550</v>
      </c>
      <c r="J605">
        <v>4550000</v>
      </c>
      <c r="K605">
        <v>1032000</v>
      </c>
      <c r="M605">
        <f>I605-(H605+J605-K605)- L605</f>
        <v>192000</v>
      </c>
      <c r="N605" t="str">
        <f>IF(M605=0,"Cuadrado",IF(M605&gt;0,"Faltante","Sobrante"))</f>
        <v>Faltante</v>
      </c>
      <c r="O605" t="s">
        <v>260</v>
      </c>
      <c r="P605">
        <v>14697128</v>
      </c>
    </row>
    <row r="606" spans="1:16" hidden="1" x14ac:dyDescent="0.35">
      <c r="A606">
        <v>60</v>
      </c>
      <c r="B606">
        <v>8729</v>
      </c>
      <c r="C606" t="s">
        <v>19</v>
      </c>
      <c r="D606" t="s">
        <v>19</v>
      </c>
      <c r="E606" s="2">
        <v>46097</v>
      </c>
      <c r="F606" s="2">
        <v>46094</v>
      </c>
      <c r="G606" t="s">
        <v>135</v>
      </c>
      <c r="H606">
        <v>112531100</v>
      </c>
      <c r="I606">
        <v>-37079900</v>
      </c>
      <c r="J606">
        <v>9960000</v>
      </c>
      <c r="K606">
        <v>10484000</v>
      </c>
      <c r="M606">
        <f>I606-(H606+J606-K606)- L606</f>
        <v>-149087000</v>
      </c>
      <c r="N606" t="str">
        <f>IF(M606=0,"Cuadrado",IF(M606&gt;0,"Faltante","Sobrante"))</f>
        <v>Sobrante</v>
      </c>
      <c r="P606">
        <v>14697128</v>
      </c>
    </row>
    <row r="607" spans="1:16" hidden="1" x14ac:dyDescent="0.35">
      <c r="A607">
        <v>60</v>
      </c>
      <c r="B607">
        <v>8729</v>
      </c>
      <c r="C607" t="s">
        <v>19</v>
      </c>
      <c r="D607" t="s">
        <v>19</v>
      </c>
      <c r="E607" s="2">
        <v>46091</v>
      </c>
      <c r="F607" s="2">
        <v>46090</v>
      </c>
      <c r="G607" t="s">
        <v>206</v>
      </c>
      <c r="H607">
        <v>102452400</v>
      </c>
      <c r="I607">
        <v>96472400</v>
      </c>
      <c r="J607">
        <v>2860000</v>
      </c>
      <c r="K607">
        <v>8850000</v>
      </c>
      <c r="L607">
        <v>10000</v>
      </c>
      <c r="M607">
        <f>I607-(H607+J607-K607)- L607</f>
        <v>0</v>
      </c>
      <c r="N607" t="str">
        <f>IF(M607=0,"Cuadrado",IF(M607&gt;0,"Faltante","Sobrante"))</f>
        <v>Cuadrado</v>
      </c>
      <c r="O607" t="s">
        <v>398</v>
      </c>
      <c r="P607">
        <v>14697128</v>
      </c>
    </row>
    <row r="608" spans="1:16" hidden="1" x14ac:dyDescent="0.35">
      <c r="A608">
        <v>60</v>
      </c>
      <c r="B608">
        <v>8729</v>
      </c>
      <c r="C608" t="s">
        <v>19</v>
      </c>
      <c r="D608" t="s">
        <v>19</v>
      </c>
      <c r="E608" s="2">
        <v>46087</v>
      </c>
      <c r="F608" s="2">
        <v>46086</v>
      </c>
      <c r="G608" t="s">
        <v>196</v>
      </c>
      <c r="H608">
        <v>118601550</v>
      </c>
      <c r="I608">
        <v>118662450</v>
      </c>
      <c r="J608">
        <v>7310000</v>
      </c>
      <c r="K608">
        <v>7299100</v>
      </c>
      <c r="L608">
        <v>-10000</v>
      </c>
      <c r="M608">
        <f>I608-(H608+J608-K608)- L608</f>
        <v>60000</v>
      </c>
      <c r="N608" t="str">
        <f>IF(M608=0,"Cuadrado",IF(M608&gt;0,"Faltante","Sobrante"))</f>
        <v>Faltante</v>
      </c>
      <c r="O608" t="s">
        <v>260</v>
      </c>
      <c r="P608">
        <v>14697128</v>
      </c>
    </row>
    <row r="609" spans="1:16" hidden="1" x14ac:dyDescent="0.35">
      <c r="A609">
        <v>60</v>
      </c>
      <c r="B609">
        <v>8729</v>
      </c>
      <c r="C609" t="s">
        <v>19</v>
      </c>
      <c r="D609" t="s">
        <v>19</v>
      </c>
      <c r="E609" s="2">
        <v>46084</v>
      </c>
      <c r="F609" s="2">
        <v>46083</v>
      </c>
      <c r="G609" t="s">
        <v>196</v>
      </c>
      <c r="H609">
        <v>43414250</v>
      </c>
      <c r="I609">
        <v>32468250</v>
      </c>
      <c r="J609">
        <v>18200000</v>
      </c>
      <c r="K609">
        <v>29196000</v>
      </c>
      <c r="L609">
        <v>50000</v>
      </c>
      <c r="M609">
        <f>I609-(H609+J609-K609)- L609</f>
        <v>0</v>
      </c>
      <c r="N609" t="str">
        <f>IF(M609=0,"Cuadrado",IF(M609&gt;0,"Faltante","Sobrante"))</f>
        <v>Cuadrado</v>
      </c>
      <c r="O609" t="s">
        <v>37</v>
      </c>
      <c r="P609">
        <v>14697128</v>
      </c>
    </row>
    <row r="610" spans="1:16" hidden="1" x14ac:dyDescent="0.35">
      <c r="A610">
        <v>31</v>
      </c>
      <c r="B610">
        <v>8737</v>
      </c>
      <c r="C610" t="s">
        <v>19</v>
      </c>
      <c r="D610" t="s">
        <v>19</v>
      </c>
      <c r="E610" s="2">
        <v>46099</v>
      </c>
      <c r="F610" s="2">
        <v>46098</v>
      </c>
      <c r="G610" t="s">
        <v>192</v>
      </c>
      <c r="H610">
        <v>268667900</v>
      </c>
      <c r="I610">
        <v>227784800</v>
      </c>
      <c r="J610">
        <v>21080000</v>
      </c>
      <c r="K610">
        <v>63093050</v>
      </c>
      <c r="M610">
        <f>I610-(H610+J610-K610)- L610</f>
        <v>1129950</v>
      </c>
      <c r="N610" t="str">
        <f>IF(M610=0,"Cuadrado",IF(M610&gt;0,"Faltante","Sobrante"))</f>
        <v>Faltante</v>
      </c>
      <c r="O610" t="s">
        <v>193</v>
      </c>
    </row>
    <row r="611" spans="1:16" hidden="1" x14ac:dyDescent="0.35">
      <c r="A611">
        <v>509</v>
      </c>
      <c r="B611">
        <v>8835</v>
      </c>
      <c r="C611" t="s">
        <v>19</v>
      </c>
      <c r="D611" t="s">
        <v>19</v>
      </c>
      <c r="E611" s="2">
        <v>46085</v>
      </c>
      <c r="F611" s="2">
        <v>46084</v>
      </c>
      <c r="G611" t="s">
        <v>341</v>
      </c>
      <c r="H611">
        <v>289365350</v>
      </c>
      <c r="I611">
        <v>230723250</v>
      </c>
      <c r="J611">
        <v>4280000</v>
      </c>
      <c r="K611">
        <v>64171700</v>
      </c>
      <c r="M611">
        <f>I611-(H611+J611-K611)- L611</f>
        <v>1249600</v>
      </c>
      <c r="N611" t="str">
        <f>IF(M611=0,"Cuadrado",IF(M611&gt;0,"Faltante","Sobrante"))</f>
        <v>Faltante</v>
      </c>
      <c r="O611" t="s">
        <v>492</v>
      </c>
      <c r="P611">
        <v>1143370364</v>
      </c>
    </row>
    <row r="612" spans="1:16" hidden="1" x14ac:dyDescent="0.35">
      <c r="A612">
        <v>33</v>
      </c>
      <c r="B612">
        <v>8861</v>
      </c>
      <c r="C612" t="s">
        <v>19</v>
      </c>
      <c r="D612" t="s">
        <v>16</v>
      </c>
      <c r="E612" s="2">
        <v>46099</v>
      </c>
      <c r="F612" s="2">
        <v>46098</v>
      </c>
      <c r="G612" t="s">
        <v>64</v>
      </c>
      <c r="H612">
        <v>230110250</v>
      </c>
      <c r="I612">
        <v>219355250</v>
      </c>
      <c r="J612">
        <v>4090000</v>
      </c>
      <c r="K612">
        <v>5000000</v>
      </c>
      <c r="M612">
        <f>I612-(H612+J612-K612)- L612</f>
        <v>-9845000</v>
      </c>
      <c r="N612" t="str">
        <f>IF(M612=0,"Cuadrado",IF(M612&gt;0,"Faltante","Sobrante"))</f>
        <v>Sobrante</v>
      </c>
      <c r="O612" t="s">
        <v>156</v>
      </c>
    </row>
    <row r="613" spans="1:16" hidden="1" x14ac:dyDescent="0.35">
      <c r="A613">
        <v>33</v>
      </c>
      <c r="B613">
        <v>8861</v>
      </c>
      <c r="C613" t="s">
        <v>19</v>
      </c>
      <c r="D613" t="s">
        <v>19</v>
      </c>
      <c r="E613" s="2">
        <v>46097</v>
      </c>
      <c r="F613" s="2">
        <v>46094</v>
      </c>
      <c r="G613" t="s">
        <v>234</v>
      </c>
      <c r="H613">
        <v>241416650</v>
      </c>
      <c r="I613">
        <v>252694650</v>
      </c>
      <c r="J613">
        <v>26940000</v>
      </c>
      <c r="K613">
        <v>28477000</v>
      </c>
      <c r="M613">
        <f>I613-(H613+J613-K613)- L613</f>
        <v>12815000</v>
      </c>
      <c r="N613" t="str">
        <f>IF(M613=0,"Cuadrado",IF(M613&gt;0,"Faltante","Sobrante"))</f>
        <v>Faltante</v>
      </c>
      <c r="O613" t="s">
        <v>235</v>
      </c>
      <c r="P613">
        <v>79659379</v>
      </c>
    </row>
    <row r="614" spans="1:16" hidden="1" x14ac:dyDescent="0.35">
      <c r="A614">
        <v>33</v>
      </c>
      <c r="B614">
        <v>8861</v>
      </c>
      <c r="C614" t="s">
        <v>19</v>
      </c>
      <c r="D614" t="s">
        <v>19</v>
      </c>
      <c r="E614" s="2">
        <v>46092</v>
      </c>
      <c r="F614" s="2">
        <v>46091</v>
      </c>
      <c r="G614" t="s">
        <v>161</v>
      </c>
      <c r="H614">
        <v>282990000</v>
      </c>
      <c r="I614">
        <v>263685000</v>
      </c>
      <c r="J614">
        <v>7040000</v>
      </c>
      <c r="K614">
        <v>0</v>
      </c>
      <c r="M614">
        <f>I614-(H614+J614-K614)- L614</f>
        <v>-26345000</v>
      </c>
      <c r="N614" t="str">
        <f>IF(M614=0,"Cuadrado",IF(M614&gt;0,"Faltante","Sobrante"))</f>
        <v>Sobrante</v>
      </c>
      <c r="O614" t="s">
        <v>357</v>
      </c>
      <c r="P614">
        <v>79659379</v>
      </c>
    </row>
    <row r="615" spans="1:16" hidden="1" x14ac:dyDescent="0.35">
      <c r="A615">
        <v>33</v>
      </c>
      <c r="B615">
        <v>8861</v>
      </c>
      <c r="C615" t="s">
        <v>19</v>
      </c>
      <c r="D615" t="s">
        <v>19</v>
      </c>
      <c r="E615" s="2">
        <v>46087</v>
      </c>
      <c r="F615" s="2">
        <v>46086</v>
      </c>
      <c r="G615" t="s">
        <v>36</v>
      </c>
      <c r="H615">
        <v>150039000</v>
      </c>
      <c r="I615">
        <v>178218000</v>
      </c>
      <c r="J615">
        <v>40400000</v>
      </c>
      <c r="K615">
        <v>12221000</v>
      </c>
      <c r="M615">
        <f>I615-(H615+J615-K615)- L615</f>
        <v>0</v>
      </c>
      <c r="N615" t="str">
        <f>IF(M615=0,"Cuadrado",IF(M615&gt;0,"Faltante","Sobrante"))</f>
        <v>Cuadrado</v>
      </c>
      <c r="O615" t="s">
        <v>37</v>
      </c>
      <c r="P615">
        <v>79659379</v>
      </c>
    </row>
    <row r="616" spans="1:16" hidden="1" x14ac:dyDescent="0.35">
      <c r="A616">
        <v>33</v>
      </c>
      <c r="B616">
        <v>8861</v>
      </c>
      <c r="C616" t="s">
        <v>19</v>
      </c>
      <c r="D616" t="s">
        <v>19</v>
      </c>
      <c r="E616" s="2">
        <v>46086</v>
      </c>
      <c r="F616" s="2">
        <v>46085</v>
      </c>
      <c r="G616" t="s">
        <v>342</v>
      </c>
      <c r="H616">
        <v>150096000</v>
      </c>
      <c r="I616">
        <v>165586000</v>
      </c>
      <c r="J616">
        <v>15490000</v>
      </c>
      <c r="K616">
        <v>0</v>
      </c>
      <c r="M616">
        <f>I616-(H616+J616-K616)- L616</f>
        <v>0</v>
      </c>
      <c r="N616" t="str">
        <f>IF(M616=0,"Cuadrado",IF(M616&gt;0,"Faltante","Sobrante"))</f>
        <v>Cuadrado</v>
      </c>
      <c r="O616" t="s">
        <v>37</v>
      </c>
      <c r="P616">
        <v>79659379</v>
      </c>
    </row>
    <row r="617" spans="1:16" hidden="1" x14ac:dyDescent="0.35">
      <c r="A617">
        <v>33</v>
      </c>
      <c r="B617">
        <v>8861</v>
      </c>
      <c r="C617" t="s">
        <v>19</v>
      </c>
      <c r="D617" t="s">
        <v>19</v>
      </c>
      <c r="E617" s="2">
        <v>46084</v>
      </c>
      <c r="F617" s="2">
        <v>46083</v>
      </c>
      <c r="G617" t="s">
        <v>34</v>
      </c>
      <c r="H617">
        <v>134901800</v>
      </c>
      <c r="I617">
        <v>168074400</v>
      </c>
      <c r="J617">
        <v>23520000</v>
      </c>
      <c r="K617">
        <v>11607400</v>
      </c>
      <c r="M617">
        <f>I617-(H617+J617-K617)- L617</f>
        <v>21260000</v>
      </c>
      <c r="N617" t="str">
        <f>IF(M617=0,"Cuadrado",IF(M617&gt;0,"Faltante","Sobrante"))</f>
        <v>Faltante</v>
      </c>
      <c r="O617" t="s">
        <v>506</v>
      </c>
      <c r="P617">
        <v>79659379</v>
      </c>
    </row>
    <row r="618" spans="1:16" x14ac:dyDescent="0.35">
      <c r="A618">
        <v>33</v>
      </c>
      <c r="B618">
        <v>8861</v>
      </c>
      <c r="C618" t="s">
        <v>19</v>
      </c>
      <c r="D618" t="s">
        <v>19</v>
      </c>
      <c r="E618" s="2">
        <v>46106</v>
      </c>
      <c r="F618" s="2">
        <v>46101</v>
      </c>
      <c r="G618" t="s">
        <v>157</v>
      </c>
      <c r="H618">
        <v>188459450</v>
      </c>
      <c r="I618">
        <v>183569950</v>
      </c>
      <c r="J618">
        <v>32470000</v>
      </c>
      <c r="K618">
        <v>36149500</v>
      </c>
      <c r="L618">
        <f>0</f>
        <v>0</v>
      </c>
      <c r="M618">
        <f>I618-(H618+J618-K618)- L618</f>
        <v>-1210000</v>
      </c>
      <c r="N618" t="str">
        <f>IF(M618=0,"Cuadrado",IF(M618&gt;0,"Faltante","Sobrante"))</f>
        <v>Sobrante</v>
      </c>
      <c r="O618" t="s">
        <v>515</v>
      </c>
      <c r="P618">
        <v>79659379</v>
      </c>
    </row>
    <row r="619" spans="1:16" hidden="1" x14ac:dyDescent="0.35">
      <c r="A619">
        <v>225</v>
      </c>
      <c r="B619">
        <v>8868</v>
      </c>
      <c r="C619" t="s">
        <v>19</v>
      </c>
      <c r="D619" t="s">
        <v>19</v>
      </c>
      <c r="E619" s="2">
        <v>46097</v>
      </c>
      <c r="F619" s="2">
        <v>46094</v>
      </c>
      <c r="G619" t="s">
        <v>79</v>
      </c>
      <c r="H619">
        <v>149615950</v>
      </c>
      <c r="I619">
        <v>141645950</v>
      </c>
      <c r="J619">
        <v>7470000</v>
      </c>
      <c r="K619">
        <v>3970000</v>
      </c>
      <c r="M619">
        <f>I619-(H619+J619-K619)- L619</f>
        <v>-11470000</v>
      </c>
      <c r="N619" t="str">
        <f>IF(M619=0,"Cuadrado",IF(M619&gt;0,"Faltante","Sobrante"))</f>
        <v>Sobrante</v>
      </c>
      <c r="P619">
        <v>80212698</v>
      </c>
    </row>
    <row r="620" spans="1:16" hidden="1" x14ac:dyDescent="0.35">
      <c r="A620">
        <v>225</v>
      </c>
      <c r="B620">
        <v>8869</v>
      </c>
      <c r="C620" t="s">
        <v>19</v>
      </c>
      <c r="D620" t="s">
        <v>16</v>
      </c>
      <c r="E620" s="2">
        <v>46099</v>
      </c>
      <c r="F620" s="2">
        <v>46098</v>
      </c>
      <c r="G620" t="s">
        <v>194</v>
      </c>
      <c r="H620">
        <v>160962450</v>
      </c>
      <c r="I620">
        <v>298943450</v>
      </c>
      <c r="J620">
        <v>21210000</v>
      </c>
      <c r="K620">
        <v>35095000</v>
      </c>
      <c r="M620">
        <f>I620-(H620+J620-K620)- L620</f>
        <v>151866000</v>
      </c>
      <c r="N620" t="str">
        <f>IF(M620=0,"Cuadrado",IF(M620&gt;0,"Faltante","Sobrante"))</f>
        <v>Faltante</v>
      </c>
      <c r="O620" t="s">
        <v>156</v>
      </c>
    </row>
    <row r="621" spans="1:16" hidden="1" x14ac:dyDescent="0.35">
      <c r="A621">
        <v>225</v>
      </c>
      <c r="B621">
        <v>8869</v>
      </c>
      <c r="C621" t="s">
        <v>19</v>
      </c>
      <c r="D621" t="s">
        <v>19</v>
      </c>
      <c r="E621" s="2">
        <v>46097</v>
      </c>
      <c r="F621" s="2">
        <v>46094</v>
      </c>
      <c r="G621" t="s">
        <v>42</v>
      </c>
      <c r="H621">
        <v>265457950</v>
      </c>
      <c r="I621">
        <v>230207950</v>
      </c>
      <c r="J621">
        <v>19880000</v>
      </c>
      <c r="K621">
        <v>55430000</v>
      </c>
      <c r="M621">
        <f>I621-(H621+J621-K621)- L621</f>
        <v>300000</v>
      </c>
      <c r="N621" t="str">
        <f>IF(M621=0,"Cuadrado",IF(M621&gt;0,"Faltante","Sobrante"))</f>
        <v>Faltante</v>
      </c>
      <c r="O621" t="s">
        <v>236</v>
      </c>
      <c r="P621">
        <v>80212698</v>
      </c>
    </row>
    <row r="622" spans="1:16" hidden="1" x14ac:dyDescent="0.35">
      <c r="A622">
        <v>225</v>
      </c>
      <c r="B622">
        <v>8869</v>
      </c>
      <c r="C622" t="s">
        <v>19</v>
      </c>
      <c r="D622" t="s">
        <v>19</v>
      </c>
      <c r="E622" s="2">
        <v>46092</v>
      </c>
      <c r="F622" s="2">
        <v>46091</v>
      </c>
      <c r="G622" t="s">
        <v>106</v>
      </c>
      <c r="H622">
        <v>190294450</v>
      </c>
      <c r="I622">
        <v>336681450</v>
      </c>
      <c r="J622">
        <v>14350000</v>
      </c>
      <c r="K622">
        <v>49502000</v>
      </c>
      <c r="L622" t="s">
        <v>370</v>
      </c>
      <c r="M622" t="e">
        <f>I622-(H622+J622-K622)- L622</f>
        <v>#VALUE!</v>
      </c>
      <c r="N622" t="e">
        <f>IF(M622=0,"Cuadrado",IF(M622&gt;0,"Faltante","Sobrante"))</f>
        <v>#VALUE!</v>
      </c>
      <c r="O622" t="s">
        <v>37</v>
      </c>
      <c r="P622">
        <v>80212698</v>
      </c>
    </row>
    <row r="623" spans="1:16" hidden="1" x14ac:dyDescent="0.35">
      <c r="A623">
        <v>225</v>
      </c>
      <c r="B623">
        <v>8869</v>
      </c>
      <c r="C623" t="s">
        <v>19</v>
      </c>
      <c r="D623" t="s">
        <v>19</v>
      </c>
      <c r="E623" s="2">
        <v>46087</v>
      </c>
      <c r="F623" s="2">
        <v>46086</v>
      </c>
      <c r="G623" t="s">
        <v>240</v>
      </c>
      <c r="H623">
        <v>354412750</v>
      </c>
      <c r="I623">
        <v>368182750</v>
      </c>
      <c r="J623">
        <v>12460000</v>
      </c>
      <c r="K623">
        <v>0</v>
      </c>
      <c r="L623">
        <v>1310000</v>
      </c>
      <c r="M623">
        <f>I623-(H623+J623-K623)- L623</f>
        <v>0</v>
      </c>
      <c r="N623" t="str">
        <f>IF(M623=0,"Cuadrado",IF(M623&gt;0,"Faltante","Sobrante"))</f>
        <v>Cuadrado</v>
      </c>
      <c r="O623" t="s">
        <v>459</v>
      </c>
      <c r="P623">
        <v>80212698</v>
      </c>
    </row>
    <row r="624" spans="1:16" hidden="1" x14ac:dyDescent="0.35">
      <c r="A624">
        <v>442</v>
      </c>
      <c r="B624">
        <v>8888</v>
      </c>
      <c r="C624" t="s">
        <v>19</v>
      </c>
      <c r="D624" t="s">
        <v>19</v>
      </c>
      <c r="E624" s="2">
        <v>46098</v>
      </c>
      <c r="F624" s="2">
        <v>46097</v>
      </c>
      <c r="G624" t="s">
        <v>170</v>
      </c>
      <c r="H624">
        <v>484830150</v>
      </c>
      <c r="I624">
        <v>459028150</v>
      </c>
      <c r="J624">
        <v>4460000</v>
      </c>
      <c r="K624">
        <v>20262000</v>
      </c>
      <c r="L624">
        <v>0</v>
      </c>
      <c r="M624">
        <f>I624-(H624+J624-K624)- L624</f>
        <v>-10000000</v>
      </c>
      <c r="N624" t="str">
        <f>IF(M624=0,"Cuadrado",IF(M624&gt;0,"Faltante","Sobrante"))</f>
        <v>Sobrante</v>
      </c>
      <c r="P624">
        <v>1140853558</v>
      </c>
    </row>
    <row r="625" spans="1:16" hidden="1" x14ac:dyDescent="0.35">
      <c r="A625">
        <v>442</v>
      </c>
      <c r="B625">
        <v>8888</v>
      </c>
      <c r="C625" t="s">
        <v>19</v>
      </c>
      <c r="D625" t="s">
        <v>19</v>
      </c>
      <c r="E625" s="2">
        <v>46087</v>
      </c>
      <c r="F625" s="2">
        <v>46086</v>
      </c>
      <c r="G625" t="s">
        <v>460</v>
      </c>
      <c r="H625">
        <v>244102150</v>
      </c>
      <c r="I625">
        <v>121207800</v>
      </c>
      <c r="J625">
        <v>12080000</v>
      </c>
      <c r="K625">
        <v>133143000</v>
      </c>
      <c r="M625">
        <f>I625-(H625+J625-K625)- L625</f>
        <v>-1831350</v>
      </c>
      <c r="N625" t="str">
        <f>IF(M625=0,"Cuadrado",IF(M625&gt;0,"Faltante","Sobrante"))</f>
        <v>Sobrante</v>
      </c>
      <c r="O625" t="s">
        <v>423</v>
      </c>
      <c r="P625">
        <v>1140853558</v>
      </c>
    </row>
    <row r="626" spans="1:16" hidden="1" x14ac:dyDescent="0.35">
      <c r="A626">
        <v>721</v>
      </c>
      <c r="B626">
        <v>8896</v>
      </c>
      <c r="C626" t="s">
        <v>19</v>
      </c>
      <c r="D626" t="s">
        <v>19</v>
      </c>
      <c r="E626" s="2">
        <v>46105</v>
      </c>
      <c r="F626" s="2">
        <v>46101</v>
      </c>
      <c r="G626" t="s">
        <v>31</v>
      </c>
      <c r="H626">
        <v>102555600</v>
      </c>
      <c r="I626">
        <v>65149800</v>
      </c>
      <c r="J626">
        <v>14560000</v>
      </c>
      <c r="K626">
        <v>51963800</v>
      </c>
      <c r="L626">
        <v>0</v>
      </c>
      <c r="M626">
        <f>I626-(H626+J626-K626)- L626</f>
        <v>-2000</v>
      </c>
      <c r="N626" t="str">
        <f>IF(M626=0,"Cuadrado",IF(M626&gt;0,"Faltante","Sobrante"))</f>
        <v>Sobrante</v>
      </c>
      <c r="O626" t="s">
        <v>21</v>
      </c>
      <c r="P626">
        <v>1088262262</v>
      </c>
    </row>
    <row r="627" spans="1:16" hidden="1" x14ac:dyDescent="0.35">
      <c r="A627">
        <v>721</v>
      </c>
      <c r="B627">
        <v>8896</v>
      </c>
      <c r="C627" t="s">
        <v>19</v>
      </c>
      <c r="D627" t="s">
        <v>19</v>
      </c>
      <c r="E627" s="2">
        <v>46092</v>
      </c>
      <c r="F627" s="2">
        <v>46091</v>
      </c>
      <c r="G627" t="s">
        <v>371</v>
      </c>
      <c r="H627">
        <v>145619900</v>
      </c>
      <c r="I627">
        <v>109303300</v>
      </c>
      <c r="J627">
        <v>9170000</v>
      </c>
      <c r="K627">
        <v>42120300</v>
      </c>
      <c r="M627">
        <f>I627-(H627+J627-K627)- L627</f>
        <v>-3366300</v>
      </c>
      <c r="N627" t="str">
        <f>IF(M627=0,"Cuadrado",IF(M627&gt;0,"Faltante","Sobrante"))</f>
        <v>Sobrante</v>
      </c>
      <c r="O627" t="s">
        <v>357</v>
      </c>
      <c r="P627">
        <v>1088262262</v>
      </c>
    </row>
    <row r="628" spans="1:16" hidden="1" x14ac:dyDescent="0.35">
      <c r="A628">
        <v>721</v>
      </c>
      <c r="B628">
        <v>8897</v>
      </c>
      <c r="C628" t="s">
        <v>16</v>
      </c>
      <c r="D628" t="s">
        <v>19</v>
      </c>
      <c r="E628" s="2">
        <v>46105</v>
      </c>
      <c r="F628" s="2">
        <v>46101</v>
      </c>
      <c r="G628" t="s">
        <v>32</v>
      </c>
      <c r="H628">
        <v>87800300</v>
      </c>
      <c r="I628">
        <v>74704300</v>
      </c>
      <c r="J628">
        <v>8940000</v>
      </c>
      <c r="K628">
        <v>22095950</v>
      </c>
      <c r="L628">
        <v>59950</v>
      </c>
      <c r="M628">
        <f>I628-(H628+J628-K628)- L628</f>
        <v>0</v>
      </c>
      <c r="N628" t="str">
        <f>IF(M628=0,"Cuadrado",IF(M628&gt;0,"Faltante","Sobrante"))</f>
        <v>Cuadrado</v>
      </c>
      <c r="O628" t="s">
        <v>33</v>
      </c>
      <c r="P628">
        <v>1088262262</v>
      </c>
    </row>
    <row r="629" spans="1:16" hidden="1" x14ac:dyDescent="0.35">
      <c r="A629">
        <v>721</v>
      </c>
      <c r="B629">
        <v>8897</v>
      </c>
      <c r="C629" t="s">
        <v>16</v>
      </c>
      <c r="D629" t="s">
        <v>16</v>
      </c>
      <c r="E629" s="2">
        <v>46094</v>
      </c>
      <c r="F629" s="2">
        <v>46093</v>
      </c>
      <c r="G629" t="s">
        <v>286</v>
      </c>
      <c r="H629">
        <v>264876000</v>
      </c>
      <c r="I629">
        <v>249931500</v>
      </c>
      <c r="J629">
        <v>5030000</v>
      </c>
      <c r="K629">
        <v>20927000</v>
      </c>
      <c r="M629">
        <f>I629-(H629+J629-K629)- L629</f>
        <v>952500</v>
      </c>
      <c r="N629" t="str">
        <f>IF(M629=0,"Cuadrado",IF(M629&gt;0,"Faltante","Sobrante"))</f>
        <v>Faltante</v>
      </c>
      <c r="O629" t="s">
        <v>244</v>
      </c>
      <c r="P629">
        <v>1088262262</v>
      </c>
    </row>
    <row r="630" spans="1:16" hidden="1" x14ac:dyDescent="0.35">
      <c r="A630">
        <v>721</v>
      </c>
      <c r="B630">
        <v>8897</v>
      </c>
      <c r="C630" t="s">
        <v>16</v>
      </c>
      <c r="D630" t="s">
        <v>16</v>
      </c>
      <c r="E630" s="2">
        <v>46092</v>
      </c>
      <c r="F630" s="2">
        <v>46091</v>
      </c>
      <c r="G630" t="s">
        <v>72</v>
      </c>
      <c r="H630">
        <v>281783800</v>
      </c>
      <c r="I630">
        <v>269926100</v>
      </c>
      <c r="J630">
        <v>4790000</v>
      </c>
      <c r="K630">
        <v>16833100</v>
      </c>
      <c r="M630">
        <f>I630-(H630+J630-K630)- L630</f>
        <v>185400</v>
      </c>
      <c r="N630" t="str">
        <f>IF(M630=0,"Cuadrado",IF(M630&gt;0,"Faltante","Sobrante"))</f>
        <v>Faltante</v>
      </c>
      <c r="O630" t="s">
        <v>260</v>
      </c>
      <c r="P630">
        <v>1088262262</v>
      </c>
    </row>
    <row r="631" spans="1:16" hidden="1" x14ac:dyDescent="0.35">
      <c r="A631">
        <v>20</v>
      </c>
      <c r="B631">
        <v>8927</v>
      </c>
      <c r="C631" t="s">
        <v>19</v>
      </c>
      <c r="D631" t="s">
        <v>19</v>
      </c>
      <c r="E631" s="2">
        <v>46101</v>
      </c>
      <c r="F631" s="2">
        <v>46100</v>
      </c>
      <c r="G631" t="s">
        <v>93</v>
      </c>
      <c r="H631">
        <v>31964800</v>
      </c>
      <c r="I631">
        <v>40384800</v>
      </c>
      <c r="J631">
        <v>9570000</v>
      </c>
      <c r="K631">
        <v>1150000</v>
      </c>
      <c r="M631">
        <f>I631-(H631+J631-K631)- L631</f>
        <v>0</v>
      </c>
      <c r="N631" t="str">
        <f>IF(M631=0,"Cuadrado",IF(M631&gt;0,"Faltante","Sobrante"))</f>
        <v>Cuadrado</v>
      </c>
      <c r="O631" t="s">
        <v>37</v>
      </c>
      <c r="P631">
        <v>91232943</v>
      </c>
    </row>
    <row r="632" spans="1:16" hidden="1" x14ac:dyDescent="0.35">
      <c r="A632">
        <v>20</v>
      </c>
      <c r="B632">
        <v>8927</v>
      </c>
      <c r="C632" t="s">
        <v>19</v>
      </c>
      <c r="D632" t="s">
        <v>19</v>
      </c>
      <c r="E632" s="2">
        <v>46094</v>
      </c>
      <c r="F632" s="2">
        <v>46093</v>
      </c>
      <c r="G632" t="s">
        <v>135</v>
      </c>
      <c r="H632">
        <v>38107450</v>
      </c>
      <c r="I632">
        <v>45006550</v>
      </c>
      <c r="J632">
        <v>46590000</v>
      </c>
      <c r="K632">
        <v>10961900</v>
      </c>
      <c r="L632">
        <v>-27299000</v>
      </c>
      <c r="M632">
        <f>I632-(H632+J632-K632)- L632</f>
        <v>-1430000</v>
      </c>
      <c r="N632" t="str">
        <f>IF(M632=0,"Cuadrado",IF(M632&gt;0,"Faltante","Sobrante"))</f>
        <v>Sobrante</v>
      </c>
      <c r="O632" t="s">
        <v>245</v>
      </c>
      <c r="P632">
        <v>91232943</v>
      </c>
    </row>
    <row r="633" spans="1:16" hidden="1" x14ac:dyDescent="0.35">
      <c r="A633">
        <v>85</v>
      </c>
      <c r="B633">
        <v>8974</v>
      </c>
      <c r="C633" t="s">
        <v>19</v>
      </c>
      <c r="D633" t="s">
        <v>19</v>
      </c>
      <c r="E633" s="2">
        <v>46101</v>
      </c>
      <c r="F633" s="2">
        <v>46100</v>
      </c>
      <c r="G633" t="s">
        <v>80</v>
      </c>
      <c r="H633">
        <v>228658050</v>
      </c>
      <c r="I633">
        <v>224908000</v>
      </c>
      <c r="J633">
        <v>0</v>
      </c>
      <c r="K633">
        <v>4900000</v>
      </c>
      <c r="M633">
        <f>I633-(H633+J633-K633)- L633</f>
        <v>1149950</v>
      </c>
      <c r="N633" t="str">
        <f>IF(M633=0,"Cuadrado",IF(M633&gt;0,"Faltante","Sobrante"))</f>
        <v>Faltante</v>
      </c>
      <c r="O633" t="s">
        <v>59</v>
      </c>
      <c r="P633">
        <v>1047413788</v>
      </c>
    </row>
    <row r="634" spans="1:16" hidden="1" x14ac:dyDescent="0.35">
      <c r="A634">
        <v>85</v>
      </c>
      <c r="B634">
        <v>8974</v>
      </c>
      <c r="C634" t="s">
        <v>19</v>
      </c>
      <c r="D634" t="s">
        <v>19</v>
      </c>
      <c r="E634" s="2">
        <v>46093</v>
      </c>
      <c r="F634" s="2">
        <v>46092</v>
      </c>
      <c r="G634" t="s">
        <v>343</v>
      </c>
      <c r="H634">
        <v>185138700</v>
      </c>
      <c r="I634">
        <v>125304500</v>
      </c>
      <c r="J634">
        <v>11770000</v>
      </c>
      <c r="K634">
        <v>177784000</v>
      </c>
      <c r="L634">
        <v>106614000</v>
      </c>
      <c r="M634">
        <f>I634-(H634+J634-K634)- L634</f>
        <v>-434200</v>
      </c>
      <c r="N634" t="str">
        <f>IF(M634=0,"Cuadrado",IF(M634&gt;0,"Faltante","Sobrante"))</f>
        <v>Sobrante</v>
      </c>
      <c r="O634" t="s">
        <v>311</v>
      </c>
      <c r="P634">
        <v>1047413788</v>
      </c>
    </row>
    <row r="635" spans="1:16" hidden="1" x14ac:dyDescent="0.35">
      <c r="A635">
        <v>85</v>
      </c>
      <c r="B635">
        <v>8974</v>
      </c>
      <c r="C635" t="s">
        <v>19</v>
      </c>
      <c r="D635" t="s">
        <v>19</v>
      </c>
      <c r="E635" s="2">
        <v>46090</v>
      </c>
      <c r="F635" s="2">
        <v>46087</v>
      </c>
      <c r="G635" t="s">
        <v>415</v>
      </c>
      <c r="H635">
        <v>117970500</v>
      </c>
      <c r="I635">
        <v>200312700</v>
      </c>
      <c r="J635">
        <v>15150000</v>
      </c>
      <c r="K635">
        <v>121101950</v>
      </c>
      <c r="L635">
        <v>188284200</v>
      </c>
      <c r="M635">
        <f>I635-(H635+J635-K635)- L635</f>
        <v>9950</v>
      </c>
      <c r="N635" t="str">
        <f>IF(M635=0,"Cuadrado",IF(M635&gt;0,"Faltante","Sobrante"))</f>
        <v>Faltante</v>
      </c>
      <c r="O635" t="s">
        <v>407</v>
      </c>
      <c r="P635">
        <v>1047413788</v>
      </c>
    </row>
    <row r="636" spans="1:16" hidden="1" x14ac:dyDescent="0.35">
      <c r="A636">
        <v>85</v>
      </c>
      <c r="B636">
        <v>8974</v>
      </c>
      <c r="C636" t="s">
        <v>19</v>
      </c>
      <c r="D636" t="s">
        <v>19</v>
      </c>
      <c r="E636" s="2">
        <v>46086</v>
      </c>
      <c r="F636" s="2">
        <v>46085</v>
      </c>
      <c r="G636" t="s">
        <v>439</v>
      </c>
      <c r="H636">
        <v>197096700</v>
      </c>
      <c r="I636">
        <v>81733000</v>
      </c>
      <c r="J636">
        <v>14640000</v>
      </c>
      <c r="K636">
        <v>130025800</v>
      </c>
      <c r="M636">
        <f>I636-(H636+J636-K636)- L636</f>
        <v>22100</v>
      </c>
      <c r="N636" t="str">
        <f>IF(M636=0,"Cuadrado",IF(M636&gt;0,"Faltante","Sobrante"))</f>
        <v>Faltante</v>
      </c>
      <c r="O636" t="s">
        <v>260</v>
      </c>
      <c r="P636">
        <v>1047413788</v>
      </c>
    </row>
    <row r="637" spans="1:16" hidden="1" x14ac:dyDescent="0.35">
      <c r="A637">
        <v>536</v>
      </c>
      <c r="B637">
        <v>8988</v>
      </c>
      <c r="C637" t="s">
        <v>16</v>
      </c>
      <c r="D637" t="s">
        <v>16</v>
      </c>
      <c r="E637" s="2">
        <v>46094</v>
      </c>
      <c r="F637" s="2">
        <v>46093</v>
      </c>
      <c r="G637" t="s">
        <v>292</v>
      </c>
      <c r="H637">
        <v>221348850</v>
      </c>
      <c r="I637">
        <v>163462950</v>
      </c>
      <c r="J637">
        <v>26220000</v>
      </c>
      <c r="K637">
        <v>83992100</v>
      </c>
      <c r="M637">
        <f>I637-(H637+J637-K637)- L637</f>
        <v>-113800</v>
      </c>
      <c r="N637" t="str">
        <f>IF(M637=0,"Cuadrado",IF(M637&gt;0,"Faltante","Sobrante"))</f>
        <v>Sobrante</v>
      </c>
      <c r="O637" t="s">
        <v>245</v>
      </c>
      <c r="P637">
        <v>35891536</v>
      </c>
    </row>
    <row r="638" spans="1:16" hidden="1" x14ac:dyDescent="0.35">
      <c r="A638">
        <v>536</v>
      </c>
      <c r="B638">
        <v>8988</v>
      </c>
      <c r="C638" t="s">
        <v>16</v>
      </c>
      <c r="D638" t="s">
        <v>19</v>
      </c>
      <c r="E638" s="2">
        <v>46086</v>
      </c>
      <c r="F638" s="2">
        <v>46085</v>
      </c>
      <c r="G638" t="s">
        <v>481</v>
      </c>
      <c r="H638">
        <v>101561150</v>
      </c>
      <c r="I638">
        <v>308446400</v>
      </c>
      <c r="J638">
        <v>65600000</v>
      </c>
      <c r="K638">
        <v>144462150</v>
      </c>
      <c r="L638">
        <v>295000000</v>
      </c>
      <c r="M638">
        <f>I638-(H638+J638-K638)- L638</f>
        <v>-9252600</v>
      </c>
      <c r="N638" t="str">
        <f>IF(M638=0,"Cuadrado",IF(M638&gt;0,"Faltante","Sobrante"))</f>
        <v>Sobrante</v>
      </c>
      <c r="O638" t="s">
        <v>467</v>
      </c>
      <c r="P638">
        <v>35891536</v>
      </c>
    </row>
    <row r="639" spans="1:16" hidden="1" x14ac:dyDescent="0.35">
      <c r="A639">
        <v>457</v>
      </c>
      <c r="B639">
        <v>9004</v>
      </c>
      <c r="C639" t="s">
        <v>19</v>
      </c>
      <c r="D639" t="s">
        <v>19</v>
      </c>
      <c r="E639" s="2">
        <v>46097</v>
      </c>
      <c r="F639" s="2">
        <v>46094</v>
      </c>
      <c r="G639" t="s">
        <v>48</v>
      </c>
      <c r="H639">
        <v>289891700</v>
      </c>
      <c r="I639">
        <v>281371500</v>
      </c>
      <c r="J639">
        <v>1330000</v>
      </c>
      <c r="K639">
        <v>9950000</v>
      </c>
      <c r="M639">
        <f>I639-(H639+J639-K639)- L639</f>
        <v>99800</v>
      </c>
      <c r="N639" t="str">
        <f>IF(M639=0,"Cuadrado",IF(M639&gt;0,"Faltante","Sobrante"))</f>
        <v>Faltante</v>
      </c>
      <c r="P639">
        <v>33750644</v>
      </c>
    </row>
    <row r="640" spans="1:16" hidden="1" x14ac:dyDescent="0.35">
      <c r="A640">
        <v>457</v>
      </c>
      <c r="B640">
        <v>9004</v>
      </c>
      <c r="C640" t="s">
        <v>19</v>
      </c>
      <c r="D640" t="s">
        <v>16</v>
      </c>
      <c r="E640" s="2">
        <v>46084</v>
      </c>
      <c r="F640" s="2">
        <v>46083</v>
      </c>
      <c r="G640" t="s">
        <v>213</v>
      </c>
      <c r="H640">
        <v>292223700</v>
      </c>
      <c r="I640">
        <v>232471100</v>
      </c>
      <c r="J640">
        <v>7900000</v>
      </c>
      <c r="K640">
        <v>59495000</v>
      </c>
      <c r="M640">
        <f>I640-(H640+J640-K640)- L640</f>
        <v>-8157600</v>
      </c>
      <c r="N640" t="str">
        <f>IF(M640=0,"Cuadrado",IF(M640&gt;0,"Faltante","Sobrante"))</f>
        <v>Sobrante</v>
      </c>
      <c r="O640" t="s">
        <v>504</v>
      </c>
      <c r="P640">
        <v>33750644</v>
      </c>
    </row>
    <row r="641" spans="1:16" hidden="1" x14ac:dyDescent="0.35">
      <c r="A641">
        <v>348</v>
      </c>
      <c r="B641">
        <v>9009</v>
      </c>
      <c r="C641" t="s">
        <v>19</v>
      </c>
      <c r="D641" t="s">
        <v>19</v>
      </c>
      <c r="E641" s="2">
        <v>46097</v>
      </c>
      <c r="F641" s="2">
        <v>46094</v>
      </c>
      <c r="G641" t="s">
        <v>237</v>
      </c>
      <c r="H641">
        <v>31607400</v>
      </c>
      <c r="I641">
        <v>25017400</v>
      </c>
      <c r="J641">
        <v>0</v>
      </c>
      <c r="K641">
        <v>0</v>
      </c>
      <c r="M641">
        <f>I641-(H641+J641-K641)- L641</f>
        <v>-6590000</v>
      </c>
      <c r="N641" t="str">
        <f>IF(M641=0,"Cuadrado",IF(M641&gt;0,"Faltante","Sobrante"))</f>
        <v>Sobrante</v>
      </c>
      <c r="P641">
        <v>1123633014</v>
      </c>
    </row>
    <row r="642" spans="1:16" hidden="1" x14ac:dyDescent="0.35">
      <c r="A642">
        <v>348</v>
      </c>
      <c r="B642">
        <v>9009</v>
      </c>
      <c r="C642" t="s">
        <v>19</v>
      </c>
      <c r="D642" t="s">
        <v>19</v>
      </c>
      <c r="E642" s="2">
        <v>46087</v>
      </c>
      <c r="F642" s="2">
        <v>46086</v>
      </c>
      <c r="G642" t="s">
        <v>250</v>
      </c>
      <c r="H642">
        <v>47362900</v>
      </c>
      <c r="I642">
        <v>311105900</v>
      </c>
      <c r="J642">
        <v>8700000</v>
      </c>
      <c r="K642">
        <v>54901000</v>
      </c>
      <c r="L642">
        <v>309944000</v>
      </c>
      <c r="M642">
        <f>I642-(H642+J642-K642)- L642</f>
        <v>0</v>
      </c>
      <c r="N642" t="str">
        <f>IF(M642=0,"Cuadrado",IF(M642&gt;0,"Faltante","Sobrante"))</f>
        <v>Cuadrado</v>
      </c>
      <c r="O642" t="s">
        <v>461</v>
      </c>
      <c r="P642">
        <v>1123633014</v>
      </c>
    </row>
    <row r="643" spans="1:16" hidden="1" x14ac:dyDescent="0.35">
      <c r="A643">
        <v>467</v>
      </c>
      <c r="B643">
        <v>9051</v>
      </c>
      <c r="C643" t="s">
        <v>19</v>
      </c>
      <c r="D643" t="s">
        <v>19</v>
      </c>
      <c r="E643" s="2">
        <v>46105</v>
      </c>
      <c r="F643" s="2">
        <v>46101</v>
      </c>
      <c r="G643" t="s">
        <v>34</v>
      </c>
      <c r="H643">
        <v>261723050</v>
      </c>
      <c r="I643">
        <v>250563050</v>
      </c>
      <c r="J643">
        <v>5060000</v>
      </c>
      <c r="K643">
        <v>9220000</v>
      </c>
      <c r="L643">
        <v>0</v>
      </c>
      <c r="M643">
        <f>I643-(H643+J643-K643)- L643</f>
        <v>-7000000</v>
      </c>
      <c r="N643" t="str">
        <f>IF(M643=0,"Cuadrado",IF(M643&gt;0,"Faltante","Sobrante"))</f>
        <v>Sobrante</v>
      </c>
      <c r="O643" t="s">
        <v>21</v>
      </c>
      <c r="P643">
        <v>52539189</v>
      </c>
    </row>
    <row r="644" spans="1:16" hidden="1" x14ac:dyDescent="0.35">
      <c r="A644">
        <v>467</v>
      </c>
      <c r="B644">
        <v>9051</v>
      </c>
      <c r="C644" t="s">
        <v>19</v>
      </c>
      <c r="D644" t="s">
        <v>19</v>
      </c>
      <c r="E644" s="2">
        <v>46100</v>
      </c>
      <c r="F644" s="2">
        <v>46099</v>
      </c>
      <c r="G644" t="s">
        <v>137</v>
      </c>
      <c r="H644">
        <v>468828650</v>
      </c>
      <c r="I644">
        <v>389935050</v>
      </c>
      <c r="J644" t="s">
        <v>98</v>
      </c>
      <c r="K644" t="s">
        <v>98</v>
      </c>
      <c r="M644" t="e">
        <f>I644-(H644+J644-K644)- L644</f>
        <v>#VALUE!</v>
      </c>
      <c r="N644" t="e">
        <f>IF(M644=0,"Cuadrado",IF(M644&gt;0,"Faltante","Sobrante"))</f>
        <v>#VALUE!</v>
      </c>
      <c r="O644" t="s">
        <v>95</v>
      </c>
      <c r="P644">
        <v>52539189</v>
      </c>
    </row>
    <row r="645" spans="1:16" hidden="1" x14ac:dyDescent="0.35">
      <c r="A645">
        <v>467</v>
      </c>
      <c r="B645">
        <v>9051</v>
      </c>
      <c r="C645" t="s">
        <v>19</v>
      </c>
      <c r="D645" t="s">
        <v>19</v>
      </c>
      <c r="E645" s="2">
        <v>46097</v>
      </c>
      <c r="F645" s="2">
        <v>46094</v>
      </c>
      <c r="G645" t="s">
        <v>238</v>
      </c>
      <c r="H645">
        <v>197423150</v>
      </c>
      <c r="I645">
        <v>111167050</v>
      </c>
      <c r="J645">
        <v>23350000</v>
      </c>
      <c r="K645">
        <v>33723000</v>
      </c>
      <c r="M645">
        <f>I645-(H645+J645-K645)- L645</f>
        <v>-75883100</v>
      </c>
      <c r="N645" t="str">
        <f>IF(M645=0,"Cuadrado",IF(M645&gt;0,"Faltante","Sobrante"))</f>
        <v>Sobrante</v>
      </c>
      <c r="P645">
        <v>52539189</v>
      </c>
    </row>
    <row r="646" spans="1:16" hidden="1" x14ac:dyDescent="0.35">
      <c r="A646">
        <v>467</v>
      </c>
      <c r="B646">
        <v>9052</v>
      </c>
      <c r="C646" t="s">
        <v>19</v>
      </c>
      <c r="D646" t="s">
        <v>19</v>
      </c>
      <c r="E646" s="2">
        <v>46097</v>
      </c>
      <c r="F646" s="2">
        <v>46094</v>
      </c>
      <c r="G646" t="s">
        <v>220</v>
      </c>
      <c r="H646">
        <v>180243200</v>
      </c>
      <c r="I646">
        <v>174904050</v>
      </c>
      <c r="J646">
        <v>12240000</v>
      </c>
      <c r="K646">
        <v>16331000</v>
      </c>
      <c r="M646">
        <f>I646-(H646+J646-K646)- L646</f>
        <v>-1248150</v>
      </c>
      <c r="N646" t="str">
        <f>IF(M646=0,"Cuadrado",IF(M646&gt;0,"Faltante","Sobrante"))</f>
        <v>Sobrante</v>
      </c>
      <c r="P646">
        <v>52539189</v>
      </c>
    </row>
    <row r="647" spans="1:16" hidden="1" x14ac:dyDescent="0.35">
      <c r="A647">
        <v>20</v>
      </c>
      <c r="B647">
        <v>9204</v>
      </c>
      <c r="C647" t="s">
        <v>19</v>
      </c>
      <c r="D647" t="s">
        <v>19</v>
      </c>
      <c r="E647" s="2">
        <v>46101</v>
      </c>
      <c r="F647" s="2">
        <v>46100</v>
      </c>
      <c r="G647" t="s">
        <v>81</v>
      </c>
      <c r="H647">
        <v>86684400</v>
      </c>
      <c r="I647">
        <v>88794100</v>
      </c>
      <c r="J647">
        <v>7630000</v>
      </c>
      <c r="K647">
        <v>6000000</v>
      </c>
      <c r="M647">
        <f>I647-(H647+J647-K647)- L647</f>
        <v>479700</v>
      </c>
      <c r="N647" t="str">
        <f>IF(M647=0,"Cuadrado",IF(M647&gt;0,"Faltante","Sobrante"))</f>
        <v>Faltante</v>
      </c>
      <c r="O647" t="s">
        <v>49</v>
      </c>
      <c r="P647">
        <v>91232943</v>
      </c>
    </row>
    <row r="648" spans="1:16" hidden="1" x14ac:dyDescent="0.35">
      <c r="A648">
        <v>20</v>
      </c>
      <c r="B648">
        <v>9204</v>
      </c>
      <c r="C648" t="s">
        <v>19</v>
      </c>
      <c r="D648" t="s">
        <v>19</v>
      </c>
      <c r="E648" s="2">
        <v>46094</v>
      </c>
      <c r="F648" s="2">
        <v>46093</v>
      </c>
      <c r="G648" t="s">
        <v>293</v>
      </c>
      <c r="H648">
        <v>84670650</v>
      </c>
      <c r="I648">
        <v>23463350</v>
      </c>
      <c r="J648">
        <v>30000000</v>
      </c>
      <c r="K648">
        <v>12906000</v>
      </c>
      <c r="L648">
        <v>-78755000</v>
      </c>
      <c r="M648">
        <f>I648-(H648+J648-K648)- L648</f>
        <v>453700</v>
      </c>
      <c r="N648" t="str">
        <f>IF(M648=0,"Cuadrado",IF(M648&gt;0,"Faltante","Sobrante"))</f>
        <v>Faltante</v>
      </c>
      <c r="O648" t="s">
        <v>59</v>
      </c>
      <c r="P648">
        <v>91232943</v>
      </c>
    </row>
    <row r="649" spans="1:16" hidden="1" x14ac:dyDescent="0.35">
      <c r="A649">
        <v>845</v>
      </c>
      <c r="B649">
        <v>9232</v>
      </c>
      <c r="C649" t="s">
        <v>19</v>
      </c>
      <c r="D649" t="s">
        <v>19</v>
      </c>
      <c r="E649" s="2">
        <v>46094</v>
      </c>
      <c r="F649" s="2">
        <v>46093</v>
      </c>
      <c r="G649" t="s">
        <v>294</v>
      </c>
      <c r="H649">
        <v>22717200</v>
      </c>
      <c r="I649">
        <v>104947200</v>
      </c>
      <c r="J649">
        <v>23260000</v>
      </c>
      <c r="K649">
        <v>39110000</v>
      </c>
      <c r="L649">
        <v>98080000</v>
      </c>
      <c r="M649">
        <f>I649-(H649+J649-K649)- L649</f>
        <v>0</v>
      </c>
      <c r="N649" t="str">
        <f>IF(M649=0,"Cuadrado",IF(M649&gt;0,"Faltante","Sobrante"))</f>
        <v>Cuadrado</v>
      </c>
      <c r="O649" t="s">
        <v>37</v>
      </c>
      <c r="P649">
        <v>1081413503</v>
      </c>
    </row>
    <row r="650" spans="1:16" x14ac:dyDescent="0.35">
      <c r="A650">
        <v>845</v>
      </c>
      <c r="B650">
        <v>9232</v>
      </c>
      <c r="C650" t="s">
        <v>19</v>
      </c>
      <c r="D650" t="s">
        <v>19</v>
      </c>
      <c r="E650" s="2">
        <v>46106</v>
      </c>
      <c r="F650" s="2">
        <v>46105</v>
      </c>
      <c r="G650" t="s">
        <v>306</v>
      </c>
      <c r="H650">
        <v>432317300</v>
      </c>
      <c r="I650">
        <v>451647300</v>
      </c>
      <c r="J650">
        <v>19330000</v>
      </c>
      <c r="K650">
        <v>0</v>
      </c>
      <c r="L650">
        <f>0</f>
        <v>0</v>
      </c>
      <c r="M650">
        <f>I650-(H650+J650-K650)- L650</f>
        <v>0</v>
      </c>
      <c r="N650" t="str">
        <f>IF(M650=0,"Cuadrado",IF(M650&gt;0,"Faltante","Sobrante"))</f>
        <v>Cuadrado</v>
      </c>
      <c r="O650" t="s">
        <v>37</v>
      </c>
      <c r="P650">
        <v>1081413503</v>
      </c>
    </row>
    <row r="651" spans="1:16" hidden="1" x14ac:dyDescent="0.35">
      <c r="A651">
        <v>959</v>
      </c>
      <c r="B651">
        <v>9265</v>
      </c>
      <c r="C651" t="s">
        <v>16</v>
      </c>
      <c r="D651" t="s">
        <v>16</v>
      </c>
      <c r="E651" s="2">
        <v>46098</v>
      </c>
      <c r="F651" s="2">
        <v>46097</v>
      </c>
      <c r="G651" t="s">
        <v>38</v>
      </c>
      <c r="H651">
        <v>49949000</v>
      </c>
      <c r="I651">
        <v>49469000</v>
      </c>
      <c r="J651">
        <v>0</v>
      </c>
      <c r="K651">
        <v>0</v>
      </c>
      <c r="L651">
        <v>0</v>
      </c>
      <c r="M651">
        <f>I651-(H651+J651-K651)- L651</f>
        <v>-480000</v>
      </c>
      <c r="N651" t="str">
        <f>IF(M651=0,"Cuadrado",IF(M651&gt;0,"Faltante","Sobrante"))</f>
        <v>Sobrante</v>
      </c>
      <c r="P651">
        <v>1028002263</v>
      </c>
    </row>
    <row r="652" spans="1:16" hidden="1" x14ac:dyDescent="0.35">
      <c r="A652">
        <v>64</v>
      </c>
      <c r="B652">
        <v>9306</v>
      </c>
      <c r="C652" t="s">
        <v>19</v>
      </c>
      <c r="D652" t="s">
        <v>19</v>
      </c>
      <c r="E652" s="2">
        <v>46099</v>
      </c>
      <c r="F652" s="2">
        <v>46098</v>
      </c>
      <c r="G652" t="s">
        <v>195</v>
      </c>
      <c r="H652">
        <v>206949650</v>
      </c>
      <c r="I652">
        <v>221375650</v>
      </c>
      <c r="J652">
        <v>29670000</v>
      </c>
      <c r="K652">
        <v>11410000</v>
      </c>
      <c r="M652">
        <f>I652-(H652+J652-K652)- L652</f>
        <v>-3834000</v>
      </c>
      <c r="N652" t="str">
        <f>IF(M652=0,"Cuadrado",IF(M652&gt;0,"Faltante","Sobrante"))</f>
        <v>Sobrante</v>
      </c>
      <c r="O652" t="s">
        <v>156</v>
      </c>
    </row>
    <row r="653" spans="1:16" hidden="1" x14ac:dyDescent="0.35">
      <c r="A653">
        <v>451</v>
      </c>
      <c r="B653">
        <v>9434</v>
      </c>
      <c r="C653" t="s">
        <v>19</v>
      </c>
      <c r="D653" t="s">
        <v>19</v>
      </c>
      <c r="E653" s="2">
        <v>46094</v>
      </c>
      <c r="F653" s="2">
        <v>46093</v>
      </c>
      <c r="G653" t="s">
        <v>307</v>
      </c>
      <c r="H653">
        <v>27158350</v>
      </c>
      <c r="I653">
        <v>40528350</v>
      </c>
      <c r="J653">
        <v>13370000</v>
      </c>
      <c r="K653">
        <v>0</v>
      </c>
      <c r="M653">
        <f>I653-(H653+J653-K653)- L653</f>
        <v>0</v>
      </c>
      <c r="N653" t="str">
        <f>IF(M653=0,"Cuadrado",IF(M653&gt;0,"Faltante","Sobrante"))</f>
        <v>Cuadrado</v>
      </c>
      <c r="O653" t="s">
        <v>37</v>
      </c>
      <c r="P653">
        <v>1123206969</v>
      </c>
    </row>
    <row r="654" spans="1:16" hidden="1" x14ac:dyDescent="0.35">
      <c r="A654">
        <v>451</v>
      </c>
      <c r="B654">
        <v>9434</v>
      </c>
      <c r="C654" t="s">
        <v>19</v>
      </c>
      <c r="D654" t="s">
        <v>19</v>
      </c>
      <c r="E654" s="2">
        <v>46091</v>
      </c>
      <c r="F654" s="2">
        <v>46090</v>
      </c>
      <c r="G654" t="s">
        <v>391</v>
      </c>
      <c r="H654">
        <v>99399350</v>
      </c>
      <c r="I654">
        <v>-285680200</v>
      </c>
      <c r="J654">
        <v>123550000</v>
      </c>
      <c r="K654">
        <v>23629550</v>
      </c>
      <c r="L654">
        <v>-485000000</v>
      </c>
      <c r="M654">
        <f>I654-(H654+J654-K654)- L654</f>
        <v>0</v>
      </c>
      <c r="N654" t="str">
        <f>IF(M654=0,"Cuadrado",IF(M654&gt;0,"Faltante","Sobrante"))</f>
        <v>Cuadrado</v>
      </c>
      <c r="O654" t="s">
        <v>37</v>
      </c>
      <c r="P654">
        <v>1123206969</v>
      </c>
    </row>
    <row r="655" spans="1:16" hidden="1" x14ac:dyDescent="0.35">
      <c r="A655">
        <v>451</v>
      </c>
      <c r="B655">
        <v>9434</v>
      </c>
      <c r="C655" t="s">
        <v>19</v>
      </c>
      <c r="D655" t="s">
        <v>19</v>
      </c>
      <c r="E655" s="2">
        <v>46086</v>
      </c>
      <c r="F655" s="2">
        <v>46084</v>
      </c>
      <c r="G655" t="s">
        <v>479</v>
      </c>
      <c r="H655">
        <v>140519800</v>
      </c>
      <c r="I655">
        <v>-274620200</v>
      </c>
      <c r="J655">
        <v>67360000</v>
      </c>
      <c r="K655">
        <v>27500000</v>
      </c>
      <c r="L655">
        <v>-142757000</v>
      </c>
      <c r="M655">
        <f>I655-(H655+J655-K655)- L655</f>
        <v>-312243000</v>
      </c>
      <c r="N655" t="str">
        <f>IF(M655=0,"Cuadrado",IF(M655&gt;0,"Faltante","Sobrante"))</f>
        <v>Sobrante</v>
      </c>
      <c r="O655" t="s">
        <v>260</v>
      </c>
      <c r="P655">
        <v>1123206969</v>
      </c>
    </row>
    <row r="656" spans="1:16" hidden="1" x14ac:dyDescent="0.35">
      <c r="A656">
        <v>957</v>
      </c>
      <c r="B656">
        <v>9512</v>
      </c>
      <c r="C656" t="s">
        <v>19</v>
      </c>
      <c r="D656" t="s">
        <v>19</v>
      </c>
      <c r="E656" s="2">
        <v>46093</v>
      </c>
      <c r="F656" s="2">
        <v>46092</v>
      </c>
      <c r="G656" t="s">
        <v>344</v>
      </c>
      <c r="H656">
        <v>177716500</v>
      </c>
      <c r="I656">
        <v>169729500</v>
      </c>
      <c r="J656">
        <v>7910000</v>
      </c>
      <c r="K656">
        <v>15947000</v>
      </c>
      <c r="M656">
        <f>I656-(H656+J656-K656)- L656</f>
        <v>50000</v>
      </c>
      <c r="N656" t="str">
        <f>IF(M656=0,"Cuadrado",IF(M656&gt;0,"Faltante","Sobrante"))</f>
        <v>Faltante</v>
      </c>
      <c r="O656" t="s">
        <v>59</v>
      </c>
      <c r="P656">
        <v>72290314</v>
      </c>
    </row>
    <row r="657" spans="1:16" hidden="1" x14ac:dyDescent="0.35">
      <c r="A657">
        <v>957</v>
      </c>
      <c r="B657">
        <v>9513</v>
      </c>
      <c r="C657" t="s">
        <v>19</v>
      </c>
      <c r="D657" t="s">
        <v>19</v>
      </c>
      <c r="E657" s="2">
        <v>46093</v>
      </c>
      <c r="F657" s="2">
        <v>46092</v>
      </c>
      <c r="G657" t="s">
        <v>318</v>
      </c>
      <c r="H657">
        <v>87742600</v>
      </c>
      <c r="I657">
        <v>63605900</v>
      </c>
      <c r="J657">
        <v>10600000</v>
      </c>
      <c r="K657">
        <v>35691000</v>
      </c>
      <c r="M657">
        <f>I657-(H657+J657-K657)- L657</f>
        <v>954300</v>
      </c>
      <c r="N657" t="str">
        <f>IF(M657=0,"Cuadrado",IF(M657&gt;0,"Faltante","Sobrante"))</f>
        <v>Faltante</v>
      </c>
      <c r="O657" t="s">
        <v>332</v>
      </c>
      <c r="P657">
        <v>72290314</v>
      </c>
    </row>
    <row r="658" spans="1:16" hidden="1" x14ac:dyDescent="0.35">
      <c r="A658">
        <v>367</v>
      </c>
      <c r="B658">
        <v>9580</v>
      </c>
      <c r="C658" t="s">
        <v>19</v>
      </c>
      <c r="D658" t="s">
        <v>19</v>
      </c>
      <c r="E658" s="2">
        <v>46094</v>
      </c>
      <c r="F658" s="2">
        <v>46093</v>
      </c>
      <c r="G658" t="s">
        <v>295</v>
      </c>
      <c r="H658">
        <v>80296800</v>
      </c>
      <c r="I658">
        <v>90454800</v>
      </c>
      <c r="J658">
        <v>10350000</v>
      </c>
      <c r="K658">
        <v>102000</v>
      </c>
      <c r="M658">
        <f>I658-(H658+J658-K658)- L658</f>
        <v>-90000</v>
      </c>
      <c r="N658" t="str">
        <f>IF(M658=0,"Cuadrado",IF(M658&gt;0,"Faltante","Sobrante"))</f>
        <v>Sobrante</v>
      </c>
      <c r="O658" t="s">
        <v>245</v>
      </c>
      <c r="P658">
        <v>1120360426</v>
      </c>
    </row>
    <row r="659" spans="1:16" hidden="1" x14ac:dyDescent="0.35">
      <c r="A659">
        <v>367</v>
      </c>
      <c r="B659">
        <v>9580</v>
      </c>
      <c r="C659" t="s">
        <v>19</v>
      </c>
      <c r="D659" t="s">
        <v>19</v>
      </c>
      <c r="E659" s="2">
        <v>46091</v>
      </c>
      <c r="F659" s="2">
        <v>46090</v>
      </c>
      <c r="G659" t="s">
        <v>106</v>
      </c>
      <c r="H659">
        <v>111885800</v>
      </c>
      <c r="I659">
        <v>99855800</v>
      </c>
      <c r="J659">
        <v>21780000</v>
      </c>
      <c r="K659">
        <v>33900000</v>
      </c>
      <c r="L659">
        <v>90000</v>
      </c>
      <c r="M659">
        <f>I659-(H659+J659-K659)- L659</f>
        <v>0</v>
      </c>
      <c r="N659" t="str">
        <f>IF(M659=0,"Cuadrado",IF(M659&gt;0,"Faltante","Sobrante"))</f>
        <v>Cuadrado</v>
      </c>
      <c r="O659" t="s">
        <v>399</v>
      </c>
      <c r="P659">
        <v>1120360426</v>
      </c>
    </row>
    <row r="660" spans="1:16" hidden="1" x14ac:dyDescent="0.35">
      <c r="A660">
        <v>367</v>
      </c>
      <c r="B660">
        <v>9580</v>
      </c>
      <c r="C660" t="s">
        <v>19</v>
      </c>
      <c r="D660" t="s">
        <v>19</v>
      </c>
      <c r="E660" s="2">
        <v>46087</v>
      </c>
      <c r="F660" s="2">
        <v>46086</v>
      </c>
      <c r="G660" t="s">
        <v>112</v>
      </c>
      <c r="H660">
        <v>61065800</v>
      </c>
      <c r="I660">
        <v>65582800</v>
      </c>
      <c r="J660">
        <v>22210000</v>
      </c>
      <c r="K660">
        <v>13800000</v>
      </c>
      <c r="M660">
        <f>I660-(H660+J660-K660)- L660</f>
        <v>-3893000</v>
      </c>
      <c r="N660" t="str">
        <f>IF(M660=0,"Cuadrado",IF(M660&gt;0,"Faltante","Sobrante"))</f>
        <v>Sobrante</v>
      </c>
      <c r="O660" t="s">
        <v>423</v>
      </c>
      <c r="P660">
        <v>35264438</v>
      </c>
    </row>
    <row r="661" spans="1:16" hidden="1" x14ac:dyDescent="0.35">
      <c r="A661">
        <v>890</v>
      </c>
      <c r="B661">
        <v>9584</v>
      </c>
      <c r="C661" t="s">
        <v>19</v>
      </c>
      <c r="D661" t="s">
        <v>19</v>
      </c>
      <c r="E661" s="2">
        <v>46105</v>
      </c>
      <c r="F661" s="2">
        <v>46101</v>
      </c>
      <c r="G661" t="s">
        <v>35</v>
      </c>
      <c r="H661">
        <v>223123850</v>
      </c>
      <c r="I661">
        <v>221793850</v>
      </c>
      <c r="J661">
        <v>2920000</v>
      </c>
      <c r="K661">
        <v>4200000</v>
      </c>
      <c r="L661">
        <v>0</v>
      </c>
      <c r="M661">
        <f>I661-(H661+J661-K661)- L661</f>
        <v>-50000</v>
      </c>
      <c r="N661" t="str">
        <f>IF(M661=0,"Cuadrado",IF(M661&gt;0,"Faltante","Sobrante"))</f>
        <v>Sobrante</v>
      </c>
      <c r="O661" t="s">
        <v>21</v>
      </c>
      <c r="P661">
        <v>1006821894</v>
      </c>
    </row>
    <row r="662" spans="1:16" hidden="1" x14ac:dyDescent="0.35">
      <c r="A662">
        <v>890</v>
      </c>
      <c r="B662">
        <v>9584</v>
      </c>
      <c r="C662" t="s">
        <v>19</v>
      </c>
      <c r="D662" t="s">
        <v>19</v>
      </c>
      <c r="E662" s="2">
        <v>46100</v>
      </c>
      <c r="F662" s="2">
        <v>46099</v>
      </c>
      <c r="G662" t="s">
        <v>154</v>
      </c>
      <c r="H662">
        <v>337009100</v>
      </c>
      <c r="I662">
        <v>309249100</v>
      </c>
      <c r="J662">
        <v>5450000</v>
      </c>
      <c r="K662">
        <v>33210000</v>
      </c>
      <c r="M662">
        <f>I662-(H662+J662-K662)- L662</f>
        <v>0</v>
      </c>
      <c r="N662" t="str">
        <f>IF(M662=0,"Cuadrado",IF(M662&gt;0,"Faltante","Sobrante"))</f>
        <v>Cuadrado</v>
      </c>
      <c r="O662" t="s">
        <v>37</v>
      </c>
      <c r="P662">
        <v>1053835867</v>
      </c>
    </row>
    <row r="663" spans="1:16" hidden="1" x14ac:dyDescent="0.35">
      <c r="A663">
        <v>890</v>
      </c>
      <c r="B663">
        <v>9584</v>
      </c>
      <c r="C663" t="s">
        <v>19</v>
      </c>
      <c r="D663" t="s">
        <v>19</v>
      </c>
      <c r="E663" s="2">
        <v>46098</v>
      </c>
      <c r="F663" s="2">
        <v>46097</v>
      </c>
      <c r="G663" t="s">
        <v>77</v>
      </c>
      <c r="H663">
        <v>69398800</v>
      </c>
      <c r="I663">
        <v>50518800</v>
      </c>
      <c r="J663">
        <v>3670000</v>
      </c>
      <c r="K663">
        <v>22550000</v>
      </c>
      <c r="L663">
        <v>0</v>
      </c>
      <c r="M663">
        <f>I663-(H663+J663-K663)- L663</f>
        <v>0</v>
      </c>
      <c r="N663" t="str">
        <f>IF(M663=0,"Cuadrado",IF(M663&gt;0,"Faltante","Sobrante"))</f>
        <v>Cuadrado</v>
      </c>
      <c r="O663" t="s">
        <v>37</v>
      </c>
      <c r="P663">
        <v>1053835867</v>
      </c>
    </row>
    <row r="664" spans="1:16" hidden="1" x14ac:dyDescent="0.35">
      <c r="A664">
        <v>890</v>
      </c>
      <c r="B664">
        <v>9584</v>
      </c>
      <c r="C664" t="s">
        <v>19</v>
      </c>
      <c r="D664" t="s">
        <v>19</v>
      </c>
      <c r="E664" s="2">
        <v>46092</v>
      </c>
      <c r="F664" s="2">
        <v>46091</v>
      </c>
      <c r="G664" t="s">
        <v>372</v>
      </c>
      <c r="H664">
        <v>57023150</v>
      </c>
      <c r="I664">
        <v>50063150</v>
      </c>
      <c r="J664">
        <v>0</v>
      </c>
      <c r="K664">
        <v>0</v>
      </c>
      <c r="L664">
        <v>-6960000</v>
      </c>
      <c r="M664">
        <f>I664-(H664+J664-K664)- L664</f>
        <v>0</v>
      </c>
      <c r="N664" t="str">
        <f>IF(M664=0,"Cuadrado",IF(M664&gt;0,"Faltante","Sobrante"))</f>
        <v>Cuadrado</v>
      </c>
      <c r="O664" t="s">
        <v>37</v>
      </c>
      <c r="P664">
        <v>1053835867</v>
      </c>
    </row>
    <row r="665" spans="1:16" hidden="1" x14ac:dyDescent="0.35">
      <c r="A665">
        <v>890</v>
      </c>
      <c r="B665">
        <v>9584</v>
      </c>
      <c r="C665" t="s">
        <v>19</v>
      </c>
      <c r="D665" t="s">
        <v>19</v>
      </c>
      <c r="E665" s="2">
        <v>46091</v>
      </c>
      <c r="F665" s="2">
        <v>46090</v>
      </c>
      <c r="G665" t="s">
        <v>358</v>
      </c>
      <c r="H665">
        <v>11069150</v>
      </c>
      <c r="I665">
        <v>122262150</v>
      </c>
      <c r="J665">
        <v>2690000</v>
      </c>
      <c r="K665">
        <v>1434000</v>
      </c>
      <c r="L665">
        <v>116897000</v>
      </c>
      <c r="M665">
        <f>I665-(H665+J665-K665)- L665</f>
        <v>-6960000</v>
      </c>
      <c r="N665" t="str">
        <f>IF(M665=0,"Cuadrado",IF(M665&gt;0,"Faltante","Sobrante"))</f>
        <v>Sobrante</v>
      </c>
      <c r="O665" t="s">
        <v>383</v>
      </c>
      <c r="P665">
        <v>1053835867</v>
      </c>
    </row>
    <row r="666" spans="1:16" hidden="1" x14ac:dyDescent="0.35">
      <c r="A666">
        <v>890</v>
      </c>
      <c r="B666">
        <v>9584</v>
      </c>
      <c r="C666" t="s">
        <v>19</v>
      </c>
      <c r="D666" t="s">
        <v>19</v>
      </c>
      <c r="E666" s="2">
        <v>46086</v>
      </c>
      <c r="F666" s="2">
        <v>46085</v>
      </c>
      <c r="G666" t="s">
        <v>127</v>
      </c>
      <c r="H666">
        <v>238430950</v>
      </c>
      <c r="I666">
        <v>249230950</v>
      </c>
      <c r="J666">
        <v>14200000</v>
      </c>
      <c r="K666">
        <v>3400000</v>
      </c>
      <c r="M666">
        <f>I666-(H666+J666-K666)- L666</f>
        <v>0</v>
      </c>
      <c r="N666" t="str">
        <f>IF(M666=0,"Cuadrado",IF(M666&gt;0,"Faltante","Sobrante"))</f>
        <v>Cuadrado</v>
      </c>
      <c r="O666" t="s">
        <v>37</v>
      </c>
      <c r="P666">
        <v>1053835867</v>
      </c>
    </row>
    <row r="667" spans="1:16" x14ac:dyDescent="0.35">
      <c r="A667">
        <v>890</v>
      </c>
      <c r="B667">
        <v>9584</v>
      </c>
      <c r="C667" t="s">
        <v>19</v>
      </c>
      <c r="D667" t="s">
        <v>19</v>
      </c>
      <c r="E667" s="2">
        <v>46106</v>
      </c>
      <c r="F667" s="2">
        <v>46105</v>
      </c>
      <c r="G667" t="s">
        <v>516</v>
      </c>
      <c r="H667">
        <v>196852200</v>
      </c>
      <c r="I667">
        <v>105440200</v>
      </c>
      <c r="J667">
        <v>11300000</v>
      </c>
      <c r="K667">
        <v>92662000</v>
      </c>
      <c r="L667">
        <f>-50000</f>
        <v>-50000</v>
      </c>
      <c r="M667">
        <f>I667-(H667+J667-K667)- L667</f>
        <v>-10000000</v>
      </c>
      <c r="N667" t="str">
        <f>IF(M667=0,"Cuadrado",IF(M667&gt;0,"Faltante","Sobrante"))</f>
        <v>Sobrante</v>
      </c>
      <c r="O667" t="s">
        <v>515</v>
      </c>
      <c r="P667">
        <v>1053835867</v>
      </c>
    </row>
    <row r="668" spans="1:16" hidden="1" x14ac:dyDescent="0.35">
      <c r="A668">
        <v>229</v>
      </c>
      <c r="B668">
        <v>9604</v>
      </c>
      <c r="C668" t="s">
        <v>19</v>
      </c>
      <c r="D668" t="s">
        <v>19</v>
      </c>
      <c r="E668" s="2">
        <v>46092</v>
      </c>
      <c r="F668" s="2">
        <v>46091</v>
      </c>
      <c r="G668" t="s">
        <v>25</v>
      </c>
      <c r="H668">
        <v>185072000</v>
      </c>
      <c r="I668">
        <v>177817050</v>
      </c>
      <c r="J668">
        <v>9210000</v>
      </c>
      <c r="K668">
        <v>16810000</v>
      </c>
      <c r="L668">
        <v>345050</v>
      </c>
      <c r="M668">
        <f>I668-(H668+J668-K668)- L668</f>
        <v>0</v>
      </c>
      <c r="N668" t="str">
        <f>IF(M668=0,"Cuadrado",IF(M668&gt;0,"Faltante","Sobrante"))</f>
        <v>Cuadrado</v>
      </c>
      <c r="O668" t="s">
        <v>373</v>
      </c>
      <c r="P668">
        <v>79653318</v>
      </c>
    </row>
    <row r="669" spans="1:16" hidden="1" x14ac:dyDescent="0.35">
      <c r="A669">
        <v>229</v>
      </c>
      <c r="B669">
        <v>9604</v>
      </c>
      <c r="C669" t="s">
        <v>19</v>
      </c>
      <c r="D669" t="s">
        <v>19</v>
      </c>
      <c r="E669" s="2">
        <v>46087</v>
      </c>
      <c r="F669" s="2">
        <v>46086</v>
      </c>
      <c r="G669" t="s">
        <v>462</v>
      </c>
      <c r="H669">
        <v>205966000</v>
      </c>
      <c r="I669">
        <v>195800100</v>
      </c>
      <c r="J669">
        <v>12880000</v>
      </c>
      <c r="K669">
        <v>22644950</v>
      </c>
      <c r="M669">
        <f>I669-(H669+J669-K669)- L669</f>
        <v>-400950</v>
      </c>
      <c r="N669" t="str">
        <f>IF(M669=0,"Cuadrado",IF(M669&gt;0,"Faltante","Sobrante"))</f>
        <v>Sobrante</v>
      </c>
      <c r="O669" t="s">
        <v>423</v>
      </c>
      <c r="P669">
        <v>79653318</v>
      </c>
    </row>
    <row r="670" spans="1:16" hidden="1" x14ac:dyDescent="0.35">
      <c r="A670">
        <v>229</v>
      </c>
      <c r="B670">
        <v>9605</v>
      </c>
      <c r="C670" t="s">
        <v>19</v>
      </c>
      <c r="D670" t="s">
        <v>19</v>
      </c>
      <c r="E670" s="2">
        <v>46094</v>
      </c>
      <c r="F670" s="2">
        <v>46093</v>
      </c>
      <c r="G670" t="s">
        <v>296</v>
      </c>
      <c r="H670">
        <v>150535100</v>
      </c>
      <c r="I670">
        <v>48733100</v>
      </c>
      <c r="J670">
        <v>26740000</v>
      </c>
      <c r="K670">
        <v>51602000</v>
      </c>
      <c r="M670">
        <f>I670-(H670+J670-K670)- L670</f>
        <v>-76940000</v>
      </c>
      <c r="N670" t="str">
        <f>IF(M670=0,"Cuadrado",IF(M670&gt;0,"Faltante","Sobrante"))</f>
        <v>Sobrante</v>
      </c>
      <c r="O670" t="s">
        <v>245</v>
      </c>
      <c r="P670">
        <v>79653318</v>
      </c>
    </row>
    <row r="671" spans="1:16" hidden="1" x14ac:dyDescent="0.35">
      <c r="A671">
        <v>229</v>
      </c>
      <c r="B671">
        <v>9605</v>
      </c>
      <c r="C671" t="s">
        <v>19</v>
      </c>
      <c r="D671" t="s">
        <v>19</v>
      </c>
      <c r="E671" s="2">
        <v>46092</v>
      </c>
      <c r="F671" s="2">
        <v>46091</v>
      </c>
      <c r="G671" t="s">
        <v>374</v>
      </c>
      <c r="H671">
        <v>182128200</v>
      </c>
      <c r="I671">
        <v>138128200</v>
      </c>
      <c r="J671">
        <v>14820000</v>
      </c>
      <c r="K671">
        <v>1810000</v>
      </c>
      <c r="M671">
        <f>I671-(H671+J671-K671)- L671</f>
        <v>-57010000</v>
      </c>
      <c r="N671" t="str">
        <f>IF(M671=0,"Cuadrado",IF(M671&gt;0,"Faltante","Sobrante"))</f>
        <v>Sobrante</v>
      </c>
      <c r="O671" t="s">
        <v>260</v>
      </c>
      <c r="P671">
        <v>79653318</v>
      </c>
    </row>
    <row r="672" spans="1:16" hidden="1" x14ac:dyDescent="0.35">
      <c r="A672">
        <v>551</v>
      </c>
      <c r="B672">
        <v>9643</v>
      </c>
      <c r="C672" t="s">
        <v>19</v>
      </c>
      <c r="D672" t="s">
        <v>19</v>
      </c>
      <c r="E672" s="2">
        <v>46097</v>
      </c>
      <c r="F672" s="2">
        <v>46094</v>
      </c>
      <c r="G672" t="s">
        <v>239</v>
      </c>
      <c r="H672">
        <v>317417400</v>
      </c>
      <c r="I672">
        <v>275536300</v>
      </c>
      <c r="J672">
        <v>11140000</v>
      </c>
      <c r="K672">
        <v>53010000</v>
      </c>
      <c r="M672">
        <f>I672-(H672+J672-K672)- L672</f>
        <v>-11100</v>
      </c>
      <c r="N672" t="str">
        <f>IF(M672=0,"Cuadrado",IF(M672&gt;0,"Faltante","Sobrante"))</f>
        <v>Sobrante</v>
      </c>
      <c r="P672">
        <v>1152213498</v>
      </c>
    </row>
    <row r="673" spans="1:16" hidden="1" x14ac:dyDescent="0.35">
      <c r="A673">
        <v>551</v>
      </c>
      <c r="B673">
        <v>9644</v>
      </c>
      <c r="C673" t="s">
        <v>19</v>
      </c>
      <c r="D673" t="s">
        <v>19</v>
      </c>
      <c r="E673" s="2">
        <v>46094</v>
      </c>
      <c r="F673" s="2">
        <v>46093</v>
      </c>
      <c r="G673" t="s">
        <v>297</v>
      </c>
      <c r="H673">
        <v>88807200</v>
      </c>
      <c r="I673">
        <v>62034200</v>
      </c>
      <c r="J673">
        <v>39040000</v>
      </c>
      <c r="K673">
        <v>50934000</v>
      </c>
      <c r="M673">
        <f>I673-(H673+J673-K673)- L673</f>
        <v>-14879000</v>
      </c>
      <c r="N673" t="str">
        <f>IF(M673=0,"Cuadrado",IF(M673&gt;0,"Faltante","Sobrante"))</f>
        <v>Sobrante</v>
      </c>
      <c r="O673" t="s">
        <v>245</v>
      </c>
      <c r="P673">
        <v>1152213498</v>
      </c>
    </row>
    <row r="674" spans="1:16" hidden="1" x14ac:dyDescent="0.35">
      <c r="A674">
        <v>551</v>
      </c>
      <c r="B674">
        <v>9644</v>
      </c>
      <c r="C674" t="s">
        <v>19</v>
      </c>
      <c r="D674" t="s">
        <v>19</v>
      </c>
      <c r="E674" s="2">
        <v>46085</v>
      </c>
      <c r="F674" s="2">
        <v>46084</v>
      </c>
      <c r="G674" t="s">
        <v>496</v>
      </c>
      <c r="H674">
        <v>389260600</v>
      </c>
      <c r="I674">
        <v>295698550</v>
      </c>
      <c r="J674">
        <v>54650000</v>
      </c>
      <c r="K674">
        <v>133333050</v>
      </c>
      <c r="M674">
        <f>I674-(H674+J674-K674)- L674</f>
        <v>-14879000</v>
      </c>
      <c r="N674" t="str">
        <f>IF(M674=0,"Cuadrado",IF(M674&gt;0,"Faltante","Sobrante"))</f>
        <v>Sobrante</v>
      </c>
      <c r="O674" t="s">
        <v>260</v>
      </c>
      <c r="P674">
        <v>1152213498</v>
      </c>
    </row>
    <row r="675" spans="1:16" hidden="1" x14ac:dyDescent="0.35">
      <c r="A675">
        <v>876</v>
      </c>
      <c r="B675">
        <v>9682</v>
      </c>
      <c r="C675" t="s">
        <v>19</v>
      </c>
      <c r="D675" t="s">
        <v>19</v>
      </c>
      <c r="E675" s="2">
        <v>46094</v>
      </c>
      <c r="F675" s="2">
        <v>46093</v>
      </c>
      <c r="G675" t="s">
        <v>68</v>
      </c>
      <c r="H675">
        <v>133251450</v>
      </c>
      <c r="I675">
        <v>108061450</v>
      </c>
      <c r="J675">
        <v>9460000</v>
      </c>
      <c r="K675">
        <v>34650000</v>
      </c>
      <c r="M675">
        <f>I675-(H675+J675-K675)- L675</f>
        <v>0</v>
      </c>
      <c r="N675" t="str">
        <f>IF(M675=0,"Cuadrado",IF(M675&gt;0,"Faltante","Sobrante"))</f>
        <v>Cuadrado</v>
      </c>
      <c r="O675" t="s">
        <v>37</v>
      </c>
      <c r="P675">
        <v>1002032451</v>
      </c>
    </row>
    <row r="676" spans="1:16" hidden="1" x14ac:dyDescent="0.35">
      <c r="A676">
        <v>876</v>
      </c>
      <c r="B676">
        <v>9682</v>
      </c>
      <c r="C676" t="s">
        <v>19</v>
      </c>
      <c r="D676" t="s">
        <v>19</v>
      </c>
      <c r="E676" s="2">
        <v>46084</v>
      </c>
      <c r="F676" s="2">
        <v>46083</v>
      </c>
      <c r="G676" t="s">
        <v>512</v>
      </c>
      <c r="H676">
        <v>504195450</v>
      </c>
      <c r="I676">
        <v>382634450</v>
      </c>
      <c r="J676">
        <v>7520000</v>
      </c>
      <c r="K676">
        <v>131620000</v>
      </c>
      <c r="L676">
        <v>2539000</v>
      </c>
      <c r="M676">
        <f>I676-(H676+J676-K676)- L676</f>
        <v>0</v>
      </c>
      <c r="N676" t="str">
        <f>IF(M676=0,"Cuadrado",IF(M676&gt;0,"Faltante","Sobrante"))</f>
        <v>Cuadrado</v>
      </c>
      <c r="O676" t="s">
        <v>513</v>
      </c>
      <c r="P676">
        <v>1002032451</v>
      </c>
    </row>
    <row r="677" spans="1:16" hidden="1" x14ac:dyDescent="0.35">
      <c r="A677">
        <v>849</v>
      </c>
      <c r="B677">
        <v>9724</v>
      </c>
      <c r="C677" t="s">
        <v>19</v>
      </c>
      <c r="D677" t="s">
        <v>19</v>
      </c>
      <c r="E677" s="2">
        <v>46092</v>
      </c>
      <c r="F677" s="2">
        <v>46091</v>
      </c>
      <c r="G677" t="s">
        <v>293</v>
      </c>
      <c r="H677">
        <v>31837750</v>
      </c>
      <c r="I677">
        <v>233606750</v>
      </c>
      <c r="J677">
        <v>9030000</v>
      </c>
      <c r="K677">
        <v>14470000</v>
      </c>
      <c r="L677">
        <v>207209000</v>
      </c>
      <c r="M677">
        <f>I677-(H677+J677-K677)- L677</f>
        <v>0</v>
      </c>
      <c r="N677" t="str">
        <f>IF(M677=0,"Cuadrado",IF(M677&gt;0,"Faltante","Sobrante"))</f>
        <v>Cuadrado</v>
      </c>
      <c r="O677" t="s">
        <v>37</v>
      </c>
      <c r="P677">
        <v>86063461</v>
      </c>
    </row>
    <row r="678" spans="1:16" hidden="1" x14ac:dyDescent="0.35">
      <c r="A678">
        <v>849</v>
      </c>
      <c r="B678">
        <v>9724</v>
      </c>
      <c r="C678" t="s">
        <v>19</v>
      </c>
      <c r="D678" t="s">
        <v>19</v>
      </c>
      <c r="E678" s="2">
        <v>46086</v>
      </c>
      <c r="F678" s="2">
        <v>46085</v>
      </c>
      <c r="G678" t="s">
        <v>487</v>
      </c>
      <c r="H678">
        <v>224399300</v>
      </c>
      <c r="I678">
        <v>271496200</v>
      </c>
      <c r="J678">
        <v>53220000</v>
      </c>
      <c r="K678">
        <v>239372100</v>
      </c>
      <c r="L678">
        <v>245249000</v>
      </c>
      <c r="M678">
        <f>I678-(H678+J678-K678)- L678</f>
        <v>-12000000</v>
      </c>
      <c r="N678" t="str">
        <f>IF(M678=0,"Cuadrado",IF(M678&gt;0,"Faltante","Sobrante"))</f>
        <v>Sobrante</v>
      </c>
      <c r="O678" t="s">
        <v>467</v>
      </c>
      <c r="P678">
        <v>86063461</v>
      </c>
    </row>
    <row r="679" spans="1:16" hidden="1" x14ac:dyDescent="0.35">
      <c r="A679">
        <v>849</v>
      </c>
      <c r="B679">
        <v>9724</v>
      </c>
      <c r="C679" t="s">
        <v>19</v>
      </c>
      <c r="D679" t="s">
        <v>19</v>
      </c>
      <c r="E679" s="2">
        <v>46084</v>
      </c>
      <c r="F679" s="2">
        <v>46083</v>
      </c>
      <c r="G679" t="s">
        <v>322</v>
      </c>
      <c r="H679">
        <v>179585400</v>
      </c>
      <c r="I679">
        <v>169885400</v>
      </c>
      <c r="J679">
        <v>0</v>
      </c>
      <c r="K679">
        <v>0</v>
      </c>
      <c r="M679">
        <f>I679-(H679+J679-K679)- L679</f>
        <v>-9700000</v>
      </c>
      <c r="N679" t="str">
        <f>IF(M679=0,"Cuadrado",IF(M679&gt;0,"Faltante","Sobrante"))</f>
        <v>Sobrante</v>
      </c>
      <c r="O679" t="s">
        <v>504</v>
      </c>
      <c r="P679">
        <v>86063461</v>
      </c>
    </row>
    <row r="680" spans="1:16" hidden="1" x14ac:dyDescent="0.35">
      <c r="A680">
        <v>849</v>
      </c>
      <c r="B680">
        <v>9725</v>
      </c>
      <c r="C680" t="s">
        <v>19</v>
      </c>
      <c r="D680" t="s">
        <v>19</v>
      </c>
      <c r="E680" s="2">
        <v>46094</v>
      </c>
      <c r="F680" s="2">
        <v>46093</v>
      </c>
      <c r="G680" t="s">
        <v>298</v>
      </c>
      <c r="H680">
        <v>163977200</v>
      </c>
      <c r="I680">
        <v>162247200</v>
      </c>
      <c r="J680">
        <v>6300000</v>
      </c>
      <c r="K680">
        <v>8000000</v>
      </c>
      <c r="M680">
        <f>I680-(H680+J680-K680)- L680</f>
        <v>-30000</v>
      </c>
      <c r="N680" t="str">
        <f>IF(M680=0,"Cuadrado",IF(M680&gt;0,"Faltante","Sobrante"))</f>
        <v>Sobrante</v>
      </c>
      <c r="O680" t="s">
        <v>245</v>
      </c>
      <c r="P680">
        <v>86063461</v>
      </c>
    </row>
    <row r="681" spans="1:16" hidden="1" x14ac:dyDescent="0.35">
      <c r="A681">
        <v>849</v>
      </c>
      <c r="B681">
        <v>9725</v>
      </c>
      <c r="C681" t="s">
        <v>19</v>
      </c>
      <c r="D681" t="s">
        <v>19</v>
      </c>
      <c r="E681" s="2">
        <v>46092</v>
      </c>
      <c r="F681" s="2">
        <v>46091</v>
      </c>
      <c r="G681" t="s">
        <v>169</v>
      </c>
      <c r="H681">
        <v>31231000</v>
      </c>
      <c r="I681">
        <v>196933000</v>
      </c>
      <c r="J681">
        <v>7090000</v>
      </c>
      <c r="K681">
        <v>16247000</v>
      </c>
      <c r="L681">
        <v>174859000</v>
      </c>
      <c r="M681">
        <f>I681-(H681+J681-K681)- L681</f>
        <v>0</v>
      </c>
      <c r="N681" t="str">
        <f>IF(M681=0,"Cuadrado",IF(M681&gt;0,"Faltante","Sobrante"))</f>
        <v>Cuadrado</v>
      </c>
      <c r="O681" t="s">
        <v>37</v>
      </c>
      <c r="P681">
        <v>86063461</v>
      </c>
    </row>
    <row r="682" spans="1:16" hidden="1" x14ac:dyDescent="0.35">
      <c r="A682">
        <v>849</v>
      </c>
      <c r="B682">
        <v>9725</v>
      </c>
      <c r="C682" t="s">
        <v>19</v>
      </c>
      <c r="D682" t="s">
        <v>19</v>
      </c>
      <c r="E682" s="2">
        <v>46090</v>
      </c>
      <c r="F682" s="2">
        <v>46087</v>
      </c>
      <c r="G682" t="s">
        <v>416</v>
      </c>
      <c r="H682">
        <v>102680550</v>
      </c>
      <c r="I682">
        <v>381471550</v>
      </c>
      <c r="J682">
        <v>19210000</v>
      </c>
      <c r="K682">
        <v>97244000</v>
      </c>
      <c r="L682">
        <v>356825000</v>
      </c>
      <c r="M682">
        <f>I682-(H682+J682-K682)- L682</f>
        <v>0</v>
      </c>
      <c r="N682" t="str">
        <f>IF(M682=0,"Cuadrado",IF(M682&gt;0,"Faltante","Sobrante"))</f>
        <v>Cuadrado</v>
      </c>
      <c r="O682" t="s">
        <v>417</v>
      </c>
      <c r="P682">
        <v>86063461</v>
      </c>
    </row>
    <row r="683" spans="1:16" hidden="1" x14ac:dyDescent="0.35">
      <c r="A683">
        <v>849</v>
      </c>
      <c r="B683">
        <v>9725</v>
      </c>
      <c r="C683" t="s">
        <v>19</v>
      </c>
      <c r="D683" t="s">
        <v>16</v>
      </c>
      <c r="E683" s="2">
        <v>46086</v>
      </c>
      <c r="F683" s="2">
        <v>46084</v>
      </c>
      <c r="G683" t="s">
        <v>487</v>
      </c>
      <c r="H683">
        <v>236004250</v>
      </c>
      <c r="I683">
        <v>371192950</v>
      </c>
      <c r="J683">
        <v>52030000</v>
      </c>
      <c r="K683">
        <v>258989300</v>
      </c>
      <c r="L683">
        <v>342274000</v>
      </c>
      <c r="M683">
        <f>I683-(H683+J683-K683)- L683</f>
        <v>-126000</v>
      </c>
      <c r="N683" t="str">
        <f>IF(M683=0,"Cuadrado",IF(M683&gt;0,"Faltante","Sobrante"))</f>
        <v>Sobrante</v>
      </c>
      <c r="O683" t="s">
        <v>467</v>
      </c>
      <c r="P683">
        <v>86063461</v>
      </c>
    </row>
    <row r="684" spans="1:16" hidden="1" x14ac:dyDescent="0.35">
      <c r="A684">
        <v>849</v>
      </c>
      <c r="B684">
        <v>9725</v>
      </c>
      <c r="C684" t="s">
        <v>19</v>
      </c>
      <c r="D684" t="s">
        <v>19</v>
      </c>
      <c r="E684" s="2">
        <v>46085</v>
      </c>
      <c r="F684" s="2">
        <v>46084</v>
      </c>
      <c r="G684" t="s">
        <v>487</v>
      </c>
      <c r="H684">
        <v>236004250</v>
      </c>
      <c r="I684">
        <v>371192950</v>
      </c>
      <c r="J684">
        <v>52030000</v>
      </c>
      <c r="K684">
        <v>258989300</v>
      </c>
      <c r="L684">
        <v>342274000</v>
      </c>
      <c r="M684">
        <f>I684-(H684+J684-K684)- L684</f>
        <v>-126000</v>
      </c>
      <c r="N684" t="str">
        <f>IF(M684=0,"Cuadrado",IF(M684&gt;0,"Faltante","Sobrante"))</f>
        <v>Sobrante</v>
      </c>
      <c r="O684" t="s">
        <v>489</v>
      </c>
      <c r="P684">
        <v>86063461</v>
      </c>
    </row>
    <row r="685" spans="1:16" hidden="1" x14ac:dyDescent="0.35">
      <c r="A685">
        <v>849</v>
      </c>
      <c r="B685">
        <v>9725</v>
      </c>
      <c r="C685" t="s">
        <v>19</v>
      </c>
      <c r="D685" t="s">
        <v>19</v>
      </c>
      <c r="E685" s="2">
        <v>46084</v>
      </c>
      <c r="F685" s="2">
        <v>46083</v>
      </c>
      <c r="G685" t="s">
        <v>322</v>
      </c>
      <c r="H685">
        <v>180547300</v>
      </c>
      <c r="I685">
        <v>214545300</v>
      </c>
      <c r="J685">
        <v>0</v>
      </c>
      <c r="K685">
        <v>0</v>
      </c>
      <c r="M685">
        <f>I685-(H685+J685-K685)- L685</f>
        <v>33998000</v>
      </c>
      <c r="N685" t="str">
        <f>IF(M685=0,"Cuadrado",IF(M685&gt;0,"Faltante","Sobrante"))</f>
        <v>Faltante</v>
      </c>
      <c r="O685" t="s">
        <v>506</v>
      </c>
      <c r="P685">
        <v>86063461</v>
      </c>
    </row>
    <row r="686" spans="1:16" x14ac:dyDescent="0.35">
      <c r="A686">
        <v>849</v>
      </c>
      <c r="B686">
        <v>9725</v>
      </c>
      <c r="C686" t="s">
        <v>19</v>
      </c>
      <c r="D686" t="s">
        <v>19</v>
      </c>
      <c r="E686" s="2">
        <v>46106</v>
      </c>
      <c r="F686" s="2">
        <v>46105</v>
      </c>
      <c r="G686" t="s">
        <v>231</v>
      </c>
      <c r="H686">
        <v>94068400</v>
      </c>
      <c r="I686">
        <v>501471400</v>
      </c>
      <c r="J686">
        <v>10700000</v>
      </c>
      <c r="K686">
        <v>62800000</v>
      </c>
      <c r="L686">
        <f>469353000</f>
        <v>469353000</v>
      </c>
      <c r="M686">
        <f>I686-(H686+J686-K686)- L686</f>
        <v>-9850000</v>
      </c>
      <c r="N686" t="str">
        <f>IF(M686=0,"Cuadrado",IF(M686&gt;0,"Faltante","Sobrante"))</f>
        <v>Sobrante</v>
      </c>
      <c r="O686" t="s">
        <v>515</v>
      </c>
      <c r="P686">
        <v>86063461</v>
      </c>
    </row>
    <row r="687" spans="1:16" hidden="1" x14ac:dyDescent="0.35">
      <c r="A687">
        <v>516</v>
      </c>
      <c r="B687">
        <v>9729</v>
      </c>
      <c r="C687" t="s">
        <v>19</v>
      </c>
      <c r="D687" t="s">
        <v>19</v>
      </c>
      <c r="E687" s="2">
        <v>46100</v>
      </c>
      <c r="F687" s="2">
        <v>46099</v>
      </c>
      <c r="G687" t="s">
        <v>58</v>
      </c>
      <c r="H687">
        <v>155900500</v>
      </c>
      <c r="I687">
        <v>146591550</v>
      </c>
      <c r="J687">
        <v>3830000</v>
      </c>
      <c r="K687">
        <v>16017450</v>
      </c>
      <c r="L687">
        <v>2878500</v>
      </c>
      <c r="M687">
        <f>I687-(H687+J687-K687)- L687</f>
        <v>0</v>
      </c>
      <c r="N687" t="str">
        <f>IF(M687=0,"Cuadrado",IF(M687&gt;0,"Faltante","Sobrante"))</f>
        <v>Cuadrado</v>
      </c>
      <c r="O687" t="s">
        <v>138</v>
      </c>
      <c r="P687">
        <v>1004306590</v>
      </c>
    </row>
    <row r="688" spans="1:16" hidden="1" x14ac:dyDescent="0.35">
      <c r="A688">
        <v>516</v>
      </c>
      <c r="B688">
        <v>9729</v>
      </c>
      <c r="C688" t="s">
        <v>19</v>
      </c>
      <c r="D688" t="s">
        <v>19</v>
      </c>
      <c r="E688" s="2">
        <v>46097</v>
      </c>
      <c r="F688" s="2">
        <v>46094</v>
      </c>
      <c r="G688" t="s">
        <v>134</v>
      </c>
      <c r="H688">
        <v>114949850</v>
      </c>
      <c r="I688">
        <v>112262150</v>
      </c>
      <c r="J688">
        <v>14140000</v>
      </c>
      <c r="K688">
        <v>20370000</v>
      </c>
      <c r="M688">
        <f>I688-(H688+J688-K688)- L688</f>
        <v>3542300</v>
      </c>
      <c r="N688" t="str">
        <f>IF(M688=0,"Cuadrado",IF(M688&gt;0,"Faltante","Sobrante"))</f>
        <v>Faltante</v>
      </c>
      <c r="P688">
        <v>57292451</v>
      </c>
    </row>
    <row r="689" spans="1:16" hidden="1" x14ac:dyDescent="0.35">
      <c r="A689">
        <v>516</v>
      </c>
      <c r="B689">
        <v>9729</v>
      </c>
      <c r="C689" t="s">
        <v>19</v>
      </c>
      <c r="D689" t="s">
        <v>19</v>
      </c>
      <c r="E689" s="2">
        <v>46093</v>
      </c>
      <c r="F689" s="2">
        <v>46092</v>
      </c>
      <c r="G689" t="s">
        <v>345</v>
      </c>
      <c r="H689">
        <v>254974150</v>
      </c>
      <c r="I689">
        <v>307136750</v>
      </c>
      <c r="J689">
        <v>0</v>
      </c>
      <c r="K689">
        <v>0</v>
      </c>
      <c r="L689">
        <v>-1377400</v>
      </c>
      <c r="M689">
        <f>I689-(H689+J689-K689)- L689</f>
        <v>53540000</v>
      </c>
      <c r="N689" t="str">
        <f>IF(M689=0,"Cuadrado",IF(M689&gt;0,"Faltante","Sobrante"))</f>
        <v>Faltante</v>
      </c>
      <c r="O689" t="s">
        <v>260</v>
      </c>
      <c r="P689">
        <v>1102850956</v>
      </c>
    </row>
    <row r="690" spans="1:16" hidden="1" x14ac:dyDescent="0.35">
      <c r="A690">
        <v>516</v>
      </c>
      <c r="B690">
        <v>9729</v>
      </c>
      <c r="C690" t="s">
        <v>19</v>
      </c>
      <c r="D690" t="s">
        <v>19</v>
      </c>
      <c r="E690" s="2">
        <v>46091</v>
      </c>
      <c r="F690" s="2">
        <v>46090</v>
      </c>
      <c r="G690" t="s">
        <v>400</v>
      </c>
      <c r="H690">
        <v>174326750</v>
      </c>
      <c r="I690">
        <v>177144350</v>
      </c>
      <c r="J690">
        <v>650000</v>
      </c>
      <c r="K690">
        <v>0</v>
      </c>
      <c r="M690">
        <f>I690-(H690+J690-K690)- L690</f>
        <v>2167600</v>
      </c>
      <c r="N690" t="str">
        <f>IF(M690=0,"Cuadrado",IF(M690&gt;0,"Faltante","Sobrante"))</f>
        <v>Faltante</v>
      </c>
      <c r="O690" t="s">
        <v>260</v>
      </c>
      <c r="P690">
        <v>1102850956</v>
      </c>
    </row>
    <row r="691" spans="1:16" hidden="1" x14ac:dyDescent="0.35">
      <c r="A691">
        <v>516</v>
      </c>
      <c r="B691">
        <v>9729</v>
      </c>
      <c r="C691" t="s">
        <v>19</v>
      </c>
      <c r="D691" t="s">
        <v>19</v>
      </c>
      <c r="E691" s="2">
        <v>46086</v>
      </c>
      <c r="F691" s="2">
        <v>46085</v>
      </c>
      <c r="G691" t="s">
        <v>255</v>
      </c>
      <c r="H691">
        <v>178070650</v>
      </c>
      <c r="I691">
        <v>168006650</v>
      </c>
      <c r="J691">
        <v>7300000</v>
      </c>
      <c r="K691">
        <v>12364000</v>
      </c>
      <c r="M691">
        <f>I691-(H691+J691-K691)- L691</f>
        <v>-5000000</v>
      </c>
      <c r="N691" t="str">
        <f>IF(M691=0,"Cuadrado",IF(M691&gt;0,"Faltante","Sobrante"))</f>
        <v>Sobrante</v>
      </c>
      <c r="O691" t="s">
        <v>467</v>
      </c>
      <c r="P691">
        <v>57292451</v>
      </c>
    </row>
    <row r="692" spans="1:16" hidden="1" x14ac:dyDescent="0.35">
      <c r="A692">
        <v>499</v>
      </c>
      <c r="B692">
        <v>9810</v>
      </c>
      <c r="C692" t="s">
        <v>19</v>
      </c>
      <c r="D692" t="s">
        <v>19</v>
      </c>
      <c r="E692" s="2">
        <v>46101</v>
      </c>
      <c r="F692" s="2">
        <v>46100</v>
      </c>
      <c r="G692" t="s">
        <v>82</v>
      </c>
      <c r="H692">
        <v>326694250</v>
      </c>
      <c r="I692">
        <v>140825550</v>
      </c>
      <c r="J692">
        <v>8030000</v>
      </c>
      <c r="K692">
        <v>191714000</v>
      </c>
      <c r="M692">
        <f>I692-(H692+J692-K692)- L692</f>
        <v>-2184700</v>
      </c>
      <c r="N692" t="str">
        <f>IF(M692=0,"Cuadrado",IF(M692&gt;0,"Faltante","Sobrante"))</f>
        <v>Sobrante</v>
      </c>
      <c r="O692" t="s">
        <v>39</v>
      </c>
      <c r="P692">
        <v>71337474</v>
      </c>
    </row>
    <row r="693" spans="1:16" hidden="1" x14ac:dyDescent="0.35">
      <c r="A693">
        <v>499</v>
      </c>
      <c r="B693">
        <v>9810</v>
      </c>
      <c r="C693" t="s">
        <v>19</v>
      </c>
      <c r="D693" t="s">
        <v>19</v>
      </c>
      <c r="E693" s="2">
        <v>46100</v>
      </c>
      <c r="F693" s="2">
        <v>46099</v>
      </c>
      <c r="G693" t="s">
        <v>139</v>
      </c>
      <c r="H693">
        <v>415125250</v>
      </c>
      <c r="I693">
        <v>384878550</v>
      </c>
      <c r="J693" t="s">
        <v>98</v>
      </c>
      <c r="K693">
        <v>64062000</v>
      </c>
      <c r="M693" t="e">
        <f>I693-(H693+J693-K693)- L693</f>
        <v>#VALUE!</v>
      </c>
      <c r="N693" t="e">
        <f>IF(M693=0,"Cuadrado",IF(M693&gt;0,"Faltante","Sobrante"))</f>
        <v>#VALUE!</v>
      </c>
      <c r="O693" t="s">
        <v>59</v>
      </c>
      <c r="P693">
        <v>71337474</v>
      </c>
    </row>
    <row r="694" spans="1:16" hidden="1" x14ac:dyDescent="0.35">
      <c r="A694">
        <v>499</v>
      </c>
      <c r="B694">
        <v>9811</v>
      </c>
      <c r="C694" t="s">
        <v>19</v>
      </c>
      <c r="D694" t="s">
        <v>19</v>
      </c>
      <c r="E694" s="2">
        <v>46100</v>
      </c>
      <c r="F694" s="2">
        <v>46099</v>
      </c>
      <c r="G694" t="s">
        <v>140</v>
      </c>
      <c r="H694">
        <v>158739100</v>
      </c>
      <c r="I694">
        <v>42663150</v>
      </c>
      <c r="J694">
        <v>4640000</v>
      </c>
      <c r="K694">
        <v>111496000</v>
      </c>
      <c r="M694">
        <f>I694-(H694+J694-K694)- L694</f>
        <v>-9219950</v>
      </c>
      <c r="N694" t="str">
        <f>IF(M694=0,"Cuadrado",IF(M694&gt;0,"Faltante","Sobrante"))</f>
        <v>Sobrante</v>
      </c>
      <c r="O694" t="s">
        <v>95</v>
      </c>
      <c r="P694">
        <v>71337474</v>
      </c>
    </row>
    <row r="695" spans="1:16" hidden="1" x14ac:dyDescent="0.35">
      <c r="A695">
        <v>499</v>
      </c>
      <c r="B695">
        <v>9811</v>
      </c>
      <c r="C695" t="s">
        <v>19</v>
      </c>
      <c r="D695" t="s">
        <v>19</v>
      </c>
      <c r="E695" s="2">
        <v>46094</v>
      </c>
      <c r="F695" s="2">
        <v>46093</v>
      </c>
      <c r="G695" t="s">
        <v>299</v>
      </c>
      <c r="H695">
        <v>80532100</v>
      </c>
      <c r="I695">
        <v>-15330600</v>
      </c>
      <c r="J695">
        <v>4320000</v>
      </c>
      <c r="K695">
        <v>83649950</v>
      </c>
      <c r="M695">
        <f>I695-(H695+J695-K695)- L695</f>
        <v>-16532750</v>
      </c>
      <c r="N695" t="str">
        <f>IF(M695=0,"Cuadrado",IF(M695&gt;0,"Faltante","Sobrante"))</f>
        <v>Sobrante</v>
      </c>
      <c r="O695" t="s">
        <v>245</v>
      </c>
      <c r="P695">
        <v>71337474</v>
      </c>
    </row>
    <row r="696" spans="1:16" hidden="1" x14ac:dyDescent="0.35">
      <c r="A696">
        <v>499</v>
      </c>
      <c r="B696">
        <v>9811</v>
      </c>
      <c r="C696" t="s">
        <v>19</v>
      </c>
      <c r="D696" t="s">
        <v>19</v>
      </c>
      <c r="E696" s="2">
        <v>46092</v>
      </c>
      <c r="F696" s="2">
        <v>46091</v>
      </c>
      <c r="G696" t="s">
        <v>375</v>
      </c>
      <c r="H696">
        <v>114936100</v>
      </c>
      <c r="I696">
        <v>155994400</v>
      </c>
      <c r="J696">
        <v>0</v>
      </c>
      <c r="K696">
        <v>7870000</v>
      </c>
      <c r="M696">
        <f>I696-(H696+J696-K696)- L696</f>
        <v>48928300</v>
      </c>
      <c r="N696" t="str">
        <f>IF(M696=0,"Cuadrado",IF(M696&gt;0,"Faltante","Sobrante"))</f>
        <v>Faltante</v>
      </c>
      <c r="O696" t="s">
        <v>376</v>
      </c>
      <c r="P696">
        <v>71337474</v>
      </c>
    </row>
    <row r="697" spans="1:16" hidden="1" x14ac:dyDescent="0.35">
      <c r="A697">
        <v>499</v>
      </c>
      <c r="B697">
        <v>9811</v>
      </c>
      <c r="C697" t="s">
        <v>19</v>
      </c>
      <c r="D697" t="s">
        <v>19</v>
      </c>
      <c r="E697" s="2">
        <v>46090</v>
      </c>
      <c r="F697" s="2">
        <v>46087</v>
      </c>
      <c r="G697" t="s">
        <v>418</v>
      </c>
      <c r="H697">
        <v>14768100</v>
      </c>
      <c r="I697">
        <v>436758400</v>
      </c>
      <c r="J697">
        <v>8250000</v>
      </c>
      <c r="K697">
        <v>15806000</v>
      </c>
      <c r="L697">
        <v>426079000</v>
      </c>
      <c r="M697">
        <f>I697-(H697+J697-K697)- L697</f>
        <v>3467300</v>
      </c>
      <c r="N697" t="str">
        <f>IF(M697=0,"Cuadrado",IF(M697&gt;0,"Faltante","Sobrante"))</f>
        <v>Faltante</v>
      </c>
      <c r="O697" t="s">
        <v>260</v>
      </c>
      <c r="P697">
        <v>71337474</v>
      </c>
    </row>
    <row r="698" spans="1:16" hidden="1" x14ac:dyDescent="0.35">
      <c r="A698">
        <v>499</v>
      </c>
      <c r="B698">
        <v>9811</v>
      </c>
      <c r="C698" t="s">
        <v>19</v>
      </c>
      <c r="D698" t="s">
        <v>19</v>
      </c>
      <c r="E698" s="2">
        <v>46086</v>
      </c>
      <c r="F698" s="2">
        <v>46084</v>
      </c>
      <c r="G698" t="s">
        <v>271</v>
      </c>
      <c r="H698">
        <v>145895100</v>
      </c>
      <c r="I698">
        <v>552062600</v>
      </c>
      <c r="J698">
        <v>24230000</v>
      </c>
      <c r="K698">
        <v>146733500</v>
      </c>
      <c r="L698">
        <v>221143000</v>
      </c>
      <c r="M698">
        <f>I698-(H698+J698-K698)- L698</f>
        <v>307528000</v>
      </c>
      <c r="N698" t="str">
        <f>IF(M698=0,"Cuadrado",IF(M698&gt;0,"Faltante","Sobrante"))</f>
        <v>Faltante</v>
      </c>
      <c r="O698" t="s">
        <v>480</v>
      </c>
      <c r="P698">
        <v>71337474</v>
      </c>
    </row>
    <row r="699" spans="1:16" hidden="1" x14ac:dyDescent="0.35">
      <c r="A699">
        <v>264</v>
      </c>
      <c r="B699">
        <v>9906</v>
      </c>
      <c r="C699" t="s">
        <v>19</v>
      </c>
      <c r="D699" t="s">
        <v>19</v>
      </c>
      <c r="E699" s="2">
        <v>46092</v>
      </c>
      <c r="F699" s="2">
        <v>46091</v>
      </c>
      <c r="G699" t="s">
        <v>206</v>
      </c>
      <c r="H699">
        <v>74860000</v>
      </c>
      <c r="I699">
        <v>77325700</v>
      </c>
      <c r="J699">
        <v>7900000</v>
      </c>
      <c r="K699">
        <v>5421000</v>
      </c>
      <c r="M699">
        <f>I699-(H699+J699-K699)- L699</f>
        <v>-13300</v>
      </c>
      <c r="N699" t="str">
        <f>IF(M699=0,"Cuadrado",IF(M699&gt;0,"Faltante","Sobrante"))</f>
        <v>Sobrante</v>
      </c>
      <c r="O699" t="s">
        <v>357</v>
      </c>
      <c r="P699">
        <v>1069722520</v>
      </c>
    </row>
    <row r="700" spans="1:16" hidden="1" x14ac:dyDescent="0.35">
      <c r="A700">
        <v>264</v>
      </c>
      <c r="B700">
        <v>9906</v>
      </c>
      <c r="C700" t="s">
        <v>19</v>
      </c>
      <c r="D700" t="s">
        <v>19</v>
      </c>
      <c r="E700" s="2">
        <v>46084</v>
      </c>
      <c r="F700" s="2">
        <v>46083</v>
      </c>
      <c r="G700" t="s">
        <v>68</v>
      </c>
      <c r="H700">
        <v>61182800</v>
      </c>
      <c r="I700">
        <v>63445750</v>
      </c>
      <c r="J700">
        <v>23250000</v>
      </c>
      <c r="K700">
        <v>20837000</v>
      </c>
      <c r="M700">
        <f>I700-(H700+J700-K700)- L700</f>
        <v>-150050</v>
      </c>
      <c r="N700" t="str">
        <f>IF(M700=0,"Cuadrado",IF(M700&gt;0,"Faltante","Sobrante"))</f>
        <v>Sobrante</v>
      </c>
      <c r="O700" t="s">
        <v>504</v>
      </c>
      <c r="P700">
        <v>1069722520</v>
      </c>
    </row>
    <row r="701" spans="1:16" hidden="1" x14ac:dyDescent="0.35">
      <c r="A701">
        <v>57</v>
      </c>
      <c r="B701">
        <v>9963</v>
      </c>
      <c r="C701" t="s">
        <v>19</v>
      </c>
      <c r="D701" t="s">
        <v>19</v>
      </c>
      <c r="E701" s="2">
        <v>46101</v>
      </c>
      <c r="F701" s="2">
        <v>46100</v>
      </c>
      <c r="G701" t="s">
        <v>83</v>
      </c>
      <c r="H701">
        <v>174166550</v>
      </c>
      <c r="I701">
        <v>146376550</v>
      </c>
      <c r="J701">
        <v>13030000</v>
      </c>
      <c r="K701">
        <v>45280000</v>
      </c>
      <c r="M701">
        <f>I701-(H701+J701-K701)- L701</f>
        <v>4460000</v>
      </c>
      <c r="N701" t="str">
        <f>IF(M701=0,"Cuadrado",IF(M701&gt;0,"Faltante","Sobrante"))</f>
        <v>Faltante</v>
      </c>
      <c r="O701" t="s">
        <v>84</v>
      </c>
      <c r="P701">
        <v>1121854752</v>
      </c>
    </row>
    <row r="702" spans="1:16" hidden="1" x14ac:dyDescent="0.35">
      <c r="H702">
        <v>68070100</v>
      </c>
      <c r="I702">
        <v>458695600</v>
      </c>
      <c r="J702">
        <v>0</v>
      </c>
      <c r="K702">
        <v>37185500</v>
      </c>
      <c r="M702">
        <f>I702-(H702+J702-K702)- L702</f>
        <v>427811000</v>
      </c>
      <c r="N702" t="str">
        <f>IF(M702=0,"Cuadrado",IF(M702&gt;0,"Faltante","Sobrante"))</f>
        <v>Faltante</v>
      </c>
    </row>
    <row r="703" spans="1:16" hidden="1" x14ac:dyDescent="0.35">
      <c r="H703">
        <v>291953850</v>
      </c>
      <c r="I703">
        <v>288516600</v>
      </c>
      <c r="J703">
        <v>4190000</v>
      </c>
      <c r="K703">
        <v>7582000</v>
      </c>
      <c r="M703">
        <f>I703-(H703+J703-K703)- L703</f>
        <v>-45250</v>
      </c>
      <c r="N703" t="str">
        <f>IF(M703=0,"Cuadrado",IF(M703&gt;0,"Faltante","Sobrante"))</f>
        <v>Sobrante</v>
      </c>
    </row>
    <row r="704" spans="1:16" hidden="1" x14ac:dyDescent="0.35">
      <c r="H704">
        <v>191146850</v>
      </c>
      <c r="I704">
        <v>189197700</v>
      </c>
      <c r="J704">
        <v>300000</v>
      </c>
      <c r="K704">
        <v>2300000</v>
      </c>
      <c r="M704">
        <f>I704-(H704+J704-K704)- L704</f>
        <v>50850</v>
      </c>
      <c r="N704" t="str">
        <f>IF(M704=0,"Cuadrado",IF(M704&gt;0,"Faltante","Sobrante"))</f>
        <v>Faltante</v>
      </c>
    </row>
    <row r="705" spans="8:14" hidden="1" x14ac:dyDescent="0.35">
      <c r="H705">
        <v>98696000</v>
      </c>
      <c r="I705">
        <v>100451050</v>
      </c>
      <c r="J705">
        <v>9080000</v>
      </c>
      <c r="K705">
        <v>7324950</v>
      </c>
      <c r="M705">
        <f>I705-(H705+J705-K705)- L705</f>
        <v>0</v>
      </c>
      <c r="N705" t="str">
        <f>IF(M705=0,"Cuadrado",IF(M705&gt;0,"Faltante","Sobrante"))</f>
        <v>Cuadrado</v>
      </c>
    </row>
    <row r="706" spans="8:14" hidden="1" x14ac:dyDescent="0.35">
      <c r="H706">
        <v>136158550</v>
      </c>
      <c r="I706">
        <v>136158550</v>
      </c>
      <c r="J706">
        <v>0</v>
      </c>
      <c r="K706">
        <v>0</v>
      </c>
      <c r="M706">
        <f>I706-(H706+J706-K706)- L706</f>
        <v>0</v>
      </c>
      <c r="N706" t="str">
        <f>IF(M706=0,"Cuadrado",IF(M706&gt;0,"Faltante","Sobrante"))</f>
        <v>Cuadrado</v>
      </c>
    </row>
    <row r="707" spans="8:14" hidden="1" x14ac:dyDescent="0.35">
      <c r="H707">
        <v>244404700</v>
      </c>
      <c r="I707">
        <v>203376700</v>
      </c>
      <c r="J707">
        <v>2840000</v>
      </c>
      <c r="K707">
        <v>41468000</v>
      </c>
      <c r="M707">
        <f>I707-(H707+J707-K707)- L707</f>
        <v>-2400000</v>
      </c>
      <c r="N707" t="str">
        <f>IF(M707=0,"Cuadrado",IF(M707&gt;0,"Faltante","Sobrante"))</f>
        <v>Sobrante</v>
      </c>
    </row>
    <row r="708" spans="8:14" hidden="1" x14ac:dyDescent="0.35">
      <c r="H708">
        <v>54535350</v>
      </c>
      <c r="I708">
        <v>294144450</v>
      </c>
      <c r="J708">
        <v>8170000</v>
      </c>
      <c r="K708">
        <v>10839900</v>
      </c>
      <c r="M708">
        <f>I708-(H708+J708-K708)- L708</f>
        <v>242279000</v>
      </c>
      <c r="N708" t="str">
        <f>IF(M708=0,"Cuadrado",IF(M708&gt;0,"Faltante","Sobrante"))</f>
        <v>Faltante</v>
      </c>
    </row>
    <row r="709" spans="8:14" hidden="1" x14ac:dyDescent="0.35">
      <c r="H709">
        <v>1035042150</v>
      </c>
      <c r="I709">
        <v>484015650</v>
      </c>
      <c r="J709">
        <v>1040000</v>
      </c>
      <c r="K709">
        <v>35005000</v>
      </c>
      <c r="M709">
        <f>I709-(H709+J709-K709)- L709</f>
        <v>-517061500</v>
      </c>
      <c r="N709" t="str">
        <f>IF(M709=0,"Cuadrado",IF(M709&gt;0,"Faltante","Sobrante"))</f>
        <v>Sobrante</v>
      </c>
    </row>
    <row r="710" spans="8:14" hidden="1" x14ac:dyDescent="0.35">
      <c r="H710">
        <v>212583000</v>
      </c>
      <c r="I710">
        <v>214753000</v>
      </c>
      <c r="J710">
        <v>0</v>
      </c>
      <c r="K710">
        <v>0</v>
      </c>
      <c r="M710">
        <f>I710-(H710+J710-K710)- L710</f>
        <v>2170000</v>
      </c>
      <c r="N710" t="str">
        <f>IF(M710=0,"Cuadrado",IF(M710&gt;0,"Faltante","Sobrante"))</f>
        <v>Faltante</v>
      </c>
    </row>
    <row r="711" spans="8:14" hidden="1" x14ac:dyDescent="0.35">
      <c r="H711">
        <v>301494600</v>
      </c>
      <c r="I711">
        <v>311005900</v>
      </c>
      <c r="J711">
        <v>16860000</v>
      </c>
      <c r="K711">
        <v>7348700</v>
      </c>
      <c r="M711">
        <f>I711-(H711+J711-K711)- L711</f>
        <v>0</v>
      </c>
      <c r="N711" t="str">
        <f>IF(M711=0,"Cuadrado",IF(M711&gt;0,"Faltante","Sobrante"))</f>
        <v>Cuadrado</v>
      </c>
    </row>
    <row r="712" spans="8:14" hidden="1" x14ac:dyDescent="0.35">
      <c r="H712">
        <v>167552650</v>
      </c>
      <c r="I712">
        <v>147269450</v>
      </c>
      <c r="J712">
        <v>12000000</v>
      </c>
      <c r="K712">
        <v>29333200</v>
      </c>
      <c r="M712">
        <f>I712-(H712+J712-K712)- L712</f>
        <v>-2950000</v>
      </c>
      <c r="N712" t="str">
        <f>IF(M712=0,"Cuadrado",IF(M712&gt;0,"Faltante","Sobrante"))</f>
        <v>Sobrante</v>
      </c>
    </row>
    <row r="713" spans="8:14" hidden="1" x14ac:dyDescent="0.35">
      <c r="H713">
        <v>249051300</v>
      </c>
      <c r="I713">
        <v>249023650</v>
      </c>
      <c r="J713">
        <v>0</v>
      </c>
      <c r="K713">
        <v>0</v>
      </c>
      <c r="M713">
        <f>I713-(H713+J713-K713)- L713</f>
        <v>-27650</v>
      </c>
      <c r="N713" t="str">
        <f>IF(M713=0,"Cuadrado",IF(M713&gt;0,"Faltante","Sobrante"))</f>
        <v>Sobrante</v>
      </c>
    </row>
    <row r="714" spans="8:14" hidden="1" x14ac:dyDescent="0.35">
      <c r="H714">
        <v>106442550</v>
      </c>
      <c r="I714">
        <v>357532550</v>
      </c>
      <c r="J714">
        <v>13400000</v>
      </c>
      <c r="K714">
        <v>103723000</v>
      </c>
      <c r="M714">
        <f>I714-(H714+J714-K714)- L714</f>
        <v>341413000</v>
      </c>
      <c r="N714" t="str">
        <f>IF(M714=0,"Cuadrado",IF(M714&gt;0,"Faltante","Sobrante"))</f>
        <v>Faltante</v>
      </c>
    </row>
    <row r="715" spans="8:14" hidden="1" x14ac:dyDescent="0.35">
      <c r="H715">
        <v>279517850</v>
      </c>
      <c r="I715">
        <v>249245850</v>
      </c>
      <c r="J715">
        <v>3770000</v>
      </c>
      <c r="K715">
        <v>37112000</v>
      </c>
      <c r="M715">
        <f>I715-(H715+J715-K715)- L715</f>
        <v>3070000</v>
      </c>
      <c r="N715" t="str">
        <f>IF(M715=0,"Cuadrado",IF(M715&gt;0,"Faltante","Sobrante"))</f>
        <v>Faltante</v>
      </c>
    </row>
    <row r="716" spans="8:14" hidden="1" x14ac:dyDescent="0.35">
      <c r="H716">
        <v>13208250</v>
      </c>
      <c r="I716">
        <v>29768300</v>
      </c>
      <c r="J716">
        <v>16560000</v>
      </c>
      <c r="K716">
        <v>0</v>
      </c>
      <c r="M716">
        <f>I716-(H716+J716-K716)- L716</f>
        <v>50</v>
      </c>
      <c r="N716" t="str">
        <f>IF(M716=0,"Cuadrado",IF(M716&gt;0,"Faltante","Sobrante"))</f>
        <v>Faltante</v>
      </c>
    </row>
    <row r="717" spans="8:14" hidden="1" x14ac:dyDescent="0.35">
      <c r="H717">
        <v>190243100</v>
      </c>
      <c r="I717">
        <v>195026400</v>
      </c>
      <c r="J717">
        <v>0</v>
      </c>
      <c r="K717">
        <v>0</v>
      </c>
      <c r="M717">
        <f>I717-(H717+J717-K717)- L717</f>
        <v>4783300</v>
      </c>
      <c r="N717" t="str">
        <f>IF(M717=0,"Cuadrado",IF(M717&gt;0,"Faltante","Sobrante"))</f>
        <v>Faltante</v>
      </c>
    </row>
    <row r="718" spans="8:14" hidden="1" x14ac:dyDescent="0.35">
      <c r="H718">
        <v>12524600</v>
      </c>
      <c r="I718">
        <v>272600</v>
      </c>
      <c r="J718">
        <v>100000</v>
      </c>
      <c r="K718">
        <v>12352000</v>
      </c>
      <c r="M718">
        <f>I718-(H718+J718-K718)- L718</f>
        <v>0</v>
      </c>
      <c r="N718" t="str">
        <f>IF(M718=0,"Cuadrado",IF(M718&gt;0,"Faltante","Sobrante"))</f>
        <v>Cuadrado</v>
      </c>
    </row>
    <row r="719" spans="8:14" hidden="1" x14ac:dyDescent="0.35">
      <c r="H719">
        <v>218744700</v>
      </c>
      <c r="I719">
        <v>223800250</v>
      </c>
      <c r="J719">
        <v>5160000</v>
      </c>
      <c r="K719">
        <v>0</v>
      </c>
      <c r="M719">
        <f>I719-(H719+J719-K719)- L719</f>
        <v>-104450</v>
      </c>
      <c r="N719" t="str">
        <f>IF(M719=0,"Cuadrado",IF(M719&gt;0,"Faltante","Sobrante"))</f>
        <v>Sobrante</v>
      </c>
    </row>
    <row r="720" spans="8:14" hidden="1" x14ac:dyDescent="0.35">
      <c r="H720">
        <v>165840200</v>
      </c>
      <c r="I720">
        <v>162385650</v>
      </c>
      <c r="J720">
        <v>3060000</v>
      </c>
      <c r="K720">
        <v>5914550</v>
      </c>
      <c r="M720">
        <f>I720-(H720+J720-K720)- L720</f>
        <v>-600000</v>
      </c>
      <c r="N720" t="str">
        <f>IF(M720=0,"Cuadrado",IF(M720&gt;0,"Faltante","Sobrante"))</f>
        <v>Sobrante</v>
      </c>
    </row>
    <row r="721" spans="8:14" hidden="1" x14ac:dyDescent="0.35">
      <c r="H721">
        <v>145620600</v>
      </c>
      <c r="I721">
        <v>146100600</v>
      </c>
      <c r="J721">
        <v>1970000</v>
      </c>
      <c r="K721">
        <v>1750000</v>
      </c>
      <c r="M721">
        <f>I721-(H721+J721-K721)- L721</f>
        <v>260000</v>
      </c>
      <c r="N721" t="str">
        <f>IF(M721=0,"Cuadrado",IF(M721&gt;0,"Faltante","Sobrante"))</f>
        <v>Faltante</v>
      </c>
    </row>
    <row r="722" spans="8:14" hidden="1" x14ac:dyDescent="0.35">
      <c r="H722">
        <v>159525600</v>
      </c>
      <c r="I722">
        <v>157225600</v>
      </c>
      <c r="J722">
        <v>0</v>
      </c>
      <c r="K722">
        <v>0</v>
      </c>
      <c r="M722">
        <f>I722-(H722+J722-K722)- L722</f>
        <v>-2300000</v>
      </c>
      <c r="N722" t="str">
        <f>IF(M722=0,"Cuadrado",IF(M722&gt;0,"Faltante","Sobrante"))</f>
        <v>Sobrante</v>
      </c>
    </row>
    <row r="723" spans="8:14" hidden="1" x14ac:dyDescent="0.35">
      <c r="H723">
        <v>185364750</v>
      </c>
      <c r="I723">
        <v>186677050</v>
      </c>
      <c r="J723">
        <v>30000</v>
      </c>
      <c r="K723">
        <v>0</v>
      </c>
      <c r="M723">
        <f>I723-(H723+J723-K723)- L723</f>
        <v>1282300</v>
      </c>
      <c r="N723" t="str">
        <f>IF(M723=0,"Cuadrado",IF(M723&gt;0,"Faltante","Sobrante"))</f>
        <v>Faltante</v>
      </c>
    </row>
    <row r="724" spans="8:14" hidden="1" x14ac:dyDescent="0.35">
      <c r="H724">
        <v>177980750</v>
      </c>
      <c r="I724">
        <v>209970350</v>
      </c>
      <c r="J724">
        <v>55530000</v>
      </c>
      <c r="K724">
        <v>37940400</v>
      </c>
      <c r="M724">
        <f>I724-(H724+J724-K724)- L724</f>
        <v>14400000</v>
      </c>
      <c r="N724" t="str">
        <f>IF(M724=0,"Cuadrado",IF(M724&gt;0,"Faltante","Sobrante"))</f>
        <v>Faltante</v>
      </c>
    </row>
    <row r="725" spans="8:14" hidden="1" x14ac:dyDescent="0.35">
      <c r="H725">
        <v>22899750</v>
      </c>
      <c r="I725">
        <v>222030750</v>
      </c>
      <c r="J725">
        <v>4860000</v>
      </c>
      <c r="K725">
        <v>21551000</v>
      </c>
      <c r="M725">
        <f>I725-(H725+J725-K725)- L725</f>
        <v>215822000</v>
      </c>
      <c r="N725" t="str">
        <f>IF(M725=0,"Cuadrado",IF(M725&gt;0,"Faltante","Sobrante"))</f>
        <v>Faltante</v>
      </c>
    </row>
    <row r="726" spans="8:14" hidden="1" x14ac:dyDescent="0.35">
      <c r="H726">
        <v>288496250</v>
      </c>
      <c r="I726">
        <v>288290250</v>
      </c>
      <c r="J726">
        <v>3480000</v>
      </c>
      <c r="K726">
        <v>3686000</v>
      </c>
      <c r="M726">
        <f>I726-(H726+J726-K726)- L726</f>
        <v>0</v>
      </c>
      <c r="N726" t="str">
        <f>IF(M726=0,"Cuadrado",IF(M726&gt;0,"Faltante","Sobrante"))</f>
        <v>Cuadrado</v>
      </c>
    </row>
    <row r="727" spans="8:14" hidden="1" x14ac:dyDescent="0.35">
      <c r="H727">
        <v>338920150</v>
      </c>
      <c r="I727">
        <v>276620150</v>
      </c>
      <c r="J727">
        <v>11800000</v>
      </c>
      <c r="K727">
        <v>74100000</v>
      </c>
      <c r="M727">
        <f>I727-(H727+J727-K727)- L727</f>
        <v>0</v>
      </c>
      <c r="N727" t="str">
        <f>IF(M727=0,"Cuadrado",IF(M727&gt;0,"Faltante","Sobrante"))</f>
        <v>Cuadrado</v>
      </c>
    </row>
    <row r="728" spans="8:14" hidden="1" x14ac:dyDescent="0.35">
      <c r="H728">
        <v>178638600</v>
      </c>
      <c r="I728">
        <v>152393900</v>
      </c>
      <c r="J728">
        <v>13090000</v>
      </c>
      <c r="K728">
        <v>39334700</v>
      </c>
      <c r="M728">
        <f>I728-(H728+J728-K728)- L728</f>
        <v>0</v>
      </c>
      <c r="N728" t="str">
        <f>IF(M728=0,"Cuadrado",IF(M728&gt;0,"Faltante","Sobrante"))</f>
        <v>Cuadrado</v>
      </c>
    </row>
    <row r="729" spans="8:14" hidden="1" x14ac:dyDescent="0.35">
      <c r="H729">
        <v>188459450</v>
      </c>
      <c r="I729">
        <v>183569950</v>
      </c>
      <c r="J729">
        <v>32470000</v>
      </c>
      <c r="K729">
        <v>36149500</v>
      </c>
      <c r="M729">
        <f>I729-(H729+J729-K729)- L729</f>
        <v>-1210000</v>
      </c>
      <c r="N729" t="str">
        <f>IF(M729=0,"Cuadrado",IF(M729&gt;0,"Faltante","Sobrante"))</f>
        <v>Sobrante</v>
      </c>
    </row>
    <row r="730" spans="8:14" hidden="1" x14ac:dyDescent="0.35">
      <c r="H730">
        <v>432317300</v>
      </c>
      <c r="I730">
        <v>451647300</v>
      </c>
      <c r="J730">
        <v>19330000</v>
      </c>
      <c r="K730">
        <v>0</v>
      </c>
      <c r="M730">
        <f>I730-(H730+J730-K730)- L730</f>
        <v>0</v>
      </c>
      <c r="N730" t="str">
        <f>IF(M730=0,"Cuadrado",IF(M730&gt;0,"Faltante","Sobrante"))</f>
        <v>Cuadrado</v>
      </c>
    </row>
    <row r="731" spans="8:14" hidden="1" x14ac:dyDescent="0.35">
      <c r="H731">
        <v>196852200</v>
      </c>
      <c r="I731">
        <v>105440200</v>
      </c>
      <c r="J731">
        <v>11300000</v>
      </c>
      <c r="K731">
        <v>92662000</v>
      </c>
      <c r="M731">
        <f>I731-(H731+J731-K731)- L731</f>
        <v>-10050000</v>
      </c>
      <c r="N731" t="str">
        <f>IF(M731=0,"Cuadrado",IF(M731&gt;0,"Faltante","Sobrante"))</f>
        <v>Sobrante</v>
      </c>
    </row>
    <row r="732" spans="8:14" hidden="1" x14ac:dyDescent="0.35">
      <c r="H732">
        <v>94068400</v>
      </c>
      <c r="I732">
        <v>501471400</v>
      </c>
      <c r="J732">
        <v>10700000</v>
      </c>
      <c r="K732">
        <v>62800000</v>
      </c>
      <c r="M732">
        <f>I732-(H732+J732-K732)- L732</f>
        <v>459503000</v>
      </c>
      <c r="N732" t="str">
        <f>IF(M732=0,"Cuadrado",IF(M732&gt;0,"Faltante","Sobrante"))</f>
        <v>Faltante</v>
      </c>
    </row>
  </sheetData>
  <autoFilter ref="A1:P732" xr:uid="{00000000-0001-0000-0000-000000000000}">
    <filterColumn colId="4">
      <filters>
        <dateGroupItem year="2026" month="3" day="25" dateTimeGrouping="day"/>
      </filters>
    </filterColumn>
    <sortState xmlns:xlrd2="http://schemas.microsoft.com/office/spreadsheetml/2017/richdata2" ref="A2:P732">
      <sortCondition ref="B1:B732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9"/>
  <sheetViews>
    <sheetView workbookViewId="0"/>
  </sheetViews>
  <sheetFormatPr baseColWidth="10" defaultColWidth="8.7265625" defaultRowHeight="14.5" x14ac:dyDescent="0.35"/>
  <sheetData>
    <row r="1" spans="1:11" x14ac:dyDescent="0.35">
      <c r="A1" s="1" t="s">
        <v>531</v>
      </c>
      <c r="B1" s="1" t="s">
        <v>1</v>
      </c>
      <c r="C1" s="1" t="s">
        <v>2</v>
      </c>
      <c r="D1" s="1" t="s">
        <v>532</v>
      </c>
      <c r="E1" s="1" t="s">
        <v>533</v>
      </c>
      <c r="F1" s="1" t="s">
        <v>534</v>
      </c>
      <c r="G1" s="1" t="s">
        <v>535</v>
      </c>
      <c r="H1" s="1" t="s">
        <v>536</v>
      </c>
      <c r="I1" s="1" t="s">
        <v>537</v>
      </c>
      <c r="J1" s="1" t="s">
        <v>538</v>
      </c>
      <c r="K1" s="1" t="s">
        <v>539</v>
      </c>
    </row>
    <row r="2" spans="1:11" x14ac:dyDescent="0.35">
      <c r="A2">
        <v>348</v>
      </c>
      <c r="B2">
        <v>192</v>
      </c>
      <c r="C2" t="s">
        <v>19</v>
      </c>
      <c r="D2" t="s">
        <v>540</v>
      </c>
      <c r="E2" t="s">
        <v>541</v>
      </c>
      <c r="F2" t="s">
        <v>542</v>
      </c>
      <c r="G2" t="s">
        <v>543</v>
      </c>
      <c r="H2" s="2">
        <v>46093</v>
      </c>
      <c r="K2" t="s">
        <v>544</v>
      </c>
    </row>
    <row r="3" spans="1:11" x14ac:dyDescent="0.35">
      <c r="A3">
        <v>333</v>
      </c>
      <c r="B3">
        <v>442</v>
      </c>
      <c r="C3" t="s">
        <v>16</v>
      </c>
      <c r="D3" t="s">
        <v>540</v>
      </c>
      <c r="E3" t="s">
        <v>545</v>
      </c>
      <c r="F3" t="s">
        <v>546</v>
      </c>
      <c r="G3" t="s">
        <v>547</v>
      </c>
      <c r="H3" s="2">
        <v>46086</v>
      </c>
      <c r="K3" t="s">
        <v>544</v>
      </c>
    </row>
    <row r="4" spans="1:11" x14ac:dyDescent="0.35">
      <c r="A4">
        <v>331</v>
      </c>
      <c r="B4">
        <v>574</v>
      </c>
      <c r="C4" t="s">
        <v>19</v>
      </c>
      <c r="D4" t="s">
        <v>540</v>
      </c>
      <c r="E4" t="s">
        <v>548</v>
      </c>
      <c r="F4" t="s">
        <v>549</v>
      </c>
      <c r="G4" t="s">
        <v>550</v>
      </c>
      <c r="H4" s="2">
        <v>46086</v>
      </c>
    </row>
    <row r="5" spans="1:11" x14ac:dyDescent="0.35">
      <c r="A5">
        <v>331</v>
      </c>
      <c r="B5">
        <v>575</v>
      </c>
      <c r="C5" t="s">
        <v>19</v>
      </c>
      <c r="D5" t="s">
        <v>540</v>
      </c>
      <c r="E5" t="s">
        <v>548</v>
      </c>
      <c r="F5" t="s">
        <v>549</v>
      </c>
      <c r="G5" t="s">
        <v>550</v>
      </c>
      <c r="H5" s="2">
        <v>46086</v>
      </c>
    </row>
    <row r="6" spans="1:11" x14ac:dyDescent="0.35">
      <c r="A6">
        <v>61</v>
      </c>
      <c r="B6">
        <v>788</v>
      </c>
      <c r="C6" t="s">
        <v>19</v>
      </c>
      <c r="D6" t="s">
        <v>540</v>
      </c>
      <c r="E6" t="s">
        <v>551</v>
      </c>
      <c r="F6" t="s">
        <v>552</v>
      </c>
      <c r="G6" t="s">
        <v>553</v>
      </c>
      <c r="H6" s="2">
        <v>46091</v>
      </c>
      <c r="K6" t="s">
        <v>554</v>
      </c>
    </row>
    <row r="7" spans="1:11" x14ac:dyDescent="0.35">
      <c r="A7">
        <v>287</v>
      </c>
      <c r="B7">
        <v>907</v>
      </c>
      <c r="C7" t="s">
        <v>16</v>
      </c>
      <c r="D7" t="s">
        <v>540</v>
      </c>
      <c r="E7" t="s">
        <v>555</v>
      </c>
      <c r="F7" t="s">
        <v>556</v>
      </c>
      <c r="G7" t="s">
        <v>557</v>
      </c>
      <c r="H7" s="2">
        <v>46100</v>
      </c>
      <c r="K7" t="s">
        <v>558</v>
      </c>
    </row>
    <row r="8" spans="1:11" x14ac:dyDescent="0.35">
      <c r="A8">
        <v>481</v>
      </c>
      <c r="B8">
        <v>1010</v>
      </c>
      <c r="C8" t="s">
        <v>19</v>
      </c>
      <c r="D8" t="s">
        <v>540</v>
      </c>
      <c r="E8" t="s">
        <v>559</v>
      </c>
      <c r="F8" t="s">
        <v>560</v>
      </c>
      <c r="G8" t="s">
        <v>561</v>
      </c>
      <c r="H8" s="2">
        <v>46091</v>
      </c>
    </row>
    <row r="9" spans="1:11" x14ac:dyDescent="0.35">
      <c r="A9">
        <v>481</v>
      </c>
      <c r="B9">
        <v>1011</v>
      </c>
      <c r="C9" t="s">
        <v>19</v>
      </c>
      <c r="D9" t="s">
        <v>540</v>
      </c>
      <c r="E9" t="s">
        <v>559</v>
      </c>
      <c r="F9" t="s">
        <v>560</v>
      </c>
      <c r="G9" t="s">
        <v>561</v>
      </c>
      <c r="H9" s="2">
        <v>46091</v>
      </c>
    </row>
    <row r="10" spans="1:11" x14ac:dyDescent="0.35">
      <c r="A10">
        <v>795</v>
      </c>
      <c r="B10">
        <v>1027</v>
      </c>
      <c r="C10" t="s">
        <v>19</v>
      </c>
      <c r="D10" t="s">
        <v>540</v>
      </c>
      <c r="E10" t="s">
        <v>562</v>
      </c>
      <c r="F10" t="s">
        <v>556</v>
      </c>
      <c r="G10" t="s">
        <v>563</v>
      </c>
      <c r="H10" s="2">
        <v>46091</v>
      </c>
      <c r="I10" t="s">
        <v>564</v>
      </c>
    </row>
    <row r="11" spans="1:11" x14ac:dyDescent="0.35">
      <c r="A11">
        <v>795</v>
      </c>
      <c r="B11">
        <v>1028</v>
      </c>
      <c r="C11" t="s">
        <v>19</v>
      </c>
      <c r="D11" t="s">
        <v>540</v>
      </c>
      <c r="E11" t="s">
        <v>562</v>
      </c>
      <c r="F11" t="s">
        <v>556</v>
      </c>
      <c r="G11" t="s">
        <v>563</v>
      </c>
      <c r="H11" s="2">
        <v>46091</v>
      </c>
      <c r="I11" t="s">
        <v>564</v>
      </c>
    </row>
    <row r="12" spans="1:11" x14ac:dyDescent="0.35">
      <c r="A12">
        <v>795</v>
      </c>
      <c r="B12">
        <v>1029</v>
      </c>
      <c r="C12" t="s">
        <v>19</v>
      </c>
      <c r="D12" t="s">
        <v>540</v>
      </c>
      <c r="E12" t="s">
        <v>562</v>
      </c>
      <c r="F12" t="s">
        <v>556</v>
      </c>
      <c r="G12" t="s">
        <v>563</v>
      </c>
      <c r="H12" s="2">
        <v>46091</v>
      </c>
      <c r="I12" t="s">
        <v>564</v>
      </c>
    </row>
    <row r="13" spans="1:11" x14ac:dyDescent="0.35">
      <c r="A13">
        <v>745</v>
      </c>
      <c r="B13">
        <v>1477</v>
      </c>
      <c r="C13" t="s">
        <v>19</v>
      </c>
      <c r="D13" t="s">
        <v>540</v>
      </c>
      <c r="E13" t="s">
        <v>565</v>
      </c>
      <c r="F13" t="s">
        <v>552</v>
      </c>
      <c r="G13" t="s">
        <v>566</v>
      </c>
      <c r="H13" s="2">
        <v>46091</v>
      </c>
    </row>
    <row r="14" spans="1:11" x14ac:dyDescent="0.35">
      <c r="A14">
        <v>377</v>
      </c>
      <c r="B14">
        <v>1508</v>
      </c>
      <c r="C14" t="s">
        <v>16</v>
      </c>
      <c r="D14" t="s">
        <v>540</v>
      </c>
      <c r="E14" t="s">
        <v>567</v>
      </c>
      <c r="F14" t="s">
        <v>568</v>
      </c>
      <c r="G14" t="s">
        <v>569</v>
      </c>
      <c r="H14" s="2">
        <v>46086</v>
      </c>
    </row>
    <row r="15" spans="1:11" x14ac:dyDescent="0.35">
      <c r="A15">
        <v>692</v>
      </c>
      <c r="B15">
        <v>1515</v>
      </c>
      <c r="C15" t="s">
        <v>19</v>
      </c>
      <c r="D15" t="s">
        <v>540</v>
      </c>
      <c r="E15" t="s">
        <v>570</v>
      </c>
      <c r="F15" t="s">
        <v>571</v>
      </c>
      <c r="G15" t="s">
        <v>572</v>
      </c>
      <c r="H15" s="2">
        <v>46091</v>
      </c>
      <c r="K15" t="s">
        <v>573</v>
      </c>
    </row>
    <row r="16" spans="1:11" x14ac:dyDescent="0.35">
      <c r="A16">
        <v>692</v>
      </c>
      <c r="B16">
        <v>1516</v>
      </c>
      <c r="C16" t="s">
        <v>19</v>
      </c>
      <c r="D16" t="s">
        <v>540</v>
      </c>
      <c r="E16" t="s">
        <v>570</v>
      </c>
      <c r="F16" t="s">
        <v>571</v>
      </c>
      <c r="G16" t="s">
        <v>572</v>
      </c>
      <c r="H16" s="2">
        <v>46091</v>
      </c>
      <c r="K16" t="s">
        <v>573</v>
      </c>
    </row>
    <row r="17" spans="1:11" x14ac:dyDescent="0.35">
      <c r="A17">
        <v>395</v>
      </c>
      <c r="B17">
        <v>1528</v>
      </c>
      <c r="C17" t="s">
        <v>19</v>
      </c>
      <c r="D17" t="s">
        <v>540</v>
      </c>
      <c r="E17" t="s">
        <v>574</v>
      </c>
      <c r="F17" t="s">
        <v>575</v>
      </c>
      <c r="G17" t="s">
        <v>576</v>
      </c>
      <c r="H17" s="2">
        <v>46091</v>
      </c>
      <c r="I17" t="s">
        <v>564</v>
      </c>
    </row>
    <row r="18" spans="1:11" x14ac:dyDescent="0.35">
      <c r="A18">
        <v>395</v>
      </c>
      <c r="B18">
        <v>1529</v>
      </c>
      <c r="C18" t="s">
        <v>19</v>
      </c>
      <c r="D18" t="s">
        <v>540</v>
      </c>
      <c r="E18" t="s">
        <v>574</v>
      </c>
      <c r="F18" t="s">
        <v>575</v>
      </c>
      <c r="G18" t="s">
        <v>576</v>
      </c>
      <c r="H18" s="2">
        <v>46091</v>
      </c>
      <c r="I18" t="s">
        <v>564</v>
      </c>
    </row>
    <row r="19" spans="1:11" x14ac:dyDescent="0.35">
      <c r="A19">
        <v>141</v>
      </c>
      <c r="B19">
        <v>1541</v>
      </c>
      <c r="C19" t="s">
        <v>19</v>
      </c>
      <c r="D19" t="s">
        <v>540</v>
      </c>
      <c r="E19" t="s">
        <v>577</v>
      </c>
      <c r="F19" t="s">
        <v>578</v>
      </c>
      <c r="G19" t="s">
        <v>579</v>
      </c>
      <c r="H19" s="2">
        <v>46099</v>
      </c>
    </row>
    <row r="20" spans="1:11" x14ac:dyDescent="0.35">
      <c r="A20">
        <v>438</v>
      </c>
      <c r="B20">
        <v>1565</v>
      </c>
      <c r="C20" t="s">
        <v>19</v>
      </c>
      <c r="D20" t="s">
        <v>540</v>
      </c>
      <c r="E20" t="s">
        <v>580</v>
      </c>
      <c r="F20" t="s">
        <v>546</v>
      </c>
      <c r="G20" t="s">
        <v>581</v>
      </c>
      <c r="H20" s="2">
        <v>46100</v>
      </c>
    </row>
    <row r="21" spans="1:11" x14ac:dyDescent="0.35">
      <c r="A21">
        <v>944</v>
      </c>
      <c r="B21">
        <v>2228</v>
      </c>
      <c r="C21" t="s">
        <v>19</v>
      </c>
      <c r="D21" t="s">
        <v>540</v>
      </c>
      <c r="E21" t="s">
        <v>582</v>
      </c>
      <c r="F21" t="s">
        <v>583</v>
      </c>
      <c r="G21" t="s">
        <v>584</v>
      </c>
      <c r="H21" s="2">
        <v>46098</v>
      </c>
      <c r="K21" t="s">
        <v>585</v>
      </c>
    </row>
    <row r="22" spans="1:11" x14ac:dyDescent="0.35">
      <c r="A22">
        <v>108</v>
      </c>
      <c r="B22">
        <v>2254</v>
      </c>
      <c r="C22" t="s">
        <v>16</v>
      </c>
      <c r="D22" t="s">
        <v>540</v>
      </c>
      <c r="E22" t="s">
        <v>586</v>
      </c>
      <c r="F22" t="s">
        <v>587</v>
      </c>
      <c r="G22" t="s">
        <v>588</v>
      </c>
      <c r="H22" s="2">
        <v>46099</v>
      </c>
    </row>
    <row r="23" spans="1:11" x14ac:dyDescent="0.35">
      <c r="A23">
        <v>322</v>
      </c>
      <c r="B23">
        <v>2444</v>
      </c>
      <c r="C23" t="s">
        <v>19</v>
      </c>
      <c r="D23" t="s">
        <v>540</v>
      </c>
      <c r="E23" t="s">
        <v>589</v>
      </c>
      <c r="F23" t="s">
        <v>590</v>
      </c>
      <c r="G23" t="s">
        <v>591</v>
      </c>
      <c r="H23" s="2">
        <v>46093</v>
      </c>
    </row>
    <row r="24" spans="1:11" x14ac:dyDescent="0.35">
      <c r="A24">
        <v>907</v>
      </c>
      <c r="B24">
        <v>4830</v>
      </c>
      <c r="C24" t="s">
        <v>19</v>
      </c>
      <c r="D24" t="s">
        <v>540</v>
      </c>
      <c r="E24" t="s">
        <v>592</v>
      </c>
      <c r="F24" t="s">
        <v>593</v>
      </c>
      <c r="G24" t="s">
        <v>594</v>
      </c>
      <c r="H24" s="2">
        <v>46093</v>
      </c>
      <c r="K24" t="s">
        <v>595</v>
      </c>
    </row>
    <row r="25" spans="1:11" x14ac:dyDescent="0.35">
      <c r="A25">
        <v>5</v>
      </c>
      <c r="B25">
        <v>4866</v>
      </c>
      <c r="C25" t="s">
        <v>16</v>
      </c>
      <c r="D25" t="s">
        <v>540</v>
      </c>
      <c r="E25" t="s">
        <v>596</v>
      </c>
      <c r="F25" t="s">
        <v>593</v>
      </c>
      <c r="G25" t="s">
        <v>597</v>
      </c>
      <c r="H25" s="2">
        <v>46099</v>
      </c>
      <c r="K25" t="s">
        <v>598</v>
      </c>
    </row>
    <row r="26" spans="1:11" x14ac:dyDescent="0.35">
      <c r="A26">
        <v>777</v>
      </c>
      <c r="B26">
        <v>4868</v>
      </c>
      <c r="C26" t="s">
        <v>16</v>
      </c>
      <c r="D26" t="s">
        <v>540</v>
      </c>
      <c r="E26" t="s">
        <v>599</v>
      </c>
      <c r="F26" t="s">
        <v>571</v>
      </c>
      <c r="G26" t="s">
        <v>600</v>
      </c>
      <c r="H26" s="2">
        <v>46092</v>
      </c>
      <c r="K26" t="s">
        <v>601</v>
      </c>
    </row>
    <row r="27" spans="1:11" x14ac:dyDescent="0.35">
      <c r="A27">
        <v>1</v>
      </c>
      <c r="B27">
        <v>5000</v>
      </c>
      <c r="C27" t="s">
        <v>19</v>
      </c>
      <c r="D27" t="s">
        <v>540</v>
      </c>
      <c r="E27" t="s">
        <v>602</v>
      </c>
      <c r="F27" t="s">
        <v>568</v>
      </c>
      <c r="G27" t="s">
        <v>603</v>
      </c>
      <c r="H27" s="2">
        <v>46086</v>
      </c>
    </row>
    <row r="28" spans="1:11" x14ac:dyDescent="0.35">
      <c r="A28">
        <v>6</v>
      </c>
      <c r="B28">
        <v>5001</v>
      </c>
      <c r="C28" t="s">
        <v>19</v>
      </c>
      <c r="D28" t="s">
        <v>540</v>
      </c>
      <c r="E28" t="s">
        <v>604</v>
      </c>
      <c r="F28" t="s">
        <v>568</v>
      </c>
      <c r="G28" t="s">
        <v>605</v>
      </c>
      <c r="H28" s="2">
        <v>46086</v>
      </c>
      <c r="I28" t="s">
        <v>564</v>
      </c>
    </row>
    <row r="29" spans="1:11" x14ac:dyDescent="0.35">
      <c r="A29">
        <v>59</v>
      </c>
      <c r="B29">
        <v>5002</v>
      </c>
      <c r="C29" t="s">
        <v>19</v>
      </c>
      <c r="D29" t="s">
        <v>540</v>
      </c>
      <c r="E29" t="s">
        <v>606</v>
      </c>
      <c r="F29" t="s">
        <v>607</v>
      </c>
      <c r="G29" t="s">
        <v>608</v>
      </c>
      <c r="H29" s="2">
        <v>46100</v>
      </c>
    </row>
    <row r="30" spans="1:11" x14ac:dyDescent="0.35">
      <c r="A30">
        <v>361</v>
      </c>
      <c r="B30">
        <v>5005</v>
      </c>
      <c r="C30" t="s">
        <v>19</v>
      </c>
      <c r="D30" t="s">
        <v>540</v>
      </c>
      <c r="E30" t="s">
        <v>609</v>
      </c>
      <c r="F30" t="s">
        <v>610</v>
      </c>
      <c r="G30" t="s">
        <v>611</v>
      </c>
      <c r="H30" s="2">
        <v>46092</v>
      </c>
    </row>
    <row r="31" spans="1:11" x14ac:dyDescent="0.35">
      <c r="A31">
        <v>777</v>
      </c>
      <c r="B31">
        <v>5009</v>
      </c>
      <c r="C31" t="s">
        <v>19</v>
      </c>
      <c r="D31" t="s">
        <v>540</v>
      </c>
      <c r="E31" t="s">
        <v>599</v>
      </c>
      <c r="F31" t="s">
        <v>571</v>
      </c>
      <c r="G31" t="s">
        <v>600</v>
      </c>
      <c r="H31" s="2">
        <v>46092</v>
      </c>
    </row>
    <row r="32" spans="1:11" x14ac:dyDescent="0.35">
      <c r="A32">
        <v>779</v>
      </c>
      <c r="B32">
        <v>5013</v>
      </c>
      <c r="C32" t="s">
        <v>19</v>
      </c>
      <c r="D32" t="s">
        <v>540</v>
      </c>
      <c r="E32" t="s">
        <v>612</v>
      </c>
      <c r="F32" t="s">
        <v>613</v>
      </c>
      <c r="G32" t="s">
        <v>614</v>
      </c>
      <c r="H32" s="2">
        <v>46100</v>
      </c>
    </row>
    <row r="33" spans="1:9" x14ac:dyDescent="0.35">
      <c r="A33">
        <v>907</v>
      </c>
      <c r="B33">
        <v>5019</v>
      </c>
      <c r="C33" t="s">
        <v>19</v>
      </c>
      <c r="D33" t="s">
        <v>540</v>
      </c>
      <c r="E33" t="s">
        <v>592</v>
      </c>
      <c r="F33" t="s">
        <v>593</v>
      </c>
      <c r="G33" t="s">
        <v>594</v>
      </c>
      <c r="H33" s="2">
        <v>46093</v>
      </c>
    </row>
    <row r="34" spans="1:9" x14ac:dyDescent="0.35">
      <c r="A34">
        <v>882</v>
      </c>
      <c r="B34">
        <v>5020</v>
      </c>
      <c r="C34" t="s">
        <v>19</v>
      </c>
      <c r="D34" t="s">
        <v>540</v>
      </c>
      <c r="E34" t="s">
        <v>615</v>
      </c>
      <c r="F34" t="s">
        <v>616</v>
      </c>
      <c r="G34" t="s">
        <v>617</v>
      </c>
      <c r="H34" s="2">
        <v>46093</v>
      </c>
      <c r="I34" t="s">
        <v>564</v>
      </c>
    </row>
    <row r="35" spans="1:9" x14ac:dyDescent="0.35">
      <c r="A35">
        <v>277</v>
      </c>
      <c r="B35">
        <v>5021</v>
      </c>
      <c r="C35" t="s">
        <v>19</v>
      </c>
      <c r="D35" t="s">
        <v>540</v>
      </c>
      <c r="E35" t="s">
        <v>618</v>
      </c>
      <c r="F35" t="s">
        <v>546</v>
      </c>
      <c r="G35" t="s">
        <v>619</v>
      </c>
      <c r="H35" s="2">
        <v>46092</v>
      </c>
    </row>
    <row r="36" spans="1:9" x14ac:dyDescent="0.35">
      <c r="A36">
        <v>825</v>
      </c>
      <c r="B36">
        <v>5023</v>
      </c>
      <c r="C36" t="s">
        <v>19</v>
      </c>
      <c r="D36" t="s">
        <v>540</v>
      </c>
      <c r="E36" t="s">
        <v>620</v>
      </c>
      <c r="F36" t="s">
        <v>552</v>
      </c>
      <c r="G36" t="s">
        <v>621</v>
      </c>
      <c r="H36" s="2">
        <v>46086</v>
      </c>
      <c r="I36" t="s">
        <v>564</v>
      </c>
    </row>
    <row r="37" spans="1:9" x14ac:dyDescent="0.35">
      <c r="A37">
        <v>32</v>
      </c>
      <c r="B37">
        <v>5027</v>
      </c>
      <c r="C37" t="s">
        <v>19</v>
      </c>
      <c r="D37" t="s">
        <v>540</v>
      </c>
      <c r="E37" t="s">
        <v>622</v>
      </c>
      <c r="F37" t="s">
        <v>623</v>
      </c>
      <c r="G37" t="s">
        <v>624</v>
      </c>
      <c r="H37" s="2">
        <v>46093</v>
      </c>
    </row>
    <row r="38" spans="1:9" x14ac:dyDescent="0.35">
      <c r="A38">
        <v>167</v>
      </c>
      <c r="B38">
        <v>5030</v>
      </c>
      <c r="C38" t="s">
        <v>19</v>
      </c>
      <c r="D38" t="s">
        <v>540</v>
      </c>
      <c r="E38" t="s">
        <v>625</v>
      </c>
      <c r="F38" t="s">
        <v>623</v>
      </c>
      <c r="G38" t="s">
        <v>626</v>
      </c>
      <c r="H38" s="2">
        <v>46092</v>
      </c>
    </row>
    <row r="39" spans="1:9" x14ac:dyDescent="0.35">
      <c r="A39">
        <v>275</v>
      </c>
      <c r="B39">
        <v>5034</v>
      </c>
      <c r="C39" t="s">
        <v>19</v>
      </c>
      <c r="D39" t="s">
        <v>540</v>
      </c>
      <c r="E39" t="s">
        <v>627</v>
      </c>
      <c r="F39" t="s">
        <v>546</v>
      </c>
      <c r="G39" t="s">
        <v>628</v>
      </c>
      <c r="H39" s="2">
        <v>46086</v>
      </c>
    </row>
    <row r="40" spans="1:9" x14ac:dyDescent="0.35">
      <c r="A40">
        <v>81</v>
      </c>
      <c r="B40">
        <v>5036</v>
      </c>
      <c r="C40" t="s">
        <v>19</v>
      </c>
      <c r="D40" t="s">
        <v>540</v>
      </c>
      <c r="E40" t="s">
        <v>629</v>
      </c>
      <c r="F40" t="s">
        <v>560</v>
      </c>
      <c r="G40" t="s">
        <v>630</v>
      </c>
      <c r="H40" s="2">
        <v>46091</v>
      </c>
    </row>
    <row r="41" spans="1:9" x14ac:dyDescent="0.35">
      <c r="A41">
        <v>824</v>
      </c>
      <c r="B41">
        <v>5040</v>
      </c>
      <c r="C41" t="s">
        <v>19</v>
      </c>
      <c r="D41" t="s">
        <v>540</v>
      </c>
      <c r="E41" t="s">
        <v>631</v>
      </c>
      <c r="F41" t="s">
        <v>632</v>
      </c>
      <c r="G41" t="s">
        <v>633</v>
      </c>
      <c r="H41" s="2">
        <v>46093</v>
      </c>
      <c r="I41" t="s">
        <v>564</v>
      </c>
    </row>
    <row r="42" spans="1:9" x14ac:dyDescent="0.35">
      <c r="A42">
        <v>154</v>
      </c>
      <c r="B42">
        <v>5041</v>
      </c>
      <c r="C42" t="s">
        <v>19</v>
      </c>
      <c r="D42" t="s">
        <v>540</v>
      </c>
      <c r="E42" t="s">
        <v>634</v>
      </c>
      <c r="F42" t="s">
        <v>587</v>
      </c>
      <c r="G42" t="s">
        <v>635</v>
      </c>
      <c r="H42" s="2">
        <v>46091</v>
      </c>
    </row>
    <row r="43" spans="1:9" x14ac:dyDescent="0.35">
      <c r="A43">
        <v>867</v>
      </c>
      <c r="B43">
        <v>5043</v>
      </c>
      <c r="C43" t="s">
        <v>19</v>
      </c>
      <c r="D43" t="s">
        <v>540</v>
      </c>
      <c r="E43" t="s">
        <v>636</v>
      </c>
      <c r="F43" t="s">
        <v>637</v>
      </c>
      <c r="G43" t="s">
        <v>638</v>
      </c>
      <c r="H43" s="2">
        <v>46099</v>
      </c>
      <c r="I43" t="s">
        <v>564</v>
      </c>
    </row>
    <row r="44" spans="1:9" x14ac:dyDescent="0.35">
      <c r="A44">
        <v>879</v>
      </c>
      <c r="B44">
        <v>5045</v>
      </c>
      <c r="C44" t="s">
        <v>19</v>
      </c>
      <c r="D44" t="s">
        <v>540</v>
      </c>
      <c r="E44" t="s">
        <v>639</v>
      </c>
      <c r="F44" t="s">
        <v>640</v>
      </c>
      <c r="G44" t="s">
        <v>641</v>
      </c>
      <c r="H44" s="2">
        <v>46093</v>
      </c>
    </row>
    <row r="45" spans="1:9" x14ac:dyDescent="0.35">
      <c r="A45">
        <v>723</v>
      </c>
      <c r="B45">
        <v>5046</v>
      </c>
      <c r="C45" t="s">
        <v>19</v>
      </c>
      <c r="D45" t="s">
        <v>540</v>
      </c>
      <c r="E45" t="s">
        <v>642</v>
      </c>
      <c r="F45" t="s">
        <v>607</v>
      </c>
      <c r="G45" t="s">
        <v>643</v>
      </c>
      <c r="H45" s="2">
        <v>46098</v>
      </c>
    </row>
    <row r="46" spans="1:9" x14ac:dyDescent="0.35">
      <c r="A46">
        <v>623</v>
      </c>
      <c r="B46">
        <v>5047</v>
      </c>
      <c r="C46" t="s">
        <v>19</v>
      </c>
      <c r="D46" t="s">
        <v>540</v>
      </c>
      <c r="E46" t="s">
        <v>644</v>
      </c>
      <c r="F46" t="s">
        <v>607</v>
      </c>
      <c r="G46" t="s">
        <v>645</v>
      </c>
      <c r="H46" s="2">
        <v>46086</v>
      </c>
    </row>
    <row r="47" spans="1:9" x14ac:dyDescent="0.35">
      <c r="A47">
        <v>261</v>
      </c>
      <c r="B47">
        <v>5048</v>
      </c>
      <c r="C47" t="s">
        <v>19</v>
      </c>
      <c r="D47" t="s">
        <v>540</v>
      </c>
      <c r="E47" t="s">
        <v>646</v>
      </c>
      <c r="F47" t="s">
        <v>640</v>
      </c>
      <c r="G47" t="s">
        <v>647</v>
      </c>
      <c r="H47" s="2">
        <v>46093</v>
      </c>
    </row>
    <row r="48" spans="1:9" x14ac:dyDescent="0.35">
      <c r="A48">
        <v>682</v>
      </c>
      <c r="B48">
        <v>5049</v>
      </c>
      <c r="C48" t="s">
        <v>19</v>
      </c>
      <c r="D48" t="s">
        <v>540</v>
      </c>
      <c r="E48" t="s">
        <v>648</v>
      </c>
      <c r="F48" t="s">
        <v>583</v>
      </c>
      <c r="G48" t="s">
        <v>649</v>
      </c>
      <c r="H48" s="2">
        <v>46099</v>
      </c>
    </row>
    <row r="49" spans="1:11" x14ac:dyDescent="0.35">
      <c r="A49">
        <v>852</v>
      </c>
      <c r="B49">
        <v>5050</v>
      </c>
      <c r="C49" t="s">
        <v>19</v>
      </c>
      <c r="D49" t="s">
        <v>540</v>
      </c>
      <c r="E49" t="s">
        <v>650</v>
      </c>
      <c r="F49" t="s">
        <v>607</v>
      </c>
      <c r="G49" t="s">
        <v>651</v>
      </c>
      <c r="H49" s="2">
        <v>46091</v>
      </c>
    </row>
    <row r="50" spans="1:11" x14ac:dyDescent="0.35">
      <c r="A50">
        <v>769</v>
      </c>
      <c r="B50">
        <v>5051</v>
      </c>
      <c r="C50" t="s">
        <v>19</v>
      </c>
      <c r="D50" t="s">
        <v>540</v>
      </c>
      <c r="E50" t="s">
        <v>652</v>
      </c>
      <c r="F50" t="s">
        <v>560</v>
      </c>
      <c r="G50" t="s">
        <v>653</v>
      </c>
      <c r="H50" s="2">
        <v>46086</v>
      </c>
    </row>
    <row r="51" spans="1:11" x14ac:dyDescent="0.35">
      <c r="A51">
        <v>916</v>
      </c>
      <c r="B51">
        <v>5052</v>
      </c>
      <c r="C51" t="s">
        <v>19</v>
      </c>
      <c r="D51" t="s">
        <v>540</v>
      </c>
      <c r="E51" t="s">
        <v>654</v>
      </c>
      <c r="F51" t="s">
        <v>613</v>
      </c>
      <c r="G51" t="s">
        <v>655</v>
      </c>
      <c r="H51" s="2">
        <v>46093</v>
      </c>
    </row>
    <row r="52" spans="1:11" x14ac:dyDescent="0.35">
      <c r="A52">
        <v>517</v>
      </c>
      <c r="B52">
        <v>5053</v>
      </c>
      <c r="C52" t="s">
        <v>19</v>
      </c>
      <c r="D52" t="s">
        <v>540</v>
      </c>
      <c r="E52" t="s">
        <v>656</v>
      </c>
      <c r="F52" t="s">
        <v>613</v>
      </c>
      <c r="G52" t="s">
        <v>657</v>
      </c>
      <c r="H52" s="2">
        <v>46092</v>
      </c>
    </row>
    <row r="53" spans="1:11" x14ac:dyDescent="0.35">
      <c r="A53">
        <v>781</v>
      </c>
      <c r="B53">
        <v>5057</v>
      </c>
      <c r="C53" t="s">
        <v>19</v>
      </c>
      <c r="D53" t="s">
        <v>540</v>
      </c>
      <c r="E53" t="s">
        <v>658</v>
      </c>
      <c r="F53" t="s">
        <v>613</v>
      </c>
      <c r="G53" t="s">
        <v>659</v>
      </c>
      <c r="H53" s="2">
        <v>46100</v>
      </c>
    </row>
    <row r="54" spans="1:11" x14ac:dyDescent="0.35">
      <c r="A54">
        <v>7</v>
      </c>
      <c r="B54">
        <v>5059</v>
      </c>
      <c r="C54" t="s">
        <v>19</v>
      </c>
      <c r="D54" t="s">
        <v>540</v>
      </c>
      <c r="E54" t="s">
        <v>660</v>
      </c>
      <c r="F54" t="s">
        <v>549</v>
      </c>
      <c r="G54" t="s">
        <v>661</v>
      </c>
      <c r="H54" s="2">
        <v>46091</v>
      </c>
    </row>
    <row r="55" spans="1:11" x14ac:dyDescent="0.35">
      <c r="A55">
        <v>392</v>
      </c>
      <c r="B55">
        <v>5064</v>
      </c>
      <c r="C55" t="s">
        <v>19</v>
      </c>
      <c r="D55" t="s">
        <v>540</v>
      </c>
      <c r="E55" t="s">
        <v>662</v>
      </c>
      <c r="F55" t="s">
        <v>663</v>
      </c>
      <c r="G55" t="s">
        <v>664</v>
      </c>
      <c r="H55" s="2">
        <v>46100</v>
      </c>
    </row>
    <row r="56" spans="1:11" x14ac:dyDescent="0.35">
      <c r="A56">
        <v>24</v>
      </c>
      <c r="B56">
        <v>5066</v>
      </c>
      <c r="C56" t="s">
        <v>19</v>
      </c>
      <c r="D56" t="s">
        <v>540</v>
      </c>
      <c r="E56" t="s">
        <v>665</v>
      </c>
      <c r="F56" t="s">
        <v>663</v>
      </c>
      <c r="G56" t="s">
        <v>666</v>
      </c>
      <c r="H56" s="2">
        <v>46093</v>
      </c>
    </row>
    <row r="57" spans="1:11" x14ac:dyDescent="0.35">
      <c r="A57">
        <v>211</v>
      </c>
      <c r="B57">
        <v>5067</v>
      </c>
      <c r="C57" t="s">
        <v>19</v>
      </c>
      <c r="D57" t="s">
        <v>540</v>
      </c>
      <c r="E57" t="s">
        <v>667</v>
      </c>
      <c r="F57" t="s">
        <v>587</v>
      </c>
      <c r="G57" t="s">
        <v>668</v>
      </c>
      <c r="H57" s="2">
        <v>46099</v>
      </c>
    </row>
    <row r="58" spans="1:11" x14ac:dyDescent="0.35">
      <c r="A58">
        <v>652</v>
      </c>
      <c r="B58">
        <v>5070</v>
      </c>
      <c r="C58" t="s">
        <v>19</v>
      </c>
      <c r="D58" t="s">
        <v>540</v>
      </c>
      <c r="E58" t="s">
        <v>669</v>
      </c>
      <c r="F58" t="s">
        <v>623</v>
      </c>
      <c r="G58" t="s">
        <v>670</v>
      </c>
      <c r="H58" s="2">
        <v>46093</v>
      </c>
    </row>
    <row r="59" spans="1:11" x14ac:dyDescent="0.35">
      <c r="A59">
        <v>333</v>
      </c>
      <c r="B59">
        <v>5076</v>
      </c>
      <c r="C59" t="s">
        <v>19</v>
      </c>
      <c r="D59" t="s">
        <v>540</v>
      </c>
      <c r="E59" t="s">
        <v>545</v>
      </c>
      <c r="F59" t="s">
        <v>546</v>
      </c>
      <c r="G59" t="s">
        <v>547</v>
      </c>
      <c r="H59" s="2">
        <v>46086</v>
      </c>
    </row>
    <row r="60" spans="1:11" x14ac:dyDescent="0.35">
      <c r="A60">
        <v>419</v>
      </c>
      <c r="B60">
        <v>5077</v>
      </c>
      <c r="C60" t="s">
        <v>19</v>
      </c>
      <c r="D60" t="s">
        <v>540</v>
      </c>
      <c r="E60" t="s">
        <v>671</v>
      </c>
      <c r="F60" t="s">
        <v>672</v>
      </c>
      <c r="G60" t="s">
        <v>673</v>
      </c>
      <c r="H60" s="2">
        <v>46091</v>
      </c>
    </row>
    <row r="61" spans="1:11" x14ac:dyDescent="0.35">
      <c r="A61">
        <v>19</v>
      </c>
      <c r="B61">
        <v>5078</v>
      </c>
      <c r="C61" t="s">
        <v>19</v>
      </c>
      <c r="D61" t="s">
        <v>540</v>
      </c>
      <c r="E61" t="s">
        <v>674</v>
      </c>
      <c r="F61" t="s">
        <v>546</v>
      </c>
      <c r="G61" t="s">
        <v>675</v>
      </c>
      <c r="H61" s="2">
        <v>46092</v>
      </c>
    </row>
    <row r="62" spans="1:11" x14ac:dyDescent="0.35">
      <c r="A62">
        <v>8</v>
      </c>
      <c r="B62">
        <v>5079</v>
      </c>
      <c r="C62" t="s">
        <v>19</v>
      </c>
      <c r="D62" t="s">
        <v>540</v>
      </c>
      <c r="E62" t="s">
        <v>676</v>
      </c>
      <c r="F62" t="s">
        <v>568</v>
      </c>
      <c r="G62" t="s">
        <v>677</v>
      </c>
      <c r="H62" s="2">
        <v>46099</v>
      </c>
    </row>
    <row r="63" spans="1:11" x14ac:dyDescent="0.35">
      <c r="A63">
        <v>115</v>
      </c>
      <c r="B63">
        <v>5080</v>
      </c>
      <c r="C63" t="s">
        <v>19</v>
      </c>
      <c r="D63" t="s">
        <v>540</v>
      </c>
      <c r="E63" t="s">
        <v>678</v>
      </c>
      <c r="F63" t="s">
        <v>607</v>
      </c>
      <c r="G63" t="s">
        <v>679</v>
      </c>
      <c r="H63" s="2">
        <v>46092</v>
      </c>
    </row>
    <row r="64" spans="1:11" x14ac:dyDescent="0.35">
      <c r="A64">
        <v>486</v>
      </c>
      <c r="B64">
        <v>5081</v>
      </c>
      <c r="C64" t="s">
        <v>19</v>
      </c>
      <c r="D64" t="s">
        <v>540</v>
      </c>
      <c r="E64" t="s">
        <v>680</v>
      </c>
      <c r="F64" t="s">
        <v>560</v>
      </c>
      <c r="G64" t="s">
        <v>681</v>
      </c>
      <c r="H64" s="2">
        <v>46099</v>
      </c>
      <c r="K64" t="s">
        <v>682</v>
      </c>
    </row>
    <row r="65" spans="1:9" x14ac:dyDescent="0.35">
      <c r="A65">
        <v>523</v>
      </c>
      <c r="B65">
        <v>5082</v>
      </c>
      <c r="C65" t="s">
        <v>19</v>
      </c>
      <c r="D65" t="s">
        <v>540</v>
      </c>
      <c r="E65" t="s">
        <v>683</v>
      </c>
      <c r="F65" t="s">
        <v>613</v>
      </c>
      <c r="G65" t="s">
        <v>684</v>
      </c>
      <c r="H65" s="2">
        <v>46091</v>
      </c>
    </row>
    <row r="66" spans="1:9" x14ac:dyDescent="0.35">
      <c r="A66">
        <v>265</v>
      </c>
      <c r="B66">
        <v>5083</v>
      </c>
      <c r="C66" t="s">
        <v>19</v>
      </c>
      <c r="D66" t="s">
        <v>540</v>
      </c>
      <c r="E66" t="s">
        <v>685</v>
      </c>
      <c r="F66" t="s">
        <v>552</v>
      </c>
      <c r="G66" t="s">
        <v>686</v>
      </c>
      <c r="H66" s="2">
        <v>46093</v>
      </c>
    </row>
    <row r="67" spans="1:9" x14ac:dyDescent="0.35">
      <c r="A67">
        <v>197</v>
      </c>
      <c r="B67">
        <v>5084</v>
      </c>
      <c r="C67" t="s">
        <v>19</v>
      </c>
      <c r="D67" t="s">
        <v>540</v>
      </c>
      <c r="E67" t="s">
        <v>687</v>
      </c>
      <c r="F67" t="s">
        <v>613</v>
      </c>
      <c r="G67" t="s">
        <v>688</v>
      </c>
      <c r="H67" s="2">
        <v>46093</v>
      </c>
    </row>
    <row r="68" spans="1:9" x14ac:dyDescent="0.35">
      <c r="A68">
        <v>634</v>
      </c>
      <c r="B68">
        <v>5087</v>
      </c>
      <c r="C68" t="s">
        <v>19</v>
      </c>
      <c r="D68" t="s">
        <v>540</v>
      </c>
      <c r="E68" t="s">
        <v>689</v>
      </c>
      <c r="F68" t="s">
        <v>672</v>
      </c>
      <c r="G68" t="s">
        <v>690</v>
      </c>
      <c r="H68" s="2">
        <v>46086</v>
      </c>
    </row>
    <row r="69" spans="1:9" x14ac:dyDescent="0.35">
      <c r="A69">
        <v>659</v>
      </c>
      <c r="B69">
        <v>5102</v>
      </c>
      <c r="C69" t="s">
        <v>19</v>
      </c>
      <c r="D69" t="s">
        <v>540</v>
      </c>
      <c r="E69" t="s">
        <v>691</v>
      </c>
      <c r="F69" t="s">
        <v>692</v>
      </c>
      <c r="G69" t="s">
        <v>693</v>
      </c>
      <c r="H69" s="2">
        <v>46100</v>
      </c>
    </row>
    <row r="70" spans="1:9" x14ac:dyDescent="0.35">
      <c r="A70">
        <v>656</v>
      </c>
      <c r="B70">
        <v>5103</v>
      </c>
      <c r="C70" t="s">
        <v>19</v>
      </c>
      <c r="D70" t="s">
        <v>540</v>
      </c>
      <c r="E70" t="s">
        <v>694</v>
      </c>
      <c r="F70" t="s">
        <v>613</v>
      </c>
      <c r="G70" t="s">
        <v>695</v>
      </c>
      <c r="H70" s="2">
        <v>46099</v>
      </c>
    </row>
    <row r="71" spans="1:9" x14ac:dyDescent="0.35">
      <c r="A71">
        <v>430</v>
      </c>
      <c r="B71">
        <v>5104</v>
      </c>
      <c r="C71" t="s">
        <v>19</v>
      </c>
      <c r="D71" t="s">
        <v>540</v>
      </c>
      <c r="E71" t="s">
        <v>696</v>
      </c>
      <c r="F71" t="s">
        <v>593</v>
      </c>
      <c r="G71" t="s">
        <v>697</v>
      </c>
      <c r="H71" s="2">
        <v>46100</v>
      </c>
      <c r="I71" t="s">
        <v>564</v>
      </c>
    </row>
    <row r="72" spans="1:9" x14ac:dyDescent="0.35">
      <c r="A72">
        <v>743</v>
      </c>
      <c r="B72">
        <v>5106</v>
      </c>
      <c r="C72" t="s">
        <v>19</v>
      </c>
      <c r="D72" t="s">
        <v>540</v>
      </c>
      <c r="E72" t="s">
        <v>698</v>
      </c>
      <c r="F72" t="s">
        <v>672</v>
      </c>
      <c r="G72" t="s">
        <v>699</v>
      </c>
      <c r="H72" s="2">
        <v>46093</v>
      </c>
    </row>
    <row r="73" spans="1:9" x14ac:dyDescent="0.35">
      <c r="A73">
        <v>73</v>
      </c>
      <c r="B73">
        <v>5108</v>
      </c>
      <c r="C73" t="s">
        <v>19</v>
      </c>
      <c r="D73" t="s">
        <v>540</v>
      </c>
      <c r="E73" t="s">
        <v>700</v>
      </c>
      <c r="F73" t="s">
        <v>607</v>
      </c>
      <c r="G73" t="s">
        <v>701</v>
      </c>
      <c r="H73" s="2">
        <v>46100</v>
      </c>
    </row>
    <row r="74" spans="1:9" x14ac:dyDescent="0.35">
      <c r="A74">
        <v>88</v>
      </c>
      <c r="B74">
        <v>5111</v>
      </c>
      <c r="C74" t="s">
        <v>19</v>
      </c>
      <c r="D74" t="s">
        <v>540</v>
      </c>
      <c r="E74" t="s">
        <v>702</v>
      </c>
      <c r="F74" t="s">
        <v>632</v>
      </c>
      <c r="G74" t="s">
        <v>703</v>
      </c>
      <c r="H74" s="2">
        <v>46093</v>
      </c>
    </row>
    <row r="75" spans="1:9" x14ac:dyDescent="0.35">
      <c r="A75">
        <v>191</v>
      </c>
      <c r="B75">
        <v>5112</v>
      </c>
      <c r="C75" t="s">
        <v>19</v>
      </c>
      <c r="D75" t="s">
        <v>540</v>
      </c>
      <c r="E75" t="s">
        <v>704</v>
      </c>
      <c r="F75" t="s">
        <v>623</v>
      </c>
      <c r="G75" t="s">
        <v>705</v>
      </c>
      <c r="H75" s="2">
        <v>46086</v>
      </c>
    </row>
    <row r="76" spans="1:9" x14ac:dyDescent="0.35">
      <c r="A76">
        <v>291</v>
      </c>
      <c r="B76">
        <v>5114</v>
      </c>
      <c r="C76" t="s">
        <v>19</v>
      </c>
      <c r="D76" t="s">
        <v>540</v>
      </c>
      <c r="E76" t="s">
        <v>706</v>
      </c>
      <c r="F76" t="s">
        <v>556</v>
      </c>
      <c r="G76" t="s">
        <v>707</v>
      </c>
      <c r="H76" s="2">
        <v>46091</v>
      </c>
    </row>
    <row r="77" spans="1:9" x14ac:dyDescent="0.35">
      <c r="A77">
        <v>937</v>
      </c>
      <c r="B77">
        <v>5115</v>
      </c>
      <c r="C77" t="s">
        <v>19</v>
      </c>
      <c r="D77" t="s">
        <v>540</v>
      </c>
      <c r="E77" t="s">
        <v>708</v>
      </c>
      <c r="F77" t="s">
        <v>640</v>
      </c>
      <c r="G77" t="s">
        <v>709</v>
      </c>
      <c r="H77" s="2">
        <v>46086</v>
      </c>
    </row>
    <row r="78" spans="1:9" x14ac:dyDescent="0.35">
      <c r="A78">
        <v>292</v>
      </c>
      <c r="B78">
        <v>5116</v>
      </c>
      <c r="C78" t="s">
        <v>19</v>
      </c>
      <c r="D78" t="s">
        <v>540</v>
      </c>
      <c r="E78" t="s">
        <v>710</v>
      </c>
      <c r="F78" t="s">
        <v>546</v>
      </c>
      <c r="G78" t="s">
        <v>711</v>
      </c>
      <c r="H78" s="2">
        <v>46098</v>
      </c>
    </row>
    <row r="79" spans="1:9" x14ac:dyDescent="0.35">
      <c r="A79">
        <v>789</v>
      </c>
      <c r="B79">
        <v>5118</v>
      </c>
      <c r="C79" t="s">
        <v>19</v>
      </c>
      <c r="D79" t="s">
        <v>540</v>
      </c>
      <c r="E79" t="s">
        <v>712</v>
      </c>
      <c r="F79" t="s">
        <v>542</v>
      </c>
      <c r="G79" t="s">
        <v>713</v>
      </c>
      <c r="H79" s="2">
        <v>46091</v>
      </c>
    </row>
    <row r="80" spans="1:9" x14ac:dyDescent="0.35">
      <c r="A80">
        <v>511</v>
      </c>
      <c r="B80">
        <v>5122</v>
      </c>
      <c r="C80" t="s">
        <v>19</v>
      </c>
      <c r="D80" t="s">
        <v>540</v>
      </c>
      <c r="E80" t="s">
        <v>714</v>
      </c>
      <c r="F80" t="s">
        <v>663</v>
      </c>
      <c r="G80" t="s">
        <v>715</v>
      </c>
      <c r="H80" s="2">
        <v>46086</v>
      </c>
    </row>
    <row r="81" spans="1:9" x14ac:dyDescent="0.35">
      <c r="A81">
        <v>76</v>
      </c>
      <c r="B81">
        <v>5126</v>
      </c>
      <c r="C81" t="s">
        <v>19</v>
      </c>
      <c r="D81" t="s">
        <v>540</v>
      </c>
      <c r="E81" t="s">
        <v>716</v>
      </c>
      <c r="F81" t="s">
        <v>717</v>
      </c>
      <c r="G81" t="s">
        <v>718</v>
      </c>
      <c r="H81" s="2">
        <v>46093</v>
      </c>
    </row>
    <row r="82" spans="1:9" x14ac:dyDescent="0.35">
      <c r="A82">
        <v>101</v>
      </c>
      <c r="B82">
        <v>5128</v>
      </c>
      <c r="C82" t="s">
        <v>19</v>
      </c>
      <c r="D82" t="s">
        <v>540</v>
      </c>
      <c r="E82" t="s">
        <v>719</v>
      </c>
      <c r="F82" t="s">
        <v>672</v>
      </c>
      <c r="G82" t="s">
        <v>720</v>
      </c>
      <c r="H82" s="2">
        <v>46086</v>
      </c>
    </row>
    <row r="83" spans="1:9" x14ac:dyDescent="0.35">
      <c r="A83">
        <v>244</v>
      </c>
      <c r="B83">
        <v>5129</v>
      </c>
      <c r="C83" t="s">
        <v>19</v>
      </c>
      <c r="D83" t="s">
        <v>540</v>
      </c>
      <c r="E83" t="s">
        <v>721</v>
      </c>
      <c r="F83" t="s">
        <v>587</v>
      </c>
      <c r="G83" t="s">
        <v>722</v>
      </c>
      <c r="H83" s="2">
        <v>46099</v>
      </c>
    </row>
    <row r="84" spans="1:9" x14ac:dyDescent="0.35">
      <c r="A84">
        <v>366</v>
      </c>
      <c r="B84">
        <v>5132</v>
      </c>
      <c r="C84" t="s">
        <v>19</v>
      </c>
      <c r="D84" t="s">
        <v>540</v>
      </c>
      <c r="E84" t="s">
        <v>723</v>
      </c>
      <c r="F84" t="s">
        <v>724</v>
      </c>
      <c r="G84" t="s">
        <v>725</v>
      </c>
      <c r="H84" s="2">
        <v>46100</v>
      </c>
    </row>
    <row r="85" spans="1:9" x14ac:dyDescent="0.35">
      <c r="A85">
        <v>68</v>
      </c>
      <c r="B85">
        <v>5135</v>
      </c>
      <c r="C85" t="s">
        <v>19</v>
      </c>
      <c r="D85" t="s">
        <v>540</v>
      </c>
      <c r="E85" t="s">
        <v>726</v>
      </c>
      <c r="F85" t="s">
        <v>692</v>
      </c>
      <c r="G85" t="s">
        <v>727</v>
      </c>
      <c r="H85" s="2">
        <v>46100</v>
      </c>
    </row>
    <row r="86" spans="1:9" x14ac:dyDescent="0.35">
      <c r="A86">
        <v>318</v>
      </c>
      <c r="B86">
        <v>5136</v>
      </c>
      <c r="C86" t="s">
        <v>19</v>
      </c>
      <c r="D86" t="s">
        <v>540</v>
      </c>
      <c r="E86" t="s">
        <v>728</v>
      </c>
      <c r="F86" t="s">
        <v>632</v>
      </c>
      <c r="G86" t="s">
        <v>729</v>
      </c>
      <c r="H86" s="2">
        <v>46091</v>
      </c>
      <c r="I86" t="s">
        <v>564</v>
      </c>
    </row>
    <row r="87" spans="1:9" x14ac:dyDescent="0.35">
      <c r="A87">
        <v>829</v>
      </c>
      <c r="B87">
        <v>5137</v>
      </c>
      <c r="C87" t="s">
        <v>19</v>
      </c>
      <c r="D87" t="s">
        <v>540</v>
      </c>
      <c r="E87" t="s">
        <v>730</v>
      </c>
      <c r="F87" t="s">
        <v>552</v>
      </c>
      <c r="G87" t="s">
        <v>731</v>
      </c>
      <c r="H87" s="2">
        <v>46098</v>
      </c>
    </row>
    <row r="88" spans="1:9" x14ac:dyDescent="0.35">
      <c r="A88">
        <v>300</v>
      </c>
      <c r="B88">
        <v>5139</v>
      </c>
      <c r="C88" t="s">
        <v>19</v>
      </c>
      <c r="D88" t="s">
        <v>540</v>
      </c>
      <c r="E88" t="s">
        <v>732</v>
      </c>
      <c r="F88" t="s">
        <v>623</v>
      </c>
      <c r="G88" t="s">
        <v>733</v>
      </c>
      <c r="H88" s="2">
        <v>46091</v>
      </c>
    </row>
    <row r="89" spans="1:9" x14ac:dyDescent="0.35">
      <c r="A89">
        <v>53</v>
      </c>
      <c r="B89">
        <v>5141</v>
      </c>
      <c r="C89" t="s">
        <v>19</v>
      </c>
      <c r="D89" t="s">
        <v>540</v>
      </c>
      <c r="E89" t="s">
        <v>734</v>
      </c>
      <c r="F89" t="s">
        <v>578</v>
      </c>
      <c r="G89" t="s">
        <v>735</v>
      </c>
      <c r="H89" s="2">
        <v>46099</v>
      </c>
      <c r="I89" t="s">
        <v>564</v>
      </c>
    </row>
    <row r="90" spans="1:9" x14ac:dyDescent="0.35">
      <c r="A90">
        <v>40</v>
      </c>
      <c r="B90">
        <v>5142</v>
      </c>
      <c r="C90" t="s">
        <v>19</v>
      </c>
      <c r="D90" t="s">
        <v>540</v>
      </c>
      <c r="E90" t="s">
        <v>736</v>
      </c>
      <c r="F90" t="s">
        <v>623</v>
      </c>
      <c r="G90" t="s">
        <v>737</v>
      </c>
      <c r="H90" s="2">
        <v>46091</v>
      </c>
    </row>
    <row r="91" spans="1:9" x14ac:dyDescent="0.35">
      <c r="A91">
        <v>927</v>
      </c>
      <c r="B91">
        <v>5143</v>
      </c>
      <c r="C91" t="s">
        <v>19</v>
      </c>
      <c r="D91" t="s">
        <v>540</v>
      </c>
      <c r="E91" t="s">
        <v>738</v>
      </c>
      <c r="F91" t="s">
        <v>717</v>
      </c>
      <c r="G91" t="s">
        <v>739</v>
      </c>
      <c r="H91" s="2">
        <v>46099</v>
      </c>
    </row>
    <row r="92" spans="1:9" x14ac:dyDescent="0.35">
      <c r="A92">
        <v>812</v>
      </c>
      <c r="B92">
        <v>5144</v>
      </c>
      <c r="C92" t="s">
        <v>19</v>
      </c>
      <c r="D92" t="s">
        <v>540</v>
      </c>
      <c r="E92" t="s">
        <v>740</v>
      </c>
      <c r="F92" t="s">
        <v>552</v>
      </c>
      <c r="G92" t="s">
        <v>741</v>
      </c>
      <c r="H92" s="2">
        <v>46091</v>
      </c>
    </row>
    <row r="93" spans="1:9" x14ac:dyDescent="0.35">
      <c r="A93">
        <v>279</v>
      </c>
      <c r="B93">
        <v>5147</v>
      </c>
      <c r="C93" t="s">
        <v>19</v>
      </c>
      <c r="D93" t="s">
        <v>540</v>
      </c>
      <c r="E93" t="s">
        <v>742</v>
      </c>
      <c r="F93" t="s">
        <v>546</v>
      </c>
      <c r="G93" t="s">
        <v>743</v>
      </c>
      <c r="H93" s="2">
        <v>46098</v>
      </c>
    </row>
    <row r="94" spans="1:9" x14ac:dyDescent="0.35">
      <c r="A94">
        <v>91</v>
      </c>
      <c r="B94">
        <v>5148</v>
      </c>
      <c r="C94" t="s">
        <v>19</v>
      </c>
      <c r="D94" t="s">
        <v>540</v>
      </c>
      <c r="E94" t="s">
        <v>744</v>
      </c>
      <c r="F94" t="s">
        <v>745</v>
      </c>
      <c r="G94" t="s">
        <v>746</v>
      </c>
      <c r="H94" s="2">
        <v>46092</v>
      </c>
      <c r="I94" t="s">
        <v>564</v>
      </c>
    </row>
    <row r="95" spans="1:9" x14ac:dyDescent="0.35">
      <c r="A95">
        <v>358</v>
      </c>
      <c r="B95">
        <v>5149</v>
      </c>
      <c r="C95" t="s">
        <v>19</v>
      </c>
      <c r="D95" t="s">
        <v>540</v>
      </c>
      <c r="E95" t="s">
        <v>747</v>
      </c>
      <c r="F95" t="s">
        <v>616</v>
      </c>
      <c r="G95" t="s">
        <v>748</v>
      </c>
      <c r="H95" s="2">
        <v>46092</v>
      </c>
    </row>
    <row r="96" spans="1:9" x14ac:dyDescent="0.35">
      <c r="A96">
        <v>262</v>
      </c>
      <c r="B96">
        <v>5153</v>
      </c>
      <c r="C96" t="s">
        <v>19</v>
      </c>
      <c r="D96" t="s">
        <v>540</v>
      </c>
      <c r="E96" t="s">
        <v>749</v>
      </c>
      <c r="F96" t="s">
        <v>616</v>
      </c>
      <c r="G96" t="s">
        <v>750</v>
      </c>
      <c r="H96" s="2">
        <v>46100</v>
      </c>
    </row>
    <row r="97" spans="1:9" x14ac:dyDescent="0.35">
      <c r="A97">
        <v>258</v>
      </c>
      <c r="B97">
        <v>5155</v>
      </c>
      <c r="C97" t="s">
        <v>19</v>
      </c>
      <c r="D97" t="s">
        <v>540</v>
      </c>
      <c r="E97" t="s">
        <v>751</v>
      </c>
      <c r="F97" t="s">
        <v>616</v>
      </c>
      <c r="G97" t="s">
        <v>752</v>
      </c>
      <c r="H97" s="2">
        <v>46093</v>
      </c>
    </row>
    <row r="98" spans="1:9" x14ac:dyDescent="0.35">
      <c r="A98">
        <v>806</v>
      </c>
      <c r="B98">
        <v>5156</v>
      </c>
      <c r="C98" t="s">
        <v>19</v>
      </c>
      <c r="D98" t="s">
        <v>540</v>
      </c>
      <c r="E98" t="s">
        <v>753</v>
      </c>
      <c r="F98" t="s">
        <v>587</v>
      </c>
      <c r="G98" t="s">
        <v>754</v>
      </c>
      <c r="H98" s="2">
        <v>46092</v>
      </c>
    </row>
    <row r="99" spans="1:9" x14ac:dyDescent="0.35">
      <c r="A99">
        <v>750</v>
      </c>
      <c r="B99">
        <v>5157</v>
      </c>
      <c r="C99" t="s">
        <v>19</v>
      </c>
      <c r="D99" t="s">
        <v>540</v>
      </c>
      <c r="E99" t="s">
        <v>755</v>
      </c>
      <c r="F99" t="s">
        <v>552</v>
      </c>
      <c r="G99" t="s">
        <v>756</v>
      </c>
      <c r="H99" s="2">
        <v>46099</v>
      </c>
    </row>
    <row r="100" spans="1:9" x14ac:dyDescent="0.35">
      <c r="A100">
        <v>70</v>
      </c>
      <c r="B100">
        <v>5164</v>
      </c>
      <c r="C100" t="s">
        <v>19</v>
      </c>
      <c r="D100" t="s">
        <v>540</v>
      </c>
      <c r="E100" t="s">
        <v>757</v>
      </c>
      <c r="F100" t="s">
        <v>607</v>
      </c>
      <c r="G100" t="s">
        <v>758</v>
      </c>
      <c r="H100" s="2">
        <v>46091</v>
      </c>
    </row>
    <row r="101" spans="1:9" x14ac:dyDescent="0.35">
      <c r="A101">
        <v>725</v>
      </c>
      <c r="B101">
        <v>5166</v>
      </c>
      <c r="C101" t="s">
        <v>19</v>
      </c>
      <c r="D101" t="s">
        <v>540</v>
      </c>
      <c r="E101" t="s">
        <v>759</v>
      </c>
      <c r="F101" t="s">
        <v>607</v>
      </c>
      <c r="G101" t="s">
        <v>760</v>
      </c>
      <c r="H101" s="2">
        <v>46092</v>
      </c>
    </row>
    <row r="102" spans="1:9" x14ac:dyDescent="0.35">
      <c r="A102">
        <v>667</v>
      </c>
      <c r="B102">
        <v>5167</v>
      </c>
      <c r="C102" t="s">
        <v>19</v>
      </c>
      <c r="D102" t="s">
        <v>540</v>
      </c>
      <c r="E102" t="s">
        <v>761</v>
      </c>
      <c r="F102" t="s">
        <v>587</v>
      </c>
      <c r="G102" t="s">
        <v>762</v>
      </c>
      <c r="H102" s="2">
        <v>46100</v>
      </c>
    </row>
    <row r="103" spans="1:9" x14ac:dyDescent="0.35">
      <c r="A103">
        <v>363</v>
      </c>
      <c r="B103">
        <v>5168</v>
      </c>
      <c r="C103" t="s">
        <v>19</v>
      </c>
      <c r="D103" t="s">
        <v>540</v>
      </c>
      <c r="E103" t="s">
        <v>763</v>
      </c>
      <c r="F103" t="s">
        <v>616</v>
      </c>
      <c r="G103" t="s">
        <v>764</v>
      </c>
      <c r="H103" s="2">
        <v>46098</v>
      </c>
    </row>
    <row r="104" spans="1:9" x14ac:dyDescent="0.35">
      <c r="A104">
        <v>388</v>
      </c>
      <c r="B104">
        <v>5169</v>
      </c>
      <c r="C104" t="s">
        <v>19</v>
      </c>
      <c r="D104" t="s">
        <v>540</v>
      </c>
      <c r="E104" t="s">
        <v>765</v>
      </c>
      <c r="F104" t="s">
        <v>587</v>
      </c>
      <c r="G104" t="s">
        <v>766</v>
      </c>
      <c r="H104" s="2">
        <v>46086</v>
      </c>
    </row>
    <row r="105" spans="1:9" x14ac:dyDescent="0.35">
      <c r="A105">
        <v>302</v>
      </c>
      <c r="B105">
        <v>5170</v>
      </c>
      <c r="C105" t="s">
        <v>19</v>
      </c>
      <c r="D105" t="s">
        <v>540</v>
      </c>
      <c r="E105" t="s">
        <v>767</v>
      </c>
      <c r="F105" t="s">
        <v>556</v>
      </c>
      <c r="G105" t="s">
        <v>768</v>
      </c>
      <c r="H105" s="2">
        <v>46091</v>
      </c>
    </row>
    <row r="106" spans="1:9" x14ac:dyDescent="0.35">
      <c r="A106">
        <v>420</v>
      </c>
      <c r="B106">
        <v>5173</v>
      </c>
      <c r="C106" t="s">
        <v>19</v>
      </c>
      <c r="D106" t="s">
        <v>540</v>
      </c>
      <c r="E106" t="s">
        <v>769</v>
      </c>
      <c r="F106" t="s">
        <v>568</v>
      </c>
      <c r="G106" t="s">
        <v>770</v>
      </c>
      <c r="H106" s="2">
        <v>46093</v>
      </c>
      <c r="I106" t="s">
        <v>564</v>
      </c>
    </row>
    <row r="107" spans="1:9" x14ac:dyDescent="0.35">
      <c r="A107">
        <v>253</v>
      </c>
      <c r="B107">
        <v>5176</v>
      </c>
      <c r="C107" t="s">
        <v>19</v>
      </c>
      <c r="D107" t="s">
        <v>540</v>
      </c>
      <c r="E107" t="s">
        <v>771</v>
      </c>
      <c r="F107" t="s">
        <v>724</v>
      </c>
      <c r="G107" t="s">
        <v>772</v>
      </c>
      <c r="H107" s="2">
        <v>46092</v>
      </c>
    </row>
    <row r="108" spans="1:9" x14ac:dyDescent="0.35">
      <c r="A108">
        <v>198</v>
      </c>
      <c r="B108">
        <v>5179</v>
      </c>
      <c r="C108" t="s">
        <v>19</v>
      </c>
      <c r="D108" t="s">
        <v>540</v>
      </c>
      <c r="E108" t="s">
        <v>773</v>
      </c>
      <c r="F108" t="s">
        <v>672</v>
      </c>
      <c r="G108" t="s">
        <v>774</v>
      </c>
      <c r="H108" s="2">
        <v>46093</v>
      </c>
    </row>
    <row r="109" spans="1:9" x14ac:dyDescent="0.35">
      <c r="A109">
        <v>762</v>
      </c>
      <c r="B109">
        <v>5181</v>
      </c>
      <c r="C109" t="s">
        <v>19</v>
      </c>
      <c r="D109" t="s">
        <v>540</v>
      </c>
      <c r="E109" t="s">
        <v>775</v>
      </c>
      <c r="F109" t="s">
        <v>637</v>
      </c>
      <c r="G109" t="s">
        <v>776</v>
      </c>
      <c r="H109" s="2">
        <v>46099</v>
      </c>
    </row>
    <row r="110" spans="1:9" x14ac:dyDescent="0.35">
      <c r="A110">
        <v>756</v>
      </c>
      <c r="B110">
        <v>5183</v>
      </c>
      <c r="C110" t="s">
        <v>16</v>
      </c>
      <c r="D110" t="s">
        <v>540</v>
      </c>
      <c r="E110" t="s">
        <v>777</v>
      </c>
      <c r="F110" t="s">
        <v>637</v>
      </c>
      <c r="G110" t="s">
        <v>778</v>
      </c>
      <c r="H110" s="2">
        <v>46098</v>
      </c>
    </row>
    <row r="111" spans="1:9" x14ac:dyDescent="0.35">
      <c r="A111">
        <v>541</v>
      </c>
      <c r="B111">
        <v>5185</v>
      </c>
      <c r="C111" t="s">
        <v>19</v>
      </c>
      <c r="D111" t="s">
        <v>540</v>
      </c>
      <c r="E111" t="s">
        <v>779</v>
      </c>
      <c r="F111" t="s">
        <v>546</v>
      </c>
      <c r="G111" t="s">
        <v>780</v>
      </c>
      <c r="H111" s="2">
        <v>46086</v>
      </c>
    </row>
    <row r="112" spans="1:9" x14ac:dyDescent="0.35">
      <c r="A112">
        <v>698</v>
      </c>
      <c r="B112">
        <v>5187</v>
      </c>
      <c r="C112" t="s">
        <v>19</v>
      </c>
      <c r="D112" t="s">
        <v>540</v>
      </c>
      <c r="E112" t="s">
        <v>781</v>
      </c>
      <c r="F112" t="s">
        <v>623</v>
      </c>
      <c r="G112" t="s">
        <v>782</v>
      </c>
      <c r="H112" s="2">
        <v>46092</v>
      </c>
    </row>
    <row r="113" spans="1:9" x14ac:dyDescent="0.35">
      <c r="A113">
        <v>664</v>
      </c>
      <c r="B113">
        <v>5191</v>
      </c>
      <c r="C113" t="s">
        <v>19</v>
      </c>
      <c r="D113" t="s">
        <v>540</v>
      </c>
      <c r="E113" t="s">
        <v>783</v>
      </c>
      <c r="F113" t="s">
        <v>587</v>
      </c>
      <c r="G113" t="s">
        <v>784</v>
      </c>
      <c r="H113" s="2">
        <v>46092</v>
      </c>
    </row>
    <row r="114" spans="1:9" x14ac:dyDescent="0.35">
      <c r="A114">
        <v>716</v>
      </c>
      <c r="B114">
        <v>5192</v>
      </c>
      <c r="C114" t="s">
        <v>19</v>
      </c>
      <c r="D114" t="s">
        <v>540</v>
      </c>
      <c r="E114" t="s">
        <v>785</v>
      </c>
      <c r="F114" t="s">
        <v>552</v>
      </c>
      <c r="G114" t="s">
        <v>786</v>
      </c>
      <c r="H114" s="2">
        <v>46091</v>
      </c>
    </row>
    <row r="115" spans="1:9" x14ac:dyDescent="0.35">
      <c r="A115">
        <v>383</v>
      </c>
      <c r="B115">
        <v>5194</v>
      </c>
      <c r="C115" t="s">
        <v>19</v>
      </c>
      <c r="D115" t="s">
        <v>540</v>
      </c>
      <c r="E115" t="s">
        <v>787</v>
      </c>
      <c r="F115" t="s">
        <v>788</v>
      </c>
      <c r="G115" t="s">
        <v>789</v>
      </c>
      <c r="H115" s="2">
        <v>46098</v>
      </c>
    </row>
    <row r="116" spans="1:9" x14ac:dyDescent="0.35">
      <c r="A116">
        <v>432</v>
      </c>
      <c r="B116">
        <v>5195</v>
      </c>
      <c r="C116" t="s">
        <v>19</v>
      </c>
      <c r="D116" t="s">
        <v>540</v>
      </c>
      <c r="E116" t="s">
        <v>790</v>
      </c>
      <c r="F116" t="s">
        <v>549</v>
      </c>
      <c r="G116" t="s">
        <v>791</v>
      </c>
      <c r="H116" s="2">
        <v>46098</v>
      </c>
      <c r="I116" t="s">
        <v>564</v>
      </c>
    </row>
    <row r="117" spans="1:9" x14ac:dyDescent="0.35">
      <c r="A117">
        <v>250</v>
      </c>
      <c r="B117">
        <v>5197</v>
      </c>
      <c r="C117" t="s">
        <v>19</v>
      </c>
      <c r="D117" t="s">
        <v>540</v>
      </c>
      <c r="E117" t="s">
        <v>792</v>
      </c>
      <c r="F117" t="s">
        <v>610</v>
      </c>
      <c r="G117" t="s">
        <v>793</v>
      </c>
      <c r="H117" s="2">
        <v>46099</v>
      </c>
    </row>
    <row r="118" spans="1:9" x14ac:dyDescent="0.35">
      <c r="A118">
        <v>674</v>
      </c>
      <c r="B118">
        <v>5200</v>
      </c>
      <c r="C118" t="s">
        <v>19</v>
      </c>
      <c r="D118" t="s">
        <v>540</v>
      </c>
      <c r="E118" t="s">
        <v>794</v>
      </c>
      <c r="F118" t="s">
        <v>610</v>
      </c>
      <c r="G118" t="s">
        <v>795</v>
      </c>
      <c r="H118" s="2">
        <v>46093</v>
      </c>
    </row>
    <row r="119" spans="1:9" x14ac:dyDescent="0.35">
      <c r="A119">
        <v>606</v>
      </c>
      <c r="B119">
        <v>5201</v>
      </c>
      <c r="C119" t="s">
        <v>19</v>
      </c>
      <c r="D119" t="s">
        <v>540</v>
      </c>
      <c r="E119" t="s">
        <v>796</v>
      </c>
      <c r="F119" t="s">
        <v>616</v>
      </c>
      <c r="G119" t="s">
        <v>797</v>
      </c>
      <c r="H119" s="2">
        <v>46091</v>
      </c>
    </row>
    <row r="120" spans="1:9" x14ac:dyDescent="0.35">
      <c r="A120">
        <v>77</v>
      </c>
      <c r="B120">
        <v>5204</v>
      </c>
      <c r="C120" t="s">
        <v>19</v>
      </c>
      <c r="D120" t="s">
        <v>540</v>
      </c>
      <c r="E120" t="s">
        <v>798</v>
      </c>
      <c r="F120" t="s">
        <v>552</v>
      </c>
      <c r="G120" t="s">
        <v>799</v>
      </c>
      <c r="H120" s="2">
        <v>46092</v>
      </c>
      <c r="I120" t="s">
        <v>564</v>
      </c>
    </row>
    <row r="121" spans="1:9" x14ac:dyDescent="0.35">
      <c r="A121">
        <v>816</v>
      </c>
      <c r="B121">
        <v>5205</v>
      </c>
      <c r="C121" t="s">
        <v>19</v>
      </c>
      <c r="D121" t="s">
        <v>540</v>
      </c>
      <c r="E121" t="s">
        <v>800</v>
      </c>
      <c r="F121" t="s">
        <v>632</v>
      </c>
      <c r="G121" t="s">
        <v>801</v>
      </c>
      <c r="H121" s="2">
        <v>46093</v>
      </c>
    </row>
    <row r="122" spans="1:9" x14ac:dyDescent="0.35">
      <c r="A122">
        <v>455</v>
      </c>
      <c r="B122">
        <v>5206</v>
      </c>
      <c r="C122" t="s">
        <v>19</v>
      </c>
      <c r="D122" t="s">
        <v>540</v>
      </c>
      <c r="E122" t="s">
        <v>802</v>
      </c>
      <c r="F122" t="s">
        <v>717</v>
      </c>
      <c r="G122" t="s">
        <v>803</v>
      </c>
      <c r="H122" s="2">
        <v>46093</v>
      </c>
      <c r="I122" t="s">
        <v>564</v>
      </c>
    </row>
    <row r="123" spans="1:9" x14ac:dyDescent="0.35">
      <c r="A123">
        <v>217</v>
      </c>
      <c r="B123">
        <v>5208</v>
      </c>
      <c r="C123" t="s">
        <v>19</v>
      </c>
      <c r="D123" t="s">
        <v>540</v>
      </c>
      <c r="E123" t="s">
        <v>804</v>
      </c>
      <c r="F123" t="s">
        <v>587</v>
      </c>
      <c r="G123" t="s">
        <v>805</v>
      </c>
      <c r="H123" s="2">
        <v>46100</v>
      </c>
    </row>
    <row r="124" spans="1:9" x14ac:dyDescent="0.35">
      <c r="A124">
        <v>793</v>
      </c>
      <c r="B124">
        <v>5216</v>
      </c>
      <c r="C124" t="s">
        <v>19</v>
      </c>
      <c r="D124" t="s">
        <v>540</v>
      </c>
      <c r="E124" t="s">
        <v>806</v>
      </c>
      <c r="F124" t="s">
        <v>556</v>
      </c>
      <c r="G124" t="s">
        <v>807</v>
      </c>
      <c r="H124" s="2">
        <v>46092</v>
      </c>
    </row>
    <row r="125" spans="1:9" x14ac:dyDescent="0.35">
      <c r="A125">
        <v>16</v>
      </c>
      <c r="B125">
        <v>5219</v>
      </c>
      <c r="C125" t="s">
        <v>19</v>
      </c>
      <c r="D125" t="s">
        <v>540</v>
      </c>
      <c r="E125" t="s">
        <v>808</v>
      </c>
      <c r="F125" t="s">
        <v>593</v>
      </c>
      <c r="G125" t="s">
        <v>809</v>
      </c>
      <c r="H125" s="2">
        <v>46093</v>
      </c>
    </row>
    <row r="126" spans="1:9" x14ac:dyDescent="0.35">
      <c r="A126">
        <v>941</v>
      </c>
      <c r="B126">
        <v>5220</v>
      </c>
      <c r="C126" t="s">
        <v>19</v>
      </c>
      <c r="D126" t="s">
        <v>540</v>
      </c>
      <c r="E126" t="s">
        <v>810</v>
      </c>
      <c r="F126" t="s">
        <v>717</v>
      </c>
      <c r="G126" t="s">
        <v>811</v>
      </c>
      <c r="H126" s="2">
        <v>46099</v>
      </c>
    </row>
    <row r="127" spans="1:9" x14ac:dyDescent="0.35">
      <c r="A127">
        <v>221</v>
      </c>
      <c r="B127">
        <v>5221</v>
      </c>
      <c r="C127" t="s">
        <v>19</v>
      </c>
      <c r="D127" t="s">
        <v>540</v>
      </c>
      <c r="E127" t="s">
        <v>812</v>
      </c>
      <c r="F127" t="s">
        <v>788</v>
      </c>
      <c r="G127" t="s">
        <v>813</v>
      </c>
      <c r="H127" s="2">
        <v>46099</v>
      </c>
    </row>
    <row r="128" spans="1:9" x14ac:dyDescent="0.35">
      <c r="A128">
        <v>168</v>
      </c>
      <c r="B128">
        <v>5224</v>
      </c>
      <c r="C128" t="s">
        <v>19</v>
      </c>
      <c r="D128" t="s">
        <v>540</v>
      </c>
      <c r="E128" t="s">
        <v>814</v>
      </c>
      <c r="F128" t="s">
        <v>583</v>
      </c>
      <c r="G128" t="s">
        <v>815</v>
      </c>
      <c r="H128" s="2">
        <v>46099</v>
      </c>
    </row>
    <row r="129" spans="1:11" x14ac:dyDescent="0.35">
      <c r="A129">
        <v>946</v>
      </c>
      <c r="B129">
        <v>5225</v>
      </c>
      <c r="C129" t="s">
        <v>19</v>
      </c>
      <c r="D129" t="s">
        <v>540</v>
      </c>
      <c r="E129" t="s">
        <v>816</v>
      </c>
      <c r="F129" t="s">
        <v>583</v>
      </c>
      <c r="G129" t="s">
        <v>817</v>
      </c>
      <c r="H129" s="2">
        <v>46098</v>
      </c>
    </row>
    <row r="130" spans="1:11" x14ac:dyDescent="0.35">
      <c r="A130">
        <v>678</v>
      </c>
      <c r="B130">
        <v>5227</v>
      </c>
      <c r="C130" t="s">
        <v>19</v>
      </c>
      <c r="D130" t="s">
        <v>540</v>
      </c>
      <c r="E130" t="s">
        <v>818</v>
      </c>
      <c r="F130" t="s">
        <v>542</v>
      </c>
      <c r="G130" t="s">
        <v>819</v>
      </c>
      <c r="H130" s="2">
        <v>46092</v>
      </c>
    </row>
    <row r="131" spans="1:11" x14ac:dyDescent="0.35">
      <c r="A131">
        <v>285</v>
      </c>
      <c r="B131">
        <v>5228</v>
      </c>
      <c r="C131" t="s">
        <v>19</v>
      </c>
      <c r="D131" t="s">
        <v>540</v>
      </c>
      <c r="E131" t="s">
        <v>820</v>
      </c>
      <c r="F131" t="s">
        <v>717</v>
      </c>
      <c r="G131" t="s">
        <v>821</v>
      </c>
      <c r="H131" s="2">
        <v>46099</v>
      </c>
    </row>
    <row r="132" spans="1:11" x14ac:dyDescent="0.35">
      <c r="A132">
        <v>454</v>
      </c>
      <c r="B132">
        <v>5231</v>
      </c>
      <c r="C132" t="s">
        <v>19</v>
      </c>
      <c r="D132" t="s">
        <v>540</v>
      </c>
      <c r="E132" t="s">
        <v>822</v>
      </c>
      <c r="F132" t="s">
        <v>717</v>
      </c>
      <c r="G132" t="s">
        <v>823</v>
      </c>
      <c r="H132" s="2">
        <v>46100</v>
      </c>
    </row>
    <row r="133" spans="1:11" x14ac:dyDescent="0.35">
      <c r="A133">
        <v>760</v>
      </c>
      <c r="B133">
        <v>6092</v>
      </c>
      <c r="C133" t="s">
        <v>19</v>
      </c>
      <c r="D133" t="s">
        <v>540</v>
      </c>
      <c r="E133" t="s">
        <v>824</v>
      </c>
      <c r="K133" t="s">
        <v>825</v>
      </c>
    </row>
    <row r="134" spans="1:11" x14ac:dyDescent="0.35">
      <c r="A134">
        <v>625</v>
      </c>
      <c r="B134">
        <v>6096</v>
      </c>
      <c r="C134" t="s">
        <v>19</v>
      </c>
      <c r="D134" t="s">
        <v>540</v>
      </c>
      <c r="E134" t="s">
        <v>826</v>
      </c>
      <c r="F134" t="s">
        <v>568</v>
      </c>
      <c r="G134" t="s">
        <v>827</v>
      </c>
      <c r="H134" s="2">
        <v>46086</v>
      </c>
      <c r="I134" t="s">
        <v>564</v>
      </c>
    </row>
    <row r="135" spans="1:11" x14ac:dyDescent="0.35">
      <c r="A135">
        <v>868</v>
      </c>
      <c r="B135">
        <v>6149</v>
      </c>
      <c r="C135" t="s">
        <v>16</v>
      </c>
      <c r="D135" t="s">
        <v>540</v>
      </c>
      <c r="E135" t="s">
        <v>828</v>
      </c>
      <c r="F135" t="s">
        <v>640</v>
      </c>
      <c r="G135" t="s">
        <v>829</v>
      </c>
      <c r="H135" s="2">
        <v>46099</v>
      </c>
    </row>
    <row r="136" spans="1:11" x14ac:dyDescent="0.35">
      <c r="A136">
        <v>571</v>
      </c>
      <c r="B136">
        <v>6150</v>
      </c>
      <c r="C136" t="s">
        <v>19</v>
      </c>
      <c r="D136" t="s">
        <v>540</v>
      </c>
      <c r="E136" t="s">
        <v>830</v>
      </c>
      <c r="F136" t="s">
        <v>672</v>
      </c>
      <c r="G136" t="s">
        <v>831</v>
      </c>
      <c r="H136" s="2">
        <v>46086</v>
      </c>
    </row>
    <row r="137" spans="1:11" x14ac:dyDescent="0.35">
      <c r="A137">
        <v>844</v>
      </c>
      <c r="B137">
        <v>6169</v>
      </c>
      <c r="C137" t="s">
        <v>19</v>
      </c>
      <c r="D137" t="s">
        <v>540</v>
      </c>
      <c r="E137" t="s">
        <v>832</v>
      </c>
      <c r="F137" t="s">
        <v>575</v>
      </c>
      <c r="G137" t="s">
        <v>833</v>
      </c>
      <c r="H137" s="2">
        <v>46093</v>
      </c>
    </row>
    <row r="138" spans="1:11" x14ac:dyDescent="0.35">
      <c r="A138">
        <v>30</v>
      </c>
      <c r="B138">
        <v>6172</v>
      </c>
      <c r="C138" t="s">
        <v>19</v>
      </c>
      <c r="D138" t="s">
        <v>540</v>
      </c>
      <c r="E138" t="s">
        <v>834</v>
      </c>
      <c r="F138" t="s">
        <v>578</v>
      </c>
      <c r="G138" t="s">
        <v>835</v>
      </c>
      <c r="H138" s="2">
        <v>46099</v>
      </c>
    </row>
    <row r="139" spans="1:11" x14ac:dyDescent="0.35">
      <c r="A139">
        <v>820</v>
      </c>
      <c r="B139">
        <v>6174</v>
      </c>
      <c r="C139" t="s">
        <v>19</v>
      </c>
      <c r="D139" t="s">
        <v>540</v>
      </c>
      <c r="E139" t="s">
        <v>836</v>
      </c>
      <c r="F139" t="s">
        <v>632</v>
      </c>
      <c r="G139" t="s">
        <v>837</v>
      </c>
      <c r="H139" s="2">
        <v>46093</v>
      </c>
      <c r="I139" t="s">
        <v>564</v>
      </c>
    </row>
    <row r="140" spans="1:11" x14ac:dyDescent="0.35">
      <c r="A140">
        <v>690</v>
      </c>
      <c r="B140">
        <v>6180</v>
      </c>
      <c r="C140" t="s">
        <v>19</v>
      </c>
      <c r="D140" t="s">
        <v>540</v>
      </c>
      <c r="E140" t="s">
        <v>838</v>
      </c>
      <c r="F140" t="s">
        <v>578</v>
      </c>
      <c r="G140" t="s">
        <v>839</v>
      </c>
      <c r="H140" s="2">
        <v>46093</v>
      </c>
    </row>
    <row r="141" spans="1:11" x14ac:dyDescent="0.35">
      <c r="A141">
        <v>351</v>
      </c>
      <c r="B141">
        <v>6182</v>
      </c>
      <c r="C141" t="s">
        <v>19</v>
      </c>
      <c r="D141" t="s">
        <v>540</v>
      </c>
      <c r="E141" t="s">
        <v>840</v>
      </c>
      <c r="F141" t="s">
        <v>568</v>
      </c>
      <c r="G141" t="s">
        <v>841</v>
      </c>
      <c r="H141" s="2">
        <v>46099</v>
      </c>
    </row>
    <row r="142" spans="1:11" x14ac:dyDescent="0.35">
      <c r="A142">
        <v>267</v>
      </c>
      <c r="B142">
        <v>6186</v>
      </c>
      <c r="C142" t="s">
        <v>19</v>
      </c>
      <c r="D142" t="s">
        <v>540</v>
      </c>
      <c r="E142" t="s">
        <v>842</v>
      </c>
      <c r="F142" t="s">
        <v>593</v>
      </c>
      <c r="G142" t="s">
        <v>843</v>
      </c>
      <c r="H142" s="2">
        <v>46100</v>
      </c>
    </row>
    <row r="143" spans="1:11" x14ac:dyDescent="0.35">
      <c r="A143">
        <v>54</v>
      </c>
      <c r="B143">
        <v>6204</v>
      </c>
      <c r="C143" t="s">
        <v>19</v>
      </c>
      <c r="D143" t="s">
        <v>540</v>
      </c>
      <c r="E143" t="s">
        <v>844</v>
      </c>
      <c r="F143" t="s">
        <v>672</v>
      </c>
      <c r="G143" t="s">
        <v>845</v>
      </c>
      <c r="H143" s="2">
        <v>46086</v>
      </c>
    </row>
    <row r="144" spans="1:11" x14ac:dyDescent="0.35">
      <c r="A144">
        <v>688</v>
      </c>
      <c r="B144">
        <v>6209</v>
      </c>
      <c r="C144" t="s">
        <v>16</v>
      </c>
      <c r="D144" t="s">
        <v>540</v>
      </c>
      <c r="E144" t="s">
        <v>846</v>
      </c>
      <c r="F144" t="s">
        <v>672</v>
      </c>
      <c r="G144" t="s">
        <v>847</v>
      </c>
      <c r="H144" s="2">
        <v>46093</v>
      </c>
    </row>
    <row r="145" spans="1:9" x14ac:dyDescent="0.35">
      <c r="A145">
        <v>74</v>
      </c>
      <c r="B145">
        <v>6215</v>
      </c>
      <c r="C145" t="s">
        <v>16</v>
      </c>
      <c r="D145" t="s">
        <v>540</v>
      </c>
      <c r="E145" t="s">
        <v>848</v>
      </c>
      <c r="F145" t="s">
        <v>640</v>
      </c>
      <c r="G145" t="s">
        <v>849</v>
      </c>
      <c r="H145" s="2">
        <v>46093</v>
      </c>
    </row>
    <row r="146" spans="1:9" x14ac:dyDescent="0.35">
      <c r="A146">
        <v>178</v>
      </c>
      <c r="B146">
        <v>6218</v>
      </c>
      <c r="C146" t="s">
        <v>19</v>
      </c>
      <c r="D146" t="s">
        <v>540</v>
      </c>
      <c r="E146" t="s">
        <v>850</v>
      </c>
      <c r="F146" t="s">
        <v>623</v>
      </c>
      <c r="G146" t="s">
        <v>851</v>
      </c>
      <c r="H146" s="2">
        <v>46099</v>
      </c>
    </row>
    <row r="147" spans="1:9" x14ac:dyDescent="0.35">
      <c r="A147">
        <v>236</v>
      </c>
      <c r="B147">
        <v>6242</v>
      </c>
      <c r="C147" t="s">
        <v>19</v>
      </c>
      <c r="D147" t="s">
        <v>540</v>
      </c>
      <c r="E147" t="s">
        <v>852</v>
      </c>
      <c r="F147" t="s">
        <v>549</v>
      </c>
      <c r="G147" t="s">
        <v>853</v>
      </c>
      <c r="H147" s="2">
        <v>46093</v>
      </c>
    </row>
    <row r="148" spans="1:9" x14ac:dyDescent="0.35">
      <c r="A148">
        <v>231</v>
      </c>
      <c r="B148">
        <v>6243</v>
      </c>
      <c r="C148" t="s">
        <v>19</v>
      </c>
      <c r="D148" t="s">
        <v>540</v>
      </c>
      <c r="E148" t="s">
        <v>854</v>
      </c>
      <c r="F148" t="s">
        <v>578</v>
      </c>
      <c r="G148" t="s">
        <v>855</v>
      </c>
      <c r="H148" s="2">
        <v>46086</v>
      </c>
    </row>
    <row r="149" spans="1:9" x14ac:dyDescent="0.35">
      <c r="A149">
        <v>79</v>
      </c>
      <c r="B149">
        <v>6245</v>
      </c>
      <c r="C149" t="s">
        <v>19</v>
      </c>
      <c r="D149" t="s">
        <v>540</v>
      </c>
      <c r="E149" t="s">
        <v>856</v>
      </c>
      <c r="F149" t="s">
        <v>692</v>
      </c>
      <c r="G149" t="s">
        <v>857</v>
      </c>
      <c r="H149" s="2">
        <v>46086</v>
      </c>
    </row>
    <row r="150" spans="1:9" x14ac:dyDescent="0.35">
      <c r="A150">
        <v>78</v>
      </c>
      <c r="B150">
        <v>6246</v>
      </c>
      <c r="C150" t="s">
        <v>19</v>
      </c>
      <c r="D150" t="s">
        <v>540</v>
      </c>
      <c r="E150" t="s">
        <v>858</v>
      </c>
      <c r="F150" t="s">
        <v>556</v>
      </c>
      <c r="G150" t="s">
        <v>859</v>
      </c>
      <c r="H150" s="2">
        <v>46099</v>
      </c>
    </row>
    <row r="151" spans="1:9" x14ac:dyDescent="0.35">
      <c r="A151">
        <v>718</v>
      </c>
      <c r="B151">
        <v>6248</v>
      </c>
      <c r="C151" t="s">
        <v>19</v>
      </c>
      <c r="D151" t="s">
        <v>540</v>
      </c>
      <c r="E151" t="s">
        <v>860</v>
      </c>
      <c r="F151" t="s">
        <v>692</v>
      </c>
      <c r="G151" t="s">
        <v>861</v>
      </c>
      <c r="H151" s="2">
        <v>46093</v>
      </c>
    </row>
    <row r="152" spans="1:9" x14ac:dyDescent="0.35">
      <c r="A152">
        <v>477</v>
      </c>
      <c r="B152">
        <v>6251</v>
      </c>
      <c r="C152" t="s">
        <v>19</v>
      </c>
      <c r="D152" t="s">
        <v>540</v>
      </c>
      <c r="E152" t="s">
        <v>862</v>
      </c>
      <c r="F152" t="s">
        <v>571</v>
      </c>
      <c r="G152" t="s">
        <v>863</v>
      </c>
      <c r="H152" s="2">
        <v>46092</v>
      </c>
      <c r="I152" t="s">
        <v>564</v>
      </c>
    </row>
    <row r="153" spans="1:9" x14ac:dyDescent="0.35">
      <c r="A153">
        <v>337</v>
      </c>
      <c r="B153">
        <v>6253</v>
      </c>
      <c r="C153" t="s">
        <v>19</v>
      </c>
      <c r="D153" t="s">
        <v>540</v>
      </c>
      <c r="E153" t="s">
        <v>864</v>
      </c>
      <c r="F153" t="s">
        <v>583</v>
      </c>
      <c r="G153" t="s">
        <v>865</v>
      </c>
      <c r="H153" s="2">
        <v>46099</v>
      </c>
      <c r="I153" t="s">
        <v>564</v>
      </c>
    </row>
    <row r="154" spans="1:9" x14ac:dyDescent="0.35">
      <c r="A154">
        <v>524</v>
      </c>
      <c r="B154">
        <v>6336</v>
      </c>
      <c r="C154" t="s">
        <v>19</v>
      </c>
      <c r="D154" t="s">
        <v>540</v>
      </c>
      <c r="E154" t="s">
        <v>866</v>
      </c>
      <c r="F154" t="s">
        <v>613</v>
      </c>
      <c r="G154" t="s">
        <v>867</v>
      </c>
      <c r="H154" s="2">
        <v>46093</v>
      </c>
    </row>
    <row r="155" spans="1:9" x14ac:dyDescent="0.35">
      <c r="A155">
        <v>37</v>
      </c>
      <c r="B155">
        <v>6406</v>
      </c>
      <c r="C155" t="s">
        <v>19</v>
      </c>
      <c r="D155" t="s">
        <v>540</v>
      </c>
      <c r="E155" t="s">
        <v>868</v>
      </c>
      <c r="F155" t="s">
        <v>578</v>
      </c>
      <c r="G155" t="s">
        <v>869</v>
      </c>
      <c r="H155" s="2">
        <v>46093</v>
      </c>
    </row>
    <row r="156" spans="1:9" x14ac:dyDescent="0.35">
      <c r="A156">
        <v>601</v>
      </c>
      <c r="B156">
        <v>6407</v>
      </c>
      <c r="C156" t="s">
        <v>19</v>
      </c>
      <c r="D156" t="s">
        <v>540</v>
      </c>
      <c r="E156" t="s">
        <v>870</v>
      </c>
      <c r="F156" t="s">
        <v>672</v>
      </c>
      <c r="G156" t="s">
        <v>871</v>
      </c>
      <c r="H156" s="2">
        <v>46098</v>
      </c>
    </row>
    <row r="157" spans="1:9" x14ac:dyDescent="0.35">
      <c r="A157">
        <v>379</v>
      </c>
      <c r="B157">
        <v>6465</v>
      </c>
      <c r="C157" t="s">
        <v>19</v>
      </c>
      <c r="D157" t="s">
        <v>540</v>
      </c>
      <c r="E157" t="s">
        <v>872</v>
      </c>
      <c r="F157" t="s">
        <v>593</v>
      </c>
      <c r="G157" t="s">
        <v>873</v>
      </c>
      <c r="H157" s="2">
        <v>46092</v>
      </c>
    </row>
    <row r="158" spans="1:9" x14ac:dyDescent="0.35">
      <c r="A158">
        <v>894</v>
      </c>
      <c r="B158">
        <v>6466</v>
      </c>
      <c r="C158" t="s">
        <v>19</v>
      </c>
      <c r="D158" t="s">
        <v>540</v>
      </c>
      <c r="E158" t="s">
        <v>874</v>
      </c>
      <c r="F158" t="s">
        <v>640</v>
      </c>
      <c r="G158" t="s">
        <v>875</v>
      </c>
      <c r="H158" s="2">
        <v>46100</v>
      </c>
    </row>
    <row r="159" spans="1:9" x14ac:dyDescent="0.35">
      <c r="A159">
        <v>237</v>
      </c>
      <c r="B159">
        <v>6467</v>
      </c>
      <c r="C159" t="s">
        <v>19</v>
      </c>
      <c r="D159" t="s">
        <v>540</v>
      </c>
      <c r="E159" t="s">
        <v>876</v>
      </c>
      <c r="F159" t="s">
        <v>610</v>
      </c>
      <c r="G159" t="s">
        <v>877</v>
      </c>
      <c r="H159" s="2">
        <v>46093</v>
      </c>
    </row>
    <row r="160" spans="1:9" x14ac:dyDescent="0.35">
      <c r="A160">
        <v>202</v>
      </c>
      <c r="B160">
        <v>6608</v>
      </c>
      <c r="C160" t="s">
        <v>19</v>
      </c>
      <c r="D160" t="s">
        <v>540</v>
      </c>
      <c r="E160" t="s">
        <v>878</v>
      </c>
      <c r="F160" t="s">
        <v>672</v>
      </c>
      <c r="G160" t="s">
        <v>879</v>
      </c>
      <c r="H160" s="2">
        <v>46098</v>
      </c>
    </row>
    <row r="161" spans="1:11" x14ac:dyDescent="0.35">
      <c r="A161">
        <v>317</v>
      </c>
      <c r="B161">
        <v>6613</v>
      </c>
      <c r="C161" t="s">
        <v>16</v>
      </c>
      <c r="D161" t="s">
        <v>540</v>
      </c>
      <c r="E161" t="s">
        <v>880</v>
      </c>
      <c r="F161" t="s">
        <v>632</v>
      </c>
      <c r="G161" t="s">
        <v>881</v>
      </c>
      <c r="H161" s="2">
        <v>46099</v>
      </c>
    </row>
    <row r="162" spans="1:11" x14ac:dyDescent="0.35">
      <c r="A162">
        <v>352</v>
      </c>
      <c r="B162">
        <v>6618</v>
      </c>
      <c r="C162" t="s">
        <v>19</v>
      </c>
      <c r="D162" t="s">
        <v>540</v>
      </c>
      <c r="E162" t="s">
        <v>882</v>
      </c>
      <c r="F162" t="s">
        <v>616</v>
      </c>
      <c r="G162" t="s">
        <v>883</v>
      </c>
      <c r="H162" s="2">
        <v>46091</v>
      </c>
    </row>
    <row r="163" spans="1:11" x14ac:dyDescent="0.35">
      <c r="A163">
        <v>138</v>
      </c>
      <c r="B163">
        <v>6628</v>
      </c>
      <c r="C163" t="s">
        <v>16</v>
      </c>
      <c r="D163" t="s">
        <v>540</v>
      </c>
      <c r="E163" t="s">
        <v>884</v>
      </c>
      <c r="F163" t="s">
        <v>788</v>
      </c>
      <c r="G163" t="s">
        <v>885</v>
      </c>
      <c r="H163" s="2">
        <v>46093</v>
      </c>
    </row>
    <row r="164" spans="1:11" x14ac:dyDescent="0.35">
      <c r="A164">
        <v>613</v>
      </c>
      <c r="B164">
        <v>6713</v>
      </c>
      <c r="C164" t="s">
        <v>16</v>
      </c>
      <c r="D164" t="s">
        <v>540</v>
      </c>
      <c r="E164" t="s">
        <v>886</v>
      </c>
      <c r="F164" t="s">
        <v>549</v>
      </c>
      <c r="G164" t="s">
        <v>887</v>
      </c>
      <c r="H164" s="2">
        <v>46093</v>
      </c>
    </row>
    <row r="165" spans="1:11" x14ac:dyDescent="0.35">
      <c r="A165">
        <v>764</v>
      </c>
      <c r="B165">
        <v>6715</v>
      </c>
      <c r="C165" t="s">
        <v>19</v>
      </c>
      <c r="D165" t="s">
        <v>540</v>
      </c>
      <c r="E165" t="s">
        <v>888</v>
      </c>
      <c r="F165" t="s">
        <v>552</v>
      </c>
      <c r="G165" t="s">
        <v>889</v>
      </c>
      <c r="H165" s="2">
        <v>46100</v>
      </c>
    </row>
    <row r="166" spans="1:11" x14ac:dyDescent="0.35">
      <c r="A166">
        <v>843</v>
      </c>
      <c r="B166">
        <v>6716</v>
      </c>
      <c r="C166" t="s">
        <v>19</v>
      </c>
      <c r="D166" t="s">
        <v>540</v>
      </c>
      <c r="E166" t="s">
        <v>890</v>
      </c>
      <c r="F166" t="s">
        <v>891</v>
      </c>
      <c r="G166" t="s">
        <v>892</v>
      </c>
      <c r="H166" s="2">
        <v>46091</v>
      </c>
    </row>
    <row r="167" spans="1:11" x14ac:dyDescent="0.35">
      <c r="A167">
        <v>371</v>
      </c>
      <c r="B167">
        <v>6718</v>
      </c>
      <c r="C167" t="s">
        <v>19</v>
      </c>
      <c r="D167" t="s">
        <v>540</v>
      </c>
      <c r="E167" t="s">
        <v>893</v>
      </c>
      <c r="F167" t="s">
        <v>745</v>
      </c>
      <c r="G167" t="s">
        <v>894</v>
      </c>
      <c r="H167" s="2">
        <v>46093</v>
      </c>
    </row>
    <row r="168" spans="1:11" x14ac:dyDescent="0.35">
      <c r="A168">
        <v>348</v>
      </c>
      <c r="B168">
        <v>6724</v>
      </c>
      <c r="C168" t="s">
        <v>16</v>
      </c>
      <c r="D168" t="s">
        <v>540</v>
      </c>
      <c r="E168" t="s">
        <v>541</v>
      </c>
      <c r="F168" t="s">
        <v>542</v>
      </c>
      <c r="G168" t="s">
        <v>543</v>
      </c>
      <c r="H168" s="2">
        <v>46093</v>
      </c>
    </row>
    <row r="169" spans="1:11" x14ac:dyDescent="0.35">
      <c r="A169">
        <v>96</v>
      </c>
      <c r="B169">
        <v>6735</v>
      </c>
      <c r="C169" t="s">
        <v>19</v>
      </c>
      <c r="D169" t="s">
        <v>540</v>
      </c>
      <c r="E169" t="s">
        <v>895</v>
      </c>
      <c r="F169" t="s">
        <v>613</v>
      </c>
      <c r="G169" t="s">
        <v>896</v>
      </c>
      <c r="H169" s="2">
        <v>46086</v>
      </c>
    </row>
    <row r="170" spans="1:11" x14ac:dyDescent="0.35">
      <c r="A170">
        <v>888</v>
      </c>
      <c r="B170">
        <v>6818</v>
      </c>
      <c r="C170" t="s">
        <v>19</v>
      </c>
      <c r="D170" t="s">
        <v>540</v>
      </c>
      <c r="E170" t="s">
        <v>897</v>
      </c>
      <c r="F170" t="s">
        <v>640</v>
      </c>
      <c r="G170" t="s">
        <v>898</v>
      </c>
      <c r="H170" s="2">
        <v>46091</v>
      </c>
      <c r="K170" t="s">
        <v>899</v>
      </c>
    </row>
    <row r="171" spans="1:11" x14ac:dyDescent="0.35">
      <c r="A171">
        <v>20</v>
      </c>
      <c r="B171">
        <v>6839</v>
      </c>
      <c r="C171" t="s">
        <v>19</v>
      </c>
      <c r="D171" t="s">
        <v>540</v>
      </c>
      <c r="E171" t="s">
        <v>900</v>
      </c>
      <c r="F171" t="s">
        <v>556</v>
      </c>
      <c r="G171" t="s">
        <v>901</v>
      </c>
      <c r="H171" s="2">
        <v>46093</v>
      </c>
    </row>
    <row r="172" spans="1:11" x14ac:dyDescent="0.35">
      <c r="A172">
        <v>741</v>
      </c>
      <c r="B172">
        <v>6843</v>
      </c>
      <c r="C172" t="s">
        <v>16</v>
      </c>
      <c r="D172" t="s">
        <v>540</v>
      </c>
      <c r="E172" t="s">
        <v>902</v>
      </c>
      <c r="F172" t="s">
        <v>552</v>
      </c>
      <c r="G172" t="s">
        <v>903</v>
      </c>
      <c r="H172" s="2">
        <v>46099</v>
      </c>
      <c r="I172" t="s">
        <v>564</v>
      </c>
    </row>
    <row r="173" spans="1:11" x14ac:dyDescent="0.35">
      <c r="A173">
        <v>796</v>
      </c>
      <c r="B173">
        <v>6911</v>
      </c>
      <c r="C173" t="s">
        <v>19</v>
      </c>
      <c r="D173" t="s">
        <v>540</v>
      </c>
      <c r="E173" t="s">
        <v>904</v>
      </c>
      <c r="F173" t="s">
        <v>590</v>
      </c>
      <c r="G173" t="s">
        <v>905</v>
      </c>
      <c r="H173" s="2">
        <v>46098</v>
      </c>
    </row>
    <row r="174" spans="1:11" x14ac:dyDescent="0.35">
      <c r="A174">
        <v>536</v>
      </c>
      <c r="B174">
        <v>6927</v>
      </c>
      <c r="C174" t="s">
        <v>16</v>
      </c>
      <c r="D174" t="s">
        <v>540</v>
      </c>
      <c r="E174" t="s">
        <v>906</v>
      </c>
      <c r="F174" t="s">
        <v>724</v>
      </c>
      <c r="G174" t="s">
        <v>907</v>
      </c>
      <c r="H174" s="2">
        <v>46092</v>
      </c>
    </row>
    <row r="175" spans="1:11" x14ac:dyDescent="0.35">
      <c r="A175">
        <v>658</v>
      </c>
      <c r="B175">
        <v>7074</v>
      </c>
      <c r="C175" t="s">
        <v>16</v>
      </c>
      <c r="D175" t="s">
        <v>540</v>
      </c>
      <c r="E175" t="s">
        <v>908</v>
      </c>
      <c r="F175" t="s">
        <v>672</v>
      </c>
      <c r="G175" t="s">
        <v>909</v>
      </c>
      <c r="H175" s="2">
        <v>46099</v>
      </c>
      <c r="I175" t="s">
        <v>564</v>
      </c>
    </row>
    <row r="176" spans="1:11" x14ac:dyDescent="0.35">
      <c r="A176">
        <v>306</v>
      </c>
      <c r="B176">
        <v>7097</v>
      </c>
      <c r="C176" t="s">
        <v>16</v>
      </c>
      <c r="D176" t="s">
        <v>540</v>
      </c>
      <c r="E176" t="s">
        <v>910</v>
      </c>
      <c r="F176" t="s">
        <v>590</v>
      </c>
      <c r="G176" t="s">
        <v>911</v>
      </c>
      <c r="H176" s="2">
        <v>46099</v>
      </c>
    </row>
    <row r="177" spans="1:9" x14ac:dyDescent="0.35">
      <c r="A177">
        <v>549</v>
      </c>
      <c r="B177">
        <v>7123</v>
      </c>
      <c r="C177" t="s">
        <v>19</v>
      </c>
      <c r="D177" t="s">
        <v>540</v>
      </c>
      <c r="E177" t="s">
        <v>912</v>
      </c>
      <c r="F177" t="s">
        <v>724</v>
      </c>
      <c r="G177" t="s">
        <v>913</v>
      </c>
      <c r="H177" s="2">
        <v>46093</v>
      </c>
    </row>
    <row r="178" spans="1:9" x14ac:dyDescent="0.35">
      <c r="A178">
        <v>677</v>
      </c>
      <c r="B178">
        <v>7124</v>
      </c>
      <c r="C178" t="s">
        <v>16</v>
      </c>
      <c r="D178" t="s">
        <v>540</v>
      </c>
      <c r="E178" t="s">
        <v>914</v>
      </c>
      <c r="F178" t="s">
        <v>745</v>
      </c>
      <c r="G178" t="s">
        <v>915</v>
      </c>
      <c r="H178" s="2">
        <v>46092</v>
      </c>
    </row>
    <row r="179" spans="1:9" x14ac:dyDescent="0.35">
      <c r="A179">
        <v>484</v>
      </c>
      <c r="B179">
        <v>7125</v>
      </c>
      <c r="C179" t="s">
        <v>16</v>
      </c>
      <c r="D179" t="s">
        <v>540</v>
      </c>
      <c r="E179" t="s">
        <v>916</v>
      </c>
      <c r="F179" t="s">
        <v>745</v>
      </c>
      <c r="G179" t="s">
        <v>917</v>
      </c>
      <c r="H179" s="2">
        <v>46092</v>
      </c>
    </row>
    <row r="180" spans="1:9" x14ac:dyDescent="0.35">
      <c r="A180">
        <v>93</v>
      </c>
      <c r="B180">
        <v>7126</v>
      </c>
      <c r="C180" t="s">
        <v>19</v>
      </c>
      <c r="D180" t="s">
        <v>540</v>
      </c>
      <c r="E180" t="s">
        <v>918</v>
      </c>
      <c r="F180" t="s">
        <v>745</v>
      </c>
      <c r="G180" t="s">
        <v>919</v>
      </c>
      <c r="H180" s="2">
        <v>46099</v>
      </c>
    </row>
    <row r="181" spans="1:9" x14ac:dyDescent="0.35">
      <c r="A181">
        <v>123</v>
      </c>
      <c r="B181">
        <v>7134</v>
      </c>
      <c r="C181" t="s">
        <v>16</v>
      </c>
      <c r="D181" t="s">
        <v>540</v>
      </c>
      <c r="E181" t="s">
        <v>920</v>
      </c>
      <c r="F181" t="s">
        <v>663</v>
      </c>
      <c r="G181" t="s">
        <v>666</v>
      </c>
      <c r="H181" s="2">
        <v>46099</v>
      </c>
      <c r="I181" t="s">
        <v>564</v>
      </c>
    </row>
    <row r="182" spans="1:9" x14ac:dyDescent="0.35">
      <c r="A182">
        <v>385</v>
      </c>
      <c r="B182">
        <v>7139</v>
      </c>
      <c r="C182" t="s">
        <v>19</v>
      </c>
      <c r="D182" t="s">
        <v>540</v>
      </c>
      <c r="E182" t="s">
        <v>921</v>
      </c>
      <c r="F182" t="s">
        <v>788</v>
      </c>
      <c r="G182" t="s">
        <v>922</v>
      </c>
      <c r="H182" s="2">
        <v>46093</v>
      </c>
    </row>
    <row r="183" spans="1:9" x14ac:dyDescent="0.35">
      <c r="A183">
        <v>233</v>
      </c>
      <c r="B183">
        <v>7212</v>
      </c>
      <c r="C183" t="s">
        <v>19</v>
      </c>
      <c r="D183" t="s">
        <v>540</v>
      </c>
      <c r="E183" t="s">
        <v>923</v>
      </c>
      <c r="F183" t="s">
        <v>587</v>
      </c>
      <c r="G183" t="s">
        <v>924</v>
      </c>
      <c r="H183" s="2">
        <v>46093</v>
      </c>
    </row>
    <row r="184" spans="1:9" x14ac:dyDescent="0.35">
      <c r="A184">
        <v>8</v>
      </c>
      <c r="B184">
        <v>7272</v>
      </c>
      <c r="C184" t="s">
        <v>16</v>
      </c>
      <c r="D184" t="s">
        <v>540</v>
      </c>
      <c r="E184" t="s">
        <v>676</v>
      </c>
      <c r="F184" t="s">
        <v>568</v>
      </c>
      <c r="G184" t="s">
        <v>677</v>
      </c>
      <c r="H184" s="2">
        <v>46099</v>
      </c>
    </row>
    <row r="185" spans="1:9" x14ac:dyDescent="0.35">
      <c r="A185">
        <v>506</v>
      </c>
      <c r="B185">
        <v>7316</v>
      </c>
      <c r="C185" t="s">
        <v>16</v>
      </c>
      <c r="D185" t="s">
        <v>540</v>
      </c>
      <c r="E185" t="s">
        <v>925</v>
      </c>
      <c r="F185" t="s">
        <v>745</v>
      </c>
      <c r="G185" t="s">
        <v>926</v>
      </c>
      <c r="H185" s="2">
        <v>46091</v>
      </c>
    </row>
    <row r="186" spans="1:9" x14ac:dyDescent="0.35">
      <c r="A186">
        <v>651</v>
      </c>
      <c r="B186">
        <v>7318</v>
      </c>
      <c r="C186" t="s">
        <v>16</v>
      </c>
      <c r="D186" t="s">
        <v>540</v>
      </c>
      <c r="E186" t="s">
        <v>927</v>
      </c>
      <c r="F186" t="s">
        <v>724</v>
      </c>
      <c r="G186" t="s">
        <v>928</v>
      </c>
      <c r="H186" s="2">
        <v>46091</v>
      </c>
    </row>
    <row r="187" spans="1:9" x14ac:dyDescent="0.35">
      <c r="A187">
        <v>389</v>
      </c>
      <c r="B187">
        <v>7327</v>
      </c>
      <c r="C187" t="s">
        <v>19</v>
      </c>
      <c r="D187" t="s">
        <v>540</v>
      </c>
      <c r="E187" t="s">
        <v>929</v>
      </c>
      <c r="F187" t="s">
        <v>692</v>
      </c>
      <c r="G187" t="s">
        <v>930</v>
      </c>
      <c r="H187" s="2">
        <v>46099</v>
      </c>
    </row>
    <row r="188" spans="1:9" x14ac:dyDescent="0.35">
      <c r="A188">
        <v>41</v>
      </c>
      <c r="B188">
        <v>7341</v>
      </c>
      <c r="C188" t="s">
        <v>16</v>
      </c>
      <c r="D188" t="s">
        <v>540</v>
      </c>
      <c r="E188" t="s">
        <v>931</v>
      </c>
      <c r="F188" t="s">
        <v>578</v>
      </c>
      <c r="G188" t="s">
        <v>932</v>
      </c>
      <c r="H188" s="2">
        <v>46091</v>
      </c>
    </row>
    <row r="189" spans="1:9" x14ac:dyDescent="0.35">
      <c r="A189">
        <v>848</v>
      </c>
      <c r="B189">
        <v>7374</v>
      </c>
      <c r="C189" t="s">
        <v>16</v>
      </c>
      <c r="D189" t="s">
        <v>540</v>
      </c>
      <c r="E189" t="s">
        <v>933</v>
      </c>
      <c r="F189" t="s">
        <v>637</v>
      </c>
      <c r="G189" t="s">
        <v>934</v>
      </c>
      <c r="H189" s="2">
        <v>46099</v>
      </c>
    </row>
    <row r="190" spans="1:9" x14ac:dyDescent="0.35">
      <c r="A190">
        <v>623</v>
      </c>
      <c r="B190">
        <v>7375</v>
      </c>
      <c r="C190" t="s">
        <v>19</v>
      </c>
      <c r="D190" t="s">
        <v>540</v>
      </c>
      <c r="E190" t="s">
        <v>644</v>
      </c>
      <c r="F190" t="s">
        <v>607</v>
      </c>
      <c r="G190" t="s">
        <v>645</v>
      </c>
      <c r="H190" s="2">
        <v>46086</v>
      </c>
    </row>
    <row r="191" spans="1:9" x14ac:dyDescent="0.35">
      <c r="A191">
        <v>172</v>
      </c>
      <c r="B191">
        <v>7429</v>
      </c>
      <c r="C191" t="s">
        <v>19</v>
      </c>
      <c r="D191" t="s">
        <v>540</v>
      </c>
      <c r="E191" t="s">
        <v>935</v>
      </c>
      <c r="F191" t="s">
        <v>672</v>
      </c>
      <c r="G191" t="s">
        <v>936</v>
      </c>
      <c r="H191" s="2">
        <v>46092</v>
      </c>
    </row>
    <row r="192" spans="1:9" x14ac:dyDescent="0.35">
      <c r="A192">
        <v>332</v>
      </c>
      <c r="B192">
        <v>7569</v>
      </c>
      <c r="C192" t="s">
        <v>19</v>
      </c>
      <c r="D192" t="s">
        <v>540</v>
      </c>
      <c r="E192" t="s">
        <v>937</v>
      </c>
      <c r="F192" t="s">
        <v>583</v>
      </c>
      <c r="G192" t="s">
        <v>938</v>
      </c>
      <c r="H192" s="2">
        <v>46100</v>
      </c>
    </row>
    <row r="193" spans="1:9" x14ac:dyDescent="0.35">
      <c r="A193">
        <v>812</v>
      </c>
      <c r="B193">
        <v>7613</v>
      </c>
      <c r="C193" t="s">
        <v>16</v>
      </c>
      <c r="D193" t="s">
        <v>540</v>
      </c>
      <c r="E193" t="s">
        <v>740</v>
      </c>
      <c r="F193" t="s">
        <v>552</v>
      </c>
      <c r="G193" t="s">
        <v>741</v>
      </c>
      <c r="H193" s="2">
        <v>46091</v>
      </c>
    </row>
    <row r="194" spans="1:9" x14ac:dyDescent="0.35">
      <c r="A194">
        <v>812</v>
      </c>
      <c r="B194">
        <v>7614</v>
      </c>
      <c r="C194" t="s">
        <v>16</v>
      </c>
      <c r="D194" t="s">
        <v>540</v>
      </c>
      <c r="E194" t="s">
        <v>740</v>
      </c>
      <c r="F194" t="s">
        <v>552</v>
      </c>
      <c r="G194" t="s">
        <v>741</v>
      </c>
      <c r="H194" s="2">
        <v>46091</v>
      </c>
    </row>
    <row r="195" spans="1:9" x14ac:dyDescent="0.35">
      <c r="A195">
        <v>318</v>
      </c>
      <c r="B195">
        <v>7680</v>
      </c>
      <c r="C195" t="s">
        <v>19</v>
      </c>
      <c r="D195" t="s">
        <v>540</v>
      </c>
      <c r="E195" t="s">
        <v>728</v>
      </c>
      <c r="F195" t="s">
        <v>632</v>
      </c>
      <c r="G195" t="s">
        <v>729</v>
      </c>
      <c r="H195" s="2">
        <v>46091</v>
      </c>
      <c r="I195" t="s">
        <v>564</v>
      </c>
    </row>
    <row r="196" spans="1:9" x14ac:dyDescent="0.35">
      <c r="A196">
        <v>476</v>
      </c>
      <c r="B196">
        <v>7759</v>
      </c>
      <c r="C196" t="s">
        <v>16</v>
      </c>
      <c r="D196" t="s">
        <v>540</v>
      </c>
      <c r="E196" t="s">
        <v>939</v>
      </c>
      <c r="F196" t="s">
        <v>632</v>
      </c>
      <c r="G196" t="s">
        <v>940</v>
      </c>
      <c r="H196" s="2">
        <v>46091</v>
      </c>
    </row>
    <row r="197" spans="1:9" x14ac:dyDescent="0.35">
      <c r="A197">
        <v>7</v>
      </c>
      <c r="B197">
        <v>7812</v>
      </c>
      <c r="C197" t="s">
        <v>16</v>
      </c>
      <c r="D197" t="s">
        <v>540</v>
      </c>
      <c r="E197" t="s">
        <v>660</v>
      </c>
      <c r="F197" t="s">
        <v>549</v>
      </c>
      <c r="G197" t="s">
        <v>661</v>
      </c>
      <c r="H197" s="2">
        <v>46091</v>
      </c>
    </row>
    <row r="198" spans="1:9" x14ac:dyDescent="0.35">
      <c r="A198">
        <v>609</v>
      </c>
      <c r="B198">
        <v>7875</v>
      </c>
      <c r="C198" t="s">
        <v>19</v>
      </c>
      <c r="D198" t="s">
        <v>540</v>
      </c>
      <c r="E198" t="s">
        <v>941</v>
      </c>
      <c r="F198" t="s">
        <v>546</v>
      </c>
      <c r="G198" t="s">
        <v>942</v>
      </c>
      <c r="H198" s="2">
        <v>46098</v>
      </c>
    </row>
    <row r="199" spans="1:9" x14ac:dyDescent="0.35">
      <c r="A199">
        <v>609</v>
      </c>
      <c r="B199">
        <v>7888</v>
      </c>
      <c r="C199" t="s">
        <v>19</v>
      </c>
      <c r="D199" t="s">
        <v>540</v>
      </c>
      <c r="E199" t="s">
        <v>941</v>
      </c>
      <c r="F199" t="s">
        <v>546</v>
      </c>
      <c r="G199" t="s">
        <v>942</v>
      </c>
      <c r="H199" s="2">
        <v>46098</v>
      </c>
    </row>
    <row r="200" spans="1:9" x14ac:dyDescent="0.35">
      <c r="A200">
        <v>166</v>
      </c>
      <c r="B200">
        <v>7939</v>
      </c>
      <c r="C200" t="s">
        <v>19</v>
      </c>
      <c r="D200" t="s">
        <v>540</v>
      </c>
      <c r="E200" t="s">
        <v>943</v>
      </c>
      <c r="F200" t="s">
        <v>745</v>
      </c>
      <c r="G200" t="s">
        <v>944</v>
      </c>
      <c r="H200" s="2">
        <v>46091</v>
      </c>
    </row>
    <row r="201" spans="1:9" x14ac:dyDescent="0.35">
      <c r="A201">
        <v>166</v>
      </c>
      <c r="B201">
        <v>7940</v>
      </c>
      <c r="C201" t="s">
        <v>19</v>
      </c>
      <c r="D201" t="s">
        <v>540</v>
      </c>
      <c r="E201" t="s">
        <v>943</v>
      </c>
      <c r="F201" t="s">
        <v>745</v>
      </c>
      <c r="G201" t="s">
        <v>944</v>
      </c>
      <c r="H201" s="2">
        <v>46091</v>
      </c>
    </row>
    <row r="202" spans="1:9" x14ac:dyDescent="0.35">
      <c r="A202">
        <v>91</v>
      </c>
      <c r="B202">
        <v>7943</v>
      </c>
      <c r="C202" t="s">
        <v>16</v>
      </c>
      <c r="D202" t="s">
        <v>540</v>
      </c>
      <c r="E202" t="s">
        <v>744</v>
      </c>
      <c r="F202" t="s">
        <v>745</v>
      </c>
      <c r="G202" t="s">
        <v>746</v>
      </c>
      <c r="H202" s="2">
        <v>46092</v>
      </c>
      <c r="I202" t="s">
        <v>564</v>
      </c>
    </row>
    <row r="203" spans="1:9" x14ac:dyDescent="0.35">
      <c r="A203">
        <v>693</v>
      </c>
      <c r="B203">
        <v>7979</v>
      </c>
      <c r="C203" t="s">
        <v>19</v>
      </c>
      <c r="D203" t="s">
        <v>540</v>
      </c>
      <c r="E203" t="s">
        <v>945</v>
      </c>
      <c r="F203" t="s">
        <v>593</v>
      </c>
      <c r="G203" t="s">
        <v>946</v>
      </c>
      <c r="H203" s="2">
        <v>46093</v>
      </c>
    </row>
    <row r="204" spans="1:9" x14ac:dyDescent="0.35">
      <c r="A204">
        <v>419</v>
      </c>
      <c r="B204">
        <v>7980</v>
      </c>
      <c r="C204" t="s">
        <v>19</v>
      </c>
      <c r="D204" t="s">
        <v>540</v>
      </c>
      <c r="E204" t="s">
        <v>671</v>
      </c>
      <c r="F204" t="s">
        <v>672</v>
      </c>
      <c r="G204" t="s">
        <v>673</v>
      </c>
      <c r="H204" s="2">
        <v>46091</v>
      </c>
    </row>
    <row r="205" spans="1:9" x14ac:dyDescent="0.35">
      <c r="A205">
        <v>453</v>
      </c>
      <c r="B205">
        <v>8018</v>
      </c>
      <c r="C205" t="s">
        <v>19</v>
      </c>
      <c r="D205" t="s">
        <v>540</v>
      </c>
      <c r="E205" t="s">
        <v>947</v>
      </c>
      <c r="F205" t="s">
        <v>717</v>
      </c>
      <c r="G205" t="s">
        <v>948</v>
      </c>
      <c r="H205" s="2">
        <v>46093</v>
      </c>
    </row>
    <row r="206" spans="1:9" x14ac:dyDescent="0.35">
      <c r="A206">
        <v>453</v>
      </c>
      <c r="B206">
        <v>8019</v>
      </c>
      <c r="C206" t="s">
        <v>19</v>
      </c>
      <c r="D206" t="s">
        <v>540</v>
      </c>
      <c r="E206" t="s">
        <v>947</v>
      </c>
      <c r="F206" t="s">
        <v>717</v>
      </c>
      <c r="G206" t="s">
        <v>948</v>
      </c>
      <c r="H206" s="2">
        <v>46093</v>
      </c>
    </row>
    <row r="207" spans="1:9" x14ac:dyDescent="0.35">
      <c r="A207">
        <v>725</v>
      </c>
      <c r="B207">
        <v>8090</v>
      </c>
      <c r="C207" t="s">
        <v>19</v>
      </c>
      <c r="D207" t="s">
        <v>540</v>
      </c>
      <c r="E207" t="s">
        <v>759</v>
      </c>
      <c r="F207" t="s">
        <v>607</v>
      </c>
      <c r="G207" t="s">
        <v>760</v>
      </c>
      <c r="H207" s="2">
        <v>46092</v>
      </c>
    </row>
    <row r="208" spans="1:9" x14ac:dyDescent="0.35">
      <c r="A208">
        <v>569</v>
      </c>
      <c r="B208">
        <v>8129</v>
      </c>
      <c r="C208" t="s">
        <v>16</v>
      </c>
      <c r="D208" t="s">
        <v>540</v>
      </c>
      <c r="E208" t="s">
        <v>949</v>
      </c>
      <c r="F208" t="s">
        <v>745</v>
      </c>
      <c r="G208" t="s">
        <v>950</v>
      </c>
      <c r="H208" s="2">
        <v>46091</v>
      </c>
    </row>
    <row r="209" spans="1:9" x14ac:dyDescent="0.35">
      <c r="A209">
        <v>291</v>
      </c>
      <c r="B209">
        <v>8139</v>
      </c>
      <c r="C209" t="s">
        <v>16</v>
      </c>
      <c r="D209" t="s">
        <v>540</v>
      </c>
      <c r="E209" t="s">
        <v>706</v>
      </c>
      <c r="F209" t="s">
        <v>556</v>
      </c>
      <c r="G209" t="s">
        <v>707</v>
      </c>
      <c r="H209" s="2">
        <v>46091</v>
      </c>
    </row>
    <row r="210" spans="1:9" x14ac:dyDescent="0.35">
      <c r="A210">
        <v>810</v>
      </c>
      <c r="B210">
        <v>8204</v>
      </c>
      <c r="C210" t="s">
        <v>19</v>
      </c>
      <c r="D210" t="s">
        <v>540</v>
      </c>
      <c r="E210" t="s">
        <v>951</v>
      </c>
      <c r="F210" t="s">
        <v>552</v>
      </c>
      <c r="G210" t="s">
        <v>952</v>
      </c>
      <c r="H210" s="2">
        <v>46091</v>
      </c>
    </row>
    <row r="211" spans="1:9" x14ac:dyDescent="0.35">
      <c r="A211">
        <v>554</v>
      </c>
      <c r="B211">
        <v>8294</v>
      </c>
      <c r="C211" t="s">
        <v>19</v>
      </c>
      <c r="D211" t="s">
        <v>540</v>
      </c>
      <c r="E211" t="s">
        <v>953</v>
      </c>
      <c r="F211" t="s">
        <v>560</v>
      </c>
      <c r="G211" t="s">
        <v>954</v>
      </c>
      <c r="H211" s="2">
        <v>46093</v>
      </c>
      <c r="I211" t="s">
        <v>564</v>
      </c>
    </row>
    <row r="212" spans="1:9" x14ac:dyDescent="0.35">
      <c r="A212">
        <v>554</v>
      </c>
      <c r="B212">
        <v>8295</v>
      </c>
      <c r="C212" t="s">
        <v>19</v>
      </c>
      <c r="D212" t="s">
        <v>540</v>
      </c>
      <c r="E212" t="s">
        <v>953</v>
      </c>
      <c r="F212" t="s">
        <v>560</v>
      </c>
      <c r="G212" t="s">
        <v>954</v>
      </c>
      <c r="H212" s="2">
        <v>46093</v>
      </c>
      <c r="I212" t="s">
        <v>564</v>
      </c>
    </row>
    <row r="213" spans="1:9" x14ac:dyDescent="0.35">
      <c r="A213">
        <v>915</v>
      </c>
      <c r="B213">
        <v>8313</v>
      </c>
      <c r="C213" t="s">
        <v>19</v>
      </c>
      <c r="D213" t="s">
        <v>540</v>
      </c>
      <c r="E213" t="s">
        <v>955</v>
      </c>
      <c r="F213" t="s">
        <v>623</v>
      </c>
      <c r="G213" t="s">
        <v>956</v>
      </c>
      <c r="H213" s="2">
        <v>46092</v>
      </c>
    </row>
    <row r="214" spans="1:9" x14ac:dyDescent="0.35">
      <c r="A214">
        <v>915</v>
      </c>
      <c r="B214">
        <v>8314</v>
      </c>
      <c r="C214" t="s">
        <v>19</v>
      </c>
      <c r="D214" t="s">
        <v>540</v>
      </c>
      <c r="E214" t="s">
        <v>955</v>
      </c>
      <c r="F214" t="s">
        <v>623</v>
      </c>
      <c r="G214" t="s">
        <v>956</v>
      </c>
      <c r="H214" s="2">
        <v>46092</v>
      </c>
    </row>
    <row r="215" spans="1:9" x14ac:dyDescent="0.35">
      <c r="A215">
        <v>556</v>
      </c>
      <c r="B215">
        <v>8333</v>
      </c>
      <c r="C215" t="s">
        <v>19</v>
      </c>
      <c r="D215" t="s">
        <v>540</v>
      </c>
      <c r="E215" t="s">
        <v>957</v>
      </c>
      <c r="F215" t="s">
        <v>663</v>
      </c>
      <c r="G215" t="s">
        <v>958</v>
      </c>
      <c r="H215" s="2">
        <v>46093</v>
      </c>
    </row>
    <row r="216" spans="1:9" x14ac:dyDescent="0.35">
      <c r="A216">
        <v>944</v>
      </c>
      <c r="B216">
        <v>8353</v>
      </c>
      <c r="C216" t="s">
        <v>19</v>
      </c>
      <c r="D216" t="s">
        <v>540</v>
      </c>
      <c r="E216" t="s">
        <v>582</v>
      </c>
      <c r="F216" t="s">
        <v>583</v>
      </c>
      <c r="G216" t="s">
        <v>584</v>
      </c>
      <c r="H216" s="2">
        <v>46098</v>
      </c>
    </row>
    <row r="217" spans="1:9" x14ac:dyDescent="0.35">
      <c r="A217">
        <v>944</v>
      </c>
      <c r="B217">
        <v>8354</v>
      </c>
      <c r="C217" t="s">
        <v>19</v>
      </c>
      <c r="D217" t="s">
        <v>540</v>
      </c>
      <c r="E217" t="s">
        <v>582</v>
      </c>
      <c r="F217" t="s">
        <v>583</v>
      </c>
      <c r="G217" t="s">
        <v>584</v>
      </c>
      <c r="H217" s="2">
        <v>46098</v>
      </c>
    </row>
    <row r="218" spans="1:9" x14ac:dyDescent="0.35">
      <c r="A218">
        <v>495</v>
      </c>
      <c r="B218">
        <v>8482</v>
      </c>
      <c r="C218" t="s">
        <v>19</v>
      </c>
      <c r="D218" t="s">
        <v>540</v>
      </c>
      <c r="E218" t="s">
        <v>959</v>
      </c>
      <c r="F218" t="s">
        <v>542</v>
      </c>
      <c r="G218" t="s">
        <v>960</v>
      </c>
      <c r="H218" s="2">
        <v>46091</v>
      </c>
      <c r="I218" t="s">
        <v>564</v>
      </c>
    </row>
    <row r="219" spans="1:9" x14ac:dyDescent="0.35">
      <c r="A219">
        <v>236</v>
      </c>
      <c r="B219">
        <v>8497</v>
      </c>
      <c r="C219" t="s">
        <v>19</v>
      </c>
      <c r="D219" t="s">
        <v>540</v>
      </c>
      <c r="E219" t="s">
        <v>852</v>
      </c>
      <c r="F219" t="s">
        <v>549</v>
      </c>
      <c r="G219" t="s">
        <v>853</v>
      </c>
      <c r="H219" s="2">
        <v>46093</v>
      </c>
    </row>
    <row r="220" spans="1:9" x14ac:dyDescent="0.35">
      <c r="A220">
        <v>193</v>
      </c>
      <c r="B220">
        <v>8537</v>
      </c>
      <c r="C220" t="s">
        <v>19</v>
      </c>
      <c r="D220" t="s">
        <v>540</v>
      </c>
      <c r="E220" t="s">
        <v>961</v>
      </c>
      <c r="F220" t="s">
        <v>623</v>
      </c>
      <c r="G220" t="s">
        <v>962</v>
      </c>
      <c r="H220" s="2">
        <v>46091</v>
      </c>
    </row>
    <row r="221" spans="1:9" x14ac:dyDescent="0.35">
      <c r="A221">
        <v>15</v>
      </c>
      <c r="B221">
        <v>8576</v>
      </c>
      <c r="C221" t="s">
        <v>19</v>
      </c>
      <c r="D221" t="s">
        <v>540</v>
      </c>
      <c r="E221" t="s">
        <v>963</v>
      </c>
      <c r="F221" t="s">
        <v>546</v>
      </c>
      <c r="G221" t="s">
        <v>964</v>
      </c>
      <c r="H221" s="2">
        <v>46093</v>
      </c>
    </row>
    <row r="222" spans="1:9" x14ac:dyDescent="0.35">
      <c r="A222">
        <v>15</v>
      </c>
      <c r="B222">
        <v>8577</v>
      </c>
      <c r="C222" t="s">
        <v>19</v>
      </c>
      <c r="D222" t="s">
        <v>540</v>
      </c>
      <c r="E222" t="s">
        <v>963</v>
      </c>
      <c r="F222" t="s">
        <v>546</v>
      </c>
      <c r="G222" t="s">
        <v>964</v>
      </c>
      <c r="H222" s="2">
        <v>46093</v>
      </c>
    </row>
    <row r="223" spans="1:9" x14ac:dyDescent="0.35">
      <c r="A223">
        <v>15</v>
      </c>
      <c r="B223">
        <v>8578</v>
      </c>
      <c r="C223" t="s">
        <v>19</v>
      </c>
      <c r="D223" t="s">
        <v>540</v>
      </c>
      <c r="E223" t="s">
        <v>963</v>
      </c>
      <c r="F223" t="s">
        <v>546</v>
      </c>
      <c r="G223" t="s">
        <v>964</v>
      </c>
      <c r="H223" s="2">
        <v>46093</v>
      </c>
    </row>
    <row r="224" spans="1:9" x14ac:dyDescent="0.35">
      <c r="A224">
        <v>728</v>
      </c>
      <c r="B224">
        <v>8586</v>
      </c>
      <c r="C224" t="s">
        <v>19</v>
      </c>
      <c r="D224" t="s">
        <v>540</v>
      </c>
      <c r="E224" t="s">
        <v>965</v>
      </c>
      <c r="F224" t="s">
        <v>637</v>
      </c>
      <c r="G224" t="s">
        <v>966</v>
      </c>
      <c r="H224" s="2">
        <v>46092</v>
      </c>
    </row>
    <row r="225" spans="1:9" x14ac:dyDescent="0.35">
      <c r="A225">
        <v>728</v>
      </c>
      <c r="B225">
        <v>8587</v>
      </c>
      <c r="C225" t="s">
        <v>19</v>
      </c>
      <c r="D225" t="s">
        <v>540</v>
      </c>
      <c r="E225" t="s">
        <v>965</v>
      </c>
      <c r="F225" t="s">
        <v>637</v>
      </c>
      <c r="G225" t="s">
        <v>966</v>
      </c>
      <c r="H225" s="2">
        <v>46092</v>
      </c>
    </row>
    <row r="226" spans="1:9" x14ac:dyDescent="0.35">
      <c r="A226">
        <v>78</v>
      </c>
      <c r="B226">
        <v>8594</v>
      </c>
      <c r="C226" t="s">
        <v>19</v>
      </c>
      <c r="D226" t="s">
        <v>540</v>
      </c>
      <c r="E226" t="s">
        <v>858</v>
      </c>
      <c r="F226" t="s">
        <v>556</v>
      </c>
      <c r="G226" t="s">
        <v>859</v>
      </c>
      <c r="H226" s="2">
        <v>46099</v>
      </c>
    </row>
    <row r="227" spans="1:9" x14ac:dyDescent="0.35">
      <c r="A227">
        <v>4</v>
      </c>
      <c r="B227">
        <v>8630</v>
      </c>
      <c r="C227" t="s">
        <v>19</v>
      </c>
      <c r="D227" t="s">
        <v>540</v>
      </c>
      <c r="E227" t="s">
        <v>967</v>
      </c>
      <c r="F227" t="s">
        <v>549</v>
      </c>
      <c r="G227" t="s">
        <v>968</v>
      </c>
      <c r="H227" s="2">
        <v>46099</v>
      </c>
    </row>
    <row r="228" spans="1:9" x14ac:dyDescent="0.35">
      <c r="A228">
        <v>4</v>
      </c>
      <c r="B228">
        <v>8631</v>
      </c>
      <c r="C228" t="s">
        <v>19</v>
      </c>
      <c r="D228" t="s">
        <v>540</v>
      </c>
      <c r="E228" t="s">
        <v>967</v>
      </c>
      <c r="F228" t="s">
        <v>549</v>
      </c>
      <c r="G228" t="s">
        <v>968</v>
      </c>
      <c r="H228" s="2">
        <v>46099</v>
      </c>
    </row>
    <row r="229" spans="1:9" x14ac:dyDescent="0.35">
      <c r="A229">
        <v>541</v>
      </c>
      <c r="B229">
        <v>8660</v>
      </c>
      <c r="C229" t="s">
        <v>19</v>
      </c>
      <c r="D229" t="s">
        <v>540</v>
      </c>
      <c r="E229" t="s">
        <v>779</v>
      </c>
      <c r="F229" t="s">
        <v>546</v>
      </c>
      <c r="G229" t="s">
        <v>780</v>
      </c>
      <c r="H229" s="2">
        <v>46086</v>
      </c>
    </row>
    <row r="230" spans="1:9" x14ac:dyDescent="0.35">
      <c r="A230">
        <v>866</v>
      </c>
      <c r="B230">
        <v>8662</v>
      </c>
      <c r="C230" t="s">
        <v>19</v>
      </c>
      <c r="D230" t="s">
        <v>540</v>
      </c>
      <c r="E230" t="s">
        <v>969</v>
      </c>
      <c r="F230" t="s">
        <v>891</v>
      </c>
      <c r="G230" t="s">
        <v>970</v>
      </c>
      <c r="H230" s="2">
        <v>46093</v>
      </c>
      <c r="I230" t="s">
        <v>564</v>
      </c>
    </row>
    <row r="231" spans="1:9" x14ac:dyDescent="0.35">
      <c r="A231">
        <v>769</v>
      </c>
      <c r="B231">
        <v>8679</v>
      </c>
      <c r="C231" t="s">
        <v>19</v>
      </c>
      <c r="D231" t="s">
        <v>540</v>
      </c>
      <c r="E231" t="s">
        <v>652</v>
      </c>
      <c r="F231" t="s">
        <v>560</v>
      </c>
      <c r="G231" t="s">
        <v>653</v>
      </c>
      <c r="H231" s="2">
        <v>46086</v>
      </c>
    </row>
    <row r="232" spans="1:9" x14ac:dyDescent="0.35">
      <c r="A232">
        <v>779</v>
      </c>
      <c r="B232">
        <v>8684</v>
      </c>
      <c r="C232" t="s">
        <v>16</v>
      </c>
      <c r="D232" t="s">
        <v>540</v>
      </c>
      <c r="E232" t="s">
        <v>612</v>
      </c>
      <c r="F232" t="s">
        <v>613</v>
      </c>
      <c r="G232" t="s">
        <v>614</v>
      </c>
      <c r="H232" s="2">
        <v>46100</v>
      </c>
    </row>
    <row r="233" spans="1:9" x14ac:dyDescent="0.35">
      <c r="A233">
        <v>779</v>
      </c>
      <c r="B233">
        <v>8685</v>
      </c>
      <c r="C233" t="s">
        <v>19</v>
      </c>
      <c r="D233" t="s">
        <v>540</v>
      </c>
      <c r="E233" t="s">
        <v>612</v>
      </c>
      <c r="F233" t="s">
        <v>613</v>
      </c>
      <c r="G233" t="s">
        <v>614</v>
      </c>
      <c r="H233" s="2">
        <v>46100</v>
      </c>
    </row>
    <row r="234" spans="1:9" x14ac:dyDescent="0.35">
      <c r="A234">
        <v>60</v>
      </c>
      <c r="B234">
        <v>8727</v>
      </c>
      <c r="C234" t="s">
        <v>19</v>
      </c>
      <c r="D234" t="s">
        <v>540</v>
      </c>
      <c r="E234" t="s">
        <v>971</v>
      </c>
      <c r="F234" t="s">
        <v>552</v>
      </c>
      <c r="G234" t="s">
        <v>972</v>
      </c>
      <c r="H234" s="2">
        <v>46086</v>
      </c>
      <c r="I234" t="s">
        <v>564</v>
      </c>
    </row>
    <row r="235" spans="1:9" x14ac:dyDescent="0.35">
      <c r="A235">
        <v>60</v>
      </c>
      <c r="B235">
        <v>8728</v>
      </c>
      <c r="C235" t="s">
        <v>16</v>
      </c>
      <c r="D235" t="s">
        <v>540</v>
      </c>
      <c r="E235" t="s">
        <v>971</v>
      </c>
      <c r="F235" t="s">
        <v>552</v>
      </c>
      <c r="G235" t="s">
        <v>972</v>
      </c>
      <c r="H235" s="2">
        <v>46086</v>
      </c>
      <c r="I235" t="s">
        <v>564</v>
      </c>
    </row>
    <row r="236" spans="1:9" x14ac:dyDescent="0.35">
      <c r="A236">
        <v>60</v>
      </c>
      <c r="B236">
        <v>8729</v>
      </c>
      <c r="C236" t="s">
        <v>19</v>
      </c>
      <c r="D236" t="s">
        <v>540</v>
      </c>
      <c r="E236" t="s">
        <v>971</v>
      </c>
      <c r="F236" t="s">
        <v>552</v>
      </c>
      <c r="G236" t="s">
        <v>972</v>
      </c>
      <c r="H236" s="2">
        <v>46086</v>
      </c>
      <c r="I236" t="s">
        <v>564</v>
      </c>
    </row>
    <row r="237" spans="1:9" x14ac:dyDescent="0.35">
      <c r="A237">
        <v>31</v>
      </c>
      <c r="B237">
        <v>8737</v>
      </c>
      <c r="C237" t="s">
        <v>19</v>
      </c>
      <c r="D237" t="s">
        <v>540</v>
      </c>
      <c r="E237" t="s">
        <v>973</v>
      </c>
      <c r="F237" t="s">
        <v>578</v>
      </c>
      <c r="G237" t="s">
        <v>974</v>
      </c>
      <c r="H237" s="2">
        <v>46098</v>
      </c>
    </row>
    <row r="238" spans="1:9" x14ac:dyDescent="0.35">
      <c r="A238">
        <v>509</v>
      </c>
      <c r="B238">
        <v>8835</v>
      </c>
      <c r="C238" t="s">
        <v>19</v>
      </c>
      <c r="D238" t="s">
        <v>540</v>
      </c>
      <c r="E238" t="s">
        <v>975</v>
      </c>
      <c r="F238" t="s">
        <v>542</v>
      </c>
      <c r="G238" t="s">
        <v>976</v>
      </c>
      <c r="H238" s="2">
        <v>46099</v>
      </c>
    </row>
    <row r="239" spans="1:9" x14ac:dyDescent="0.35">
      <c r="A239">
        <v>33</v>
      </c>
      <c r="B239">
        <v>8861</v>
      </c>
      <c r="C239" t="s">
        <v>19</v>
      </c>
      <c r="D239" t="s">
        <v>540</v>
      </c>
      <c r="E239" t="s">
        <v>977</v>
      </c>
      <c r="F239" t="s">
        <v>623</v>
      </c>
      <c r="G239" t="s">
        <v>978</v>
      </c>
      <c r="H239" s="2">
        <v>46086</v>
      </c>
      <c r="I239" t="s">
        <v>564</v>
      </c>
    </row>
    <row r="240" spans="1:9" x14ac:dyDescent="0.35">
      <c r="A240">
        <v>225</v>
      </c>
      <c r="B240">
        <v>8868</v>
      </c>
      <c r="C240" t="s">
        <v>19</v>
      </c>
      <c r="D240" t="s">
        <v>540</v>
      </c>
      <c r="E240" t="s">
        <v>979</v>
      </c>
      <c r="F240" t="s">
        <v>578</v>
      </c>
      <c r="G240" t="s">
        <v>980</v>
      </c>
      <c r="H240" s="2">
        <v>46093</v>
      </c>
    </row>
    <row r="241" spans="1:9" x14ac:dyDescent="0.35">
      <c r="A241">
        <v>225</v>
      </c>
      <c r="B241">
        <v>8869</v>
      </c>
      <c r="C241" t="s">
        <v>19</v>
      </c>
      <c r="D241" t="s">
        <v>540</v>
      </c>
      <c r="E241" t="s">
        <v>979</v>
      </c>
      <c r="F241" t="s">
        <v>578</v>
      </c>
      <c r="G241" t="s">
        <v>980</v>
      </c>
      <c r="H241" s="2">
        <v>46093</v>
      </c>
    </row>
    <row r="242" spans="1:9" x14ac:dyDescent="0.35">
      <c r="A242">
        <v>442</v>
      </c>
      <c r="B242">
        <v>8887</v>
      </c>
      <c r="C242" t="s">
        <v>19</v>
      </c>
      <c r="D242" t="s">
        <v>540</v>
      </c>
      <c r="E242" t="s">
        <v>981</v>
      </c>
      <c r="F242" t="s">
        <v>571</v>
      </c>
      <c r="G242" t="s">
        <v>982</v>
      </c>
      <c r="H242" s="2">
        <v>46099</v>
      </c>
      <c r="I242" t="s">
        <v>564</v>
      </c>
    </row>
    <row r="243" spans="1:9" x14ac:dyDescent="0.35">
      <c r="A243">
        <v>442</v>
      </c>
      <c r="B243">
        <v>8888</v>
      </c>
      <c r="C243" t="s">
        <v>19</v>
      </c>
      <c r="D243" t="s">
        <v>540</v>
      </c>
      <c r="E243" t="s">
        <v>981</v>
      </c>
      <c r="F243" t="s">
        <v>571</v>
      </c>
      <c r="G243" t="s">
        <v>982</v>
      </c>
      <c r="H243" s="2">
        <v>46099</v>
      </c>
      <c r="I243" t="s">
        <v>564</v>
      </c>
    </row>
    <row r="244" spans="1:9" x14ac:dyDescent="0.35">
      <c r="A244">
        <v>721</v>
      </c>
      <c r="B244">
        <v>8896</v>
      </c>
      <c r="C244" t="s">
        <v>19</v>
      </c>
      <c r="D244" t="s">
        <v>540</v>
      </c>
      <c r="E244" t="s">
        <v>983</v>
      </c>
      <c r="F244" t="s">
        <v>607</v>
      </c>
      <c r="G244" t="s">
        <v>984</v>
      </c>
      <c r="H244" s="2">
        <v>46091</v>
      </c>
    </row>
    <row r="245" spans="1:9" x14ac:dyDescent="0.35">
      <c r="A245">
        <v>721</v>
      </c>
      <c r="B245">
        <v>8897</v>
      </c>
      <c r="C245" t="s">
        <v>16</v>
      </c>
      <c r="D245" t="s">
        <v>540</v>
      </c>
      <c r="E245" t="s">
        <v>983</v>
      </c>
      <c r="F245" t="s">
        <v>607</v>
      </c>
      <c r="G245" t="s">
        <v>984</v>
      </c>
      <c r="H245" s="2">
        <v>46091</v>
      </c>
    </row>
    <row r="246" spans="1:9" x14ac:dyDescent="0.35">
      <c r="A246">
        <v>20</v>
      </c>
      <c r="B246">
        <v>8927</v>
      </c>
      <c r="C246" t="s">
        <v>19</v>
      </c>
      <c r="D246" t="s">
        <v>540</v>
      </c>
      <c r="E246" t="s">
        <v>900</v>
      </c>
      <c r="F246" t="s">
        <v>556</v>
      </c>
      <c r="G246" t="s">
        <v>901</v>
      </c>
      <c r="H246" s="2">
        <v>46093</v>
      </c>
    </row>
    <row r="247" spans="1:9" x14ac:dyDescent="0.35">
      <c r="A247">
        <v>85</v>
      </c>
      <c r="B247">
        <v>8974</v>
      </c>
      <c r="C247" t="s">
        <v>19</v>
      </c>
      <c r="D247" t="s">
        <v>540</v>
      </c>
      <c r="E247" t="s">
        <v>985</v>
      </c>
      <c r="F247" t="s">
        <v>542</v>
      </c>
      <c r="G247" t="s">
        <v>986</v>
      </c>
      <c r="H247" s="2">
        <v>46100</v>
      </c>
    </row>
    <row r="248" spans="1:9" x14ac:dyDescent="0.35">
      <c r="A248">
        <v>536</v>
      </c>
      <c r="B248">
        <v>8988</v>
      </c>
      <c r="C248" t="s">
        <v>16</v>
      </c>
      <c r="D248" t="s">
        <v>540</v>
      </c>
      <c r="E248" t="s">
        <v>906</v>
      </c>
      <c r="F248" t="s">
        <v>724</v>
      </c>
      <c r="G248" t="s">
        <v>907</v>
      </c>
      <c r="H248" s="2">
        <v>46092</v>
      </c>
    </row>
    <row r="249" spans="1:9" x14ac:dyDescent="0.35">
      <c r="A249">
        <v>457</v>
      </c>
      <c r="B249">
        <v>9004</v>
      </c>
      <c r="C249" t="s">
        <v>19</v>
      </c>
      <c r="D249" t="s">
        <v>540</v>
      </c>
      <c r="E249" t="s">
        <v>987</v>
      </c>
      <c r="F249" t="s">
        <v>717</v>
      </c>
      <c r="G249" t="s">
        <v>988</v>
      </c>
      <c r="H249" s="2">
        <v>46093</v>
      </c>
    </row>
    <row r="250" spans="1:9" x14ac:dyDescent="0.35">
      <c r="A250">
        <v>348</v>
      </c>
      <c r="B250">
        <v>9009</v>
      </c>
      <c r="C250" t="s">
        <v>19</v>
      </c>
      <c r="D250" t="s">
        <v>540</v>
      </c>
      <c r="E250" t="s">
        <v>541</v>
      </c>
      <c r="F250" t="s">
        <v>542</v>
      </c>
      <c r="G250" t="s">
        <v>543</v>
      </c>
      <c r="H250" s="2">
        <v>46093</v>
      </c>
    </row>
    <row r="251" spans="1:9" x14ac:dyDescent="0.35">
      <c r="A251">
        <v>467</v>
      </c>
      <c r="B251">
        <v>9051</v>
      </c>
      <c r="C251" t="s">
        <v>19</v>
      </c>
      <c r="D251" t="s">
        <v>540</v>
      </c>
      <c r="E251" t="s">
        <v>989</v>
      </c>
      <c r="F251" t="s">
        <v>610</v>
      </c>
      <c r="G251" t="s">
        <v>990</v>
      </c>
      <c r="H251" s="2">
        <v>46093</v>
      </c>
    </row>
    <row r="252" spans="1:9" x14ac:dyDescent="0.35">
      <c r="A252">
        <v>467</v>
      </c>
      <c r="B252">
        <v>9052</v>
      </c>
      <c r="C252" t="s">
        <v>19</v>
      </c>
      <c r="D252" t="s">
        <v>540</v>
      </c>
      <c r="E252" t="s">
        <v>989</v>
      </c>
      <c r="F252" t="s">
        <v>610</v>
      </c>
      <c r="G252" t="s">
        <v>990</v>
      </c>
      <c r="H252" s="2">
        <v>46093</v>
      </c>
    </row>
    <row r="253" spans="1:9" x14ac:dyDescent="0.35">
      <c r="A253">
        <v>20</v>
      </c>
      <c r="B253">
        <v>9204</v>
      </c>
      <c r="C253" t="s">
        <v>19</v>
      </c>
      <c r="D253" t="s">
        <v>540</v>
      </c>
      <c r="E253" t="s">
        <v>900</v>
      </c>
      <c r="F253" t="s">
        <v>556</v>
      </c>
      <c r="G253" t="s">
        <v>901</v>
      </c>
      <c r="H253" s="2">
        <v>46093</v>
      </c>
    </row>
    <row r="254" spans="1:9" x14ac:dyDescent="0.35">
      <c r="A254">
        <v>845</v>
      </c>
      <c r="B254">
        <v>9232</v>
      </c>
      <c r="C254" t="s">
        <v>19</v>
      </c>
      <c r="D254" t="s">
        <v>540</v>
      </c>
      <c r="E254" t="s">
        <v>991</v>
      </c>
      <c r="F254" t="s">
        <v>717</v>
      </c>
      <c r="G254" t="s">
        <v>992</v>
      </c>
      <c r="H254" s="2">
        <v>46093</v>
      </c>
      <c r="I254" t="s">
        <v>564</v>
      </c>
    </row>
    <row r="255" spans="1:9" x14ac:dyDescent="0.35">
      <c r="A255">
        <v>959</v>
      </c>
      <c r="B255">
        <v>9265</v>
      </c>
      <c r="C255" t="s">
        <v>16</v>
      </c>
      <c r="D255" t="s">
        <v>540</v>
      </c>
      <c r="E255" t="s">
        <v>993</v>
      </c>
      <c r="F255" t="s">
        <v>724</v>
      </c>
      <c r="G255" t="s">
        <v>994</v>
      </c>
      <c r="H255" s="2">
        <v>46099</v>
      </c>
    </row>
    <row r="256" spans="1:9" x14ac:dyDescent="0.35">
      <c r="A256">
        <v>64</v>
      </c>
      <c r="B256">
        <v>9306</v>
      </c>
      <c r="C256" t="s">
        <v>19</v>
      </c>
      <c r="D256" t="s">
        <v>540</v>
      </c>
      <c r="E256" t="s">
        <v>995</v>
      </c>
      <c r="F256" t="s">
        <v>552</v>
      </c>
      <c r="G256" t="s">
        <v>996</v>
      </c>
      <c r="H256" s="2">
        <v>46098</v>
      </c>
    </row>
    <row r="257" spans="1:11" x14ac:dyDescent="0.35">
      <c r="A257">
        <v>451</v>
      </c>
      <c r="B257">
        <v>9434</v>
      </c>
      <c r="C257" t="s">
        <v>19</v>
      </c>
      <c r="D257" t="s">
        <v>540</v>
      </c>
      <c r="E257" t="s">
        <v>997</v>
      </c>
      <c r="F257" t="s">
        <v>717</v>
      </c>
      <c r="G257" t="s">
        <v>998</v>
      </c>
      <c r="H257" s="2">
        <v>46092</v>
      </c>
    </row>
    <row r="258" spans="1:11" x14ac:dyDescent="0.35">
      <c r="A258">
        <v>957</v>
      </c>
      <c r="B258">
        <v>9512</v>
      </c>
      <c r="C258" t="s">
        <v>19</v>
      </c>
      <c r="D258" t="s">
        <v>540</v>
      </c>
      <c r="E258" t="s">
        <v>999</v>
      </c>
      <c r="F258" t="s">
        <v>560</v>
      </c>
      <c r="G258" t="s">
        <v>1000</v>
      </c>
      <c r="H258" s="2">
        <v>46086</v>
      </c>
      <c r="I258" t="s">
        <v>564</v>
      </c>
    </row>
    <row r="259" spans="1:11" x14ac:dyDescent="0.35">
      <c r="A259">
        <v>957</v>
      </c>
      <c r="B259">
        <v>9513</v>
      </c>
      <c r="C259" t="s">
        <v>19</v>
      </c>
      <c r="D259" t="s">
        <v>540</v>
      </c>
      <c r="E259" t="s">
        <v>999</v>
      </c>
      <c r="F259" t="s">
        <v>560</v>
      </c>
      <c r="G259" t="s">
        <v>1000</v>
      </c>
      <c r="H259" s="2">
        <v>46086</v>
      </c>
      <c r="I259" t="s">
        <v>564</v>
      </c>
    </row>
    <row r="260" spans="1:11" x14ac:dyDescent="0.35">
      <c r="A260">
        <v>367</v>
      </c>
      <c r="B260">
        <v>9580</v>
      </c>
      <c r="C260" t="s">
        <v>19</v>
      </c>
      <c r="D260" t="s">
        <v>540</v>
      </c>
      <c r="E260" t="s">
        <v>1001</v>
      </c>
      <c r="F260" t="s">
        <v>575</v>
      </c>
      <c r="G260" t="s">
        <v>1002</v>
      </c>
      <c r="H260" s="2">
        <v>46093</v>
      </c>
    </row>
    <row r="261" spans="1:11" x14ac:dyDescent="0.35">
      <c r="A261">
        <v>890</v>
      </c>
      <c r="B261">
        <v>9584</v>
      </c>
      <c r="C261" t="s">
        <v>19</v>
      </c>
      <c r="D261" t="s">
        <v>540</v>
      </c>
      <c r="E261" t="s">
        <v>1003</v>
      </c>
      <c r="F261" t="s">
        <v>575</v>
      </c>
      <c r="G261" t="s">
        <v>1004</v>
      </c>
      <c r="H261" s="2">
        <v>46099</v>
      </c>
    </row>
    <row r="262" spans="1:11" x14ac:dyDescent="0.35">
      <c r="A262">
        <v>229</v>
      </c>
      <c r="B262">
        <v>9604</v>
      </c>
      <c r="C262" t="s">
        <v>19</v>
      </c>
      <c r="D262" t="s">
        <v>540</v>
      </c>
      <c r="E262" t="s">
        <v>1005</v>
      </c>
      <c r="F262" t="s">
        <v>788</v>
      </c>
      <c r="G262" t="s">
        <v>1006</v>
      </c>
      <c r="H262" s="2">
        <v>46091</v>
      </c>
    </row>
    <row r="263" spans="1:11" x14ac:dyDescent="0.35">
      <c r="A263">
        <v>229</v>
      </c>
      <c r="B263">
        <v>9605</v>
      </c>
      <c r="C263" t="s">
        <v>19</v>
      </c>
      <c r="D263" t="s">
        <v>540</v>
      </c>
      <c r="E263" t="s">
        <v>1005</v>
      </c>
      <c r="F263" t="s">
        <v>788</v>
      </c>
      <c r="G263" t="s">
        <v>1006</v>
      </c>
      <c r="H263" s="2">
        <v>46091</v>
      </c>
    </row>
    <row r="264" spans="1:11" x14ac:dyDescent="0.35">
      <c r="A264">
        <v>551</v>
      </c>
      <c r="B264">
        <v>9643</v>
      </c>
      <c r="C264" t="s">
        <v>19</v>
      </c>
      <c r="D264" t="s">
        <v>540</v>
      </c>
      <c r="E264" t="s">
        <v>1007</v>
      </c>
      <c r="F264" t="s">
        <v>549</v>
      </c>
      <c r="G264" t="s">
        <v>1008</v>
      </c>
      <c r="H264" s="2">
        <v>46093</v>
      </c>
    </row>
    <row r="265" spans="1:11" x14ac:dyDescent="0.35">
      <c r="A265">
        <v>551</v>
      </c>
      <c r="B265">
        <v>9644</v>
      </c>
      <c r="C265" t="s">
        <v>19</v>
      </c>
      <c r="D265" t="s">
        <v>540</v>
      </c>
      <c r="E265" t="s">
        <v>1007</v>
      </c>
      <c r="F265" t="s">
        <v>549</v>
      </c>
      <c r="G265" t="s">
        <v>1008</v>
      </c>
      <c r="H265" s="2">
        <v>46093</v>
      </c>
    </row>
    <row r="266" spans="1:11" x14ac:dyDescent="0.35">
      <c r="A266">
        <v>876</v>
      </c>
      <c r="B266">
        <v>9682</v>
      </c>
      <c r="C266" t="s">
        <v>19</v>
      </c>
      <c r="D266" t="s">
        <v>540</v>
      </c>
      <c r="E266" t="s">
        <v>1009</v>
      </c>
      <c r="F266" t="s">
        <v>560</v>
      </c>
      <c r="G266" t="s">
        <v>1010</v>
      </c>
      <c r="H266" s="2">
        <v>46093</v>
      </c>
    </row>
    <row r="267" spans="1:11" x14ac:dyDescent="0.35">
      <c r="A267">
        <v>849</v>
      </c>
      <c r="B267">
        <v>9724</v>
      </c>
      <c r="C267" t="s">
        <v>19</v>
      </c>
      <c r="D267" t="s">
        <v>540</v>
      </c>
      <c r="E267" t="s">
        <v>1011</v>
      </c>
      <c r="F267" t="s">
        <v>575</v>
      </c>
      <c r="G267" t="s">
        <v>1012</v>
      </c>
      <c r="H267" s="2">
        <v>46091</v>
      </c>
    </row>
    <row r="268" spans="1:11" x14ac:dyDescent="0.35">
      <c r="A268">
        <v>849</v>
      </c>
      <c r="B268">
        <v>9725</v>
      </c>
      <c r="C268" t="s">
        <v>19</v>
      </c>
      <c r="D268" t="s">
        <v>540</v>
      </c>
      <c r="E268" t="s">
        <v>1011</v>
      </c>
      <c r="F268" t="s">
        <v>575</v>
      </c>
      <c r="G268" t="s">
        <v>1012</v>
      </c>
      <c r="H268" s="2">
        <v>46091</v>
      </c>
    </row>
    <row r="269" spans="1:11" x14ac:dyDescent="0.35">
      <c r="A269">
        <v>516</v>
      </c>
      <c r="B269">
        <v>9729</v>
      </c>
      <c r="C269" t="s">
        <v>19</v>
      </c>
      <c r="D269" t="s">
        <v>540</v>
      </c>
      <c r="E269" t="s">
        <v>1013</v>
      </c>
      <c r="F269" t="s">
        <v>613</v>
      </c>
      <c r="G269" t="s">
        <v>1014</v>
      </c>
      <c r="H269" s="2">
        <v>46099</v>
      </c>
    </row>
    <row r="270" spans="1:11" x14ac:dyDescent="0.35">
      <c r="A270">
        <v>499</v>
      </c>
      <c r="B270">
        <v>9810</v>
      </c>
      <c r="C270" t="s">
        <v>19</v>
      </c>
      <c r="D270" t="s">
        <v>540</v>
      </c>
      <c r="E270" t="s">
        <v>1015</v>
      </c>
      <c r="F270" t="s">
        <v>724</v>
      </c>
      <c r="G270" t="s">
        <v>1016</v>
      </c>
      <c r="H270" s="2">
        <v>46098</v>
      </c>
    </row>
    <row r="271" spans="1:11" x14ac:dyDescent="0.35">
      <c r="A271">
        <v>499</v>
      </c>
      <c r="B271">
        <v>9811</v>
      </c>
      <c r="C271" t="s">
        <v>19</v>
      </c>
      <c r="D271" t="s">
        <v>540</v>
      </c>
      <c r="E271" t="s">
        <v>1015</v>
      </c>
      <c r="F271" t="s">
        <v>724</v>
      </c>
      <c r="G271" t="s">
        <v>1016</v>
      </c>
      <c r="H271" s="2">
        <v>46098</v>
      </c>
    </row>
    <row r="272" spans="1:11" x14ac:dyDescent="0.35">
      <c r="A272">
        <v>264</v>
      </c>
      <c r="B272">
        <v>9906</v>
      </c>
      <c r="C272" t="s">
        <v>19</v>
      </c>
      <c r="D272" t="s">
        <v>540</v>
      </c>
      <c r="E272" t="s">
        <v>1017</v>
      </c>
      <c r="F272" t="s">
        <v>788</v>
      </c>
      <c r="G272" t="s">
        <v>1018</v>
      </c>
      <c r="H272" s="2">
        <v>46091</v>
      </c>
      <c r="K272" t="s">
        <v>1019</v>
      </c>
    </row>
    <row r="273" spans="1:11" x14ac:dyDescent="0.35">
      <c r="A273">
        <v>57</v>
      </c>
      <c r="B273">
        <v>9963</v>
      </c>
      <c r="C273" t="s">
        <v>19</v>
      </c>
      <c r="D273" t="s">
        <v>540</v>
      </c>
      <c r="E273" t="s">
        <v>1020</v>
      </c>
      <c r="F273" t="s">
        <v>575</v>
      </c>
      <c r="G273" t="s">
        <v>1021</v>
      </c>
      <c r="H273" s="2">
        <v>46099</v>
      </c>
      <c r="I273" t="s">
        <v>564</v>
      </c>
    </row>
    <row r="274" spans="1:11" x14ac:dyDescent="0.35">
      <c r="A274">
        <v>4</v>
      </c>
      <c r="B274">
        <v>316</v>
      </c>
      <c r="C274" t="s">
        <v>19</v>
      </c>
      <c r="D274" t="s">
        <v>540</v>
      </c>
      <c r="E274" t="s">
        <v>967</v>
      </c>
      <c r="F274" t="s">
        <v>549</v>
      </c>
      <c r="G274" t="s">
        <v>968</v>
      </c>
      <c r="H274" s="2">
        <v>46099</v>
      </c>
      <c r="K274" t="s">
        <v>1022</v>
      </c>
    </row>
    <row r="275" spans="1:11" x14ac:dyDescent="0.35">
      <c r="A275">
        <v>499</v>
      </c>
      <c r="B275">
        <v>172</v>
      </c>
      <c r="C275" t="s">
        <v>16</v>
      </c>
      <c r="D275" t="s">
        <v>540</v>
      </c>
      <c r="E275" t="s">
        <v>1015</v>
      </c>
      <c r="F275" t="s">
        <v>724</v>
      </c>
      <c r="G275" t="s">
        <v>1016</v>
      </c>
      <c r="H275" s="2">
        <v>46098</v>
      </c>
      <c r="K275" t="s">
        <v>1023</v>
      </c>
    </row>
    <row r="276" spans="1:11" x14ac:dyDescent="0.35">
      <c r="A276">
        <v>292</v>
      </c>
      <c r="B276">
        <v>278</v>
      </c>
      <c r="C276" t="s">
        <v>19</v>
      </c>
      <c r="D276" t="s">
        <v>540</v>
      </c>
      <c r="E276" t="s">
        <v>710</v>
      </c>
      <c r="F276" t="s">
        <v>546</v>
      </c>
      <c r="G276" t="s">
        <v>711</v>
      </c>
      <c r="H276" s="2">
        <v>46098</v>
      </c>
      <c r="K276" t="s">
        <v>1023</v>
      </c>
    </row>
    <row r="277" spans="1:11" x14ac:dyDescent="0.35">
      <c r="A277">
        <v>306</v>
      </c>
      <c r="B277">
        <v>428</v>
      </c>
      <c r="C277" t="s">
        <v>16</v>
      </c>
      <c r="D277" t="s">
        <v>540</v>
      </c>
      <c r="E277" t="s">
        <v>910</v>
      </c>
      <c r="F277" t="s">
        <v>590</v>
      </c>
      <c r="G277" t="s">
        <v>911</v>
      </c>
      <c r="H277" s="2">
        <v>46099</v>
      </c>
    </row>
    <row r="278" spans="1:11" x14ac:dyDescent="0.35">
      <c r="A278">
        <v>214</v>
      </c>
      <c r="B278">
        <v>1469</v>
      </c>
      <c r="C278" t="s">
        <v>19</v>
      </c>
      <c r="D278" t="s">
        <v>540</v>
      </c>
      <c r="E278" t="s">
        <v>1024</v>
      </c>
      <c r="F278" t="s">
        <v>542</v>
      </c>
      <c r="G278" t="s">
        <v>1025</v>
      </c>
      <c r="H278" s="2">
        <v>46099</v>
      </c>
      <c r="K278" t="s">
        <v>1026</v>
      </c>
    </row>
    <row r="279" spans="1:11" x14ac:dyDescent="0.35">
      <c r="A279">
        <v>185</v>
      </c>
      <c r="B279">
        <v>2208</v>
      </c>
      <c r="C279" t="s">
        <v>16</v>
      </c>
      <c r="D279" t="s">
        <v>540</v>
      </c>
      <c r="E279" t="s">
        <v>1027</v>
      </c>
      <c r="F279" t="s">
        <v>891</v>
      </c>
      <c r="G279" t="s">
        <v>1028</v>
      </c>
      <c r="H279" s="2">
        <v>46086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11"/>
  <sheetViews>
    <sheetView workbookViewId="0"/>
  </sheetViews>
  <sheetFormatPr baseColWidth="10" defaultColWidth="8.7265625" defaultRowHeight="14.5" x14ac:dyDescent="0.35"/>
  <sheetData>
    <row r="1" spans="1:7" x14ac:dyDescent="0.35">
      <c r="A1" s="1" t="s">
        <v>1029</v>
      </c>
      <c r="B1" s="1" t="s">
        <v>1030</v>
      </c>
      <c r="C1" s="1" t="s">
        <v>1031</v>
      </c>
      <c r="D1" s="1" t="s">
        <v>1032</v>
      </c>
      <c r="E1" s="1" t="s">
        <v>1033</v>
      </c>
      <c r="F1" s="1" t="s">
        <v>1034</v>
      </c>
      <c r="G1" s="1" t="s">
        <v>1035</v>
      </c>
    </row>
    <row r="2" spans="1:7" x14ac:dyDescent="0.35">
      <c r="A2" t="s">
        <v>1036</v>
      </c>
    </row>
    <row r="3" spans="1:7" x14ac:dyDescent="0.35">
      <c r="A3" t="s">
        <v>1037</v>
      </c>
      <c r="B3" t="s">
        <v>1038</v>
      </c>
    </row>
    <row r="5" spans="1:7" x14ac:dyDescent="0.35">
      <c r="B5" t="s">
        <v>59</v>
      </c>
    </row>
    <row r="6" spans="1:7" x14ac:dyDescent="0.35">
      <c r="B6" t="s">
        <v>1039</v>
      </c>
    </row>
    <row r="7" spans="1:7" x14ac:dyDescent="0.35">
      <c r="A7" t="s">
        <v>1040</v>
      </c>
      <c r="B7" t="s">
        <v>492</v>
      </c>
    </row>
    <row r="8" spans="1:7" x14ac:dyDescent="0.35">
      <c r="A8" t="s">
        <v>1041</v>
      </c>
      <c r="B8" t="s">
        <v>467</v>
      </c>
    </row>
    <row r="9" spans="1:7" x14ac:dyDescent="0.35">
      <c r="A9" t="s">
        <v>1042</v>
      </c>
      <c r="B9" t="s">
        <v>1043</v>
      </c>
    </row>
    <row r="10" spans="1:7" x14ac:dyDescent="0.35">
      <c r="A10" t="s">
        <v>1044</v>
      </c>
      <c r="B10" t="s">
        <v>1045</v>
      </c>
    </row>
    <row r="11" spans="1:7" x14ac:dyDescent="0.35">
      <c r="A11" t="s">
        <v>1046</v>
      </c>
      <c r="B11" t="s">
        <v>1047</v>
      </c>
    </row>
    <row r="12" spans="1:7" x14ac:dyDescent="0.35">
      <c r="A12" t="s">
        <v>1048</v>
      </c>
      <c r="B12" t="s">
        <v>1049</v>
      </c>
    </row>
    <row r="13" spans="1:7" x14ac:dyDescent="0.35">
      <c r="A13" t="s">
        <v>1050</v>
      </c>
      <c r="B13" t="s">
        <v>1051</v>
      </c>
    </row>
    <row r="14" spans="1:7" x14ac:dyDescent="0.35">
      <c r="A14" t="s">
        <v>1052</v>
      </c>
    </row>
    <row r="17" spans="1:1" x14ac:dyDescent="0.35">
      <c r="A17" t="s">
        <v>1053</v>
      </c>
    </row>
    <row r="18" spans="1:1" x14ac:dyDescent="0.35">
      <c r="A18" t="s">
        <v>1054</v>
      </c>
    </row>
    <row r="20" spans="1:1" x14ac:dyDescent="0.35">
      <c r="A20" t="s">
        <v>1055</v>
      </c>
    </row>
    <row r="21" spans="1:1" x14ac:dyDescent="0.35">
      <c r="A21" t="s">
        <v>1056</v>
      </c>
    </row>
    <row r="22" spans="1:1" x14ac:dyDescent="0.35">
      <c r="A22" t="s">
        <v>1057</v>
      </c>
    </row>
    <row r="23" spans="1:1" x14ac:dyDescent="0.35">
      <c r="A23" t="s">
        <v>1058</v>
      </c>
    </row>
    <row r="24" spans="1:1" x14ac:dyDescent="0.35">
      <c r="A24" t="s">
        <v>1059</v>
      </c>
    </row>
    <row r="25" spans="1:1" x14ac:dyDescent="0.35">
      <c r="A25" t="s">
        <v>1060</v>
      </c>
    </row>
    <row r="27" spans="1:1" x14ac:dyDescent="0.35">
      <c r="A27" t="s">
        <v>1061</v>
      </c>
    </row>
    <row r="30" spans="1:1" x14ac:dyDescent="0.35">
      <c r="A30" t="s">
        <v>1062</v>
      </c>
    </row>
    <row r="611" spans="7:7" x14ac:dyDescent="0.35">
      <c r="G611" t="s">
        <v>340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76"/>
  <sheetViews>
    <sheetView workbookViewId="0"/>
  </sheetViews>
  <sheetFormatPr baseColWidth="10" defaultColWidth="8.7265625" defaultRowHeight="14.5" x14ac:dyDescent="0.35"/>
  <sheetData>
    <row r="1" spans="1:6" x14ac:dyDescent="0.35">
      <c r="A1" s="1" t="s">
        <v>1063</v>
      </c>
      <c r="B1" s="1" t="s">
        <v>1064</v>
      </c>
      <c r="C1" s="1" t="s">
        <v>1065</v>
      </c>
      <c r="D1" s="1" t="s">
        <v>1066</v>
      </c>
      <c r="E1" s="1" t="s">
        <v>1067</v>
      </c>
      <c r="F1" s="1" t="s">
        <v>1068</v>
      </c>
    </row>
    <row r="2" spans="1:6" x14ac:dyDescent="0.35">
      <c r="A2">
        <v>574</v>
      </c>
      <c r="B2">
        <v>331</v>
      </c>
      <c r="C2">
        <v>574</v>
      </c>
      <c r="D2" t="s">
        <v>540</v>
      </c>
      <c r="E2" t="s">
        <v>1069</v>
      </c>
      <c r="F2" t="s">
        <v>19</v>
      </c>
    </row>
    <row r="3" spans="1:6" x14ac:dyDescent="0.35">
      <c r="A3">
        <v>575</v>
      </c>
      <c r="B3">
        <v>331</v>
      </c>
      <c r="C3">
        <v>575</v>
      </c>
      <c r="D3" t="s">
        <v>540</v>
      </c>
      <c r="E3" t="s">
        <v>1069</v>
      </c>
      <c r="F3" t="s">
        <v>19</v>
      </c>
    </row>
    <row r="4" spans="1:6" x14ac:dyDescent="0.35">
      <c r="A4">
        <v>788</v>
      </c>
      <c r="B4">
        <v>61</v>
      </c>
      <c r="C4">
        <v>788</v>
      </c>
      <c r="D4" t="s">
        <v>540</v>
      </c>
      <c r="E4" t="s">
        <v>1069</v>
      </c>
      <c r="F4" t="s">
        <v>19</v>
      </c>
    </row>
    <row r="5" spans="1:6" x14ac:dyDescent="0.35">
      <c r="A5">
        <v>907</v>
      </c>
      <c r="B5">
        <v>287</v>
      </c>
      <c r="C5">
        <v>907</v>
      </c>
      <c r="D5" t="s">
        <v>540</v>
      </c>
      <c r="E5" t="s">
        <v>1069</v>
      </c>
      <c r="F5" t="s">
        <v>16</v>
      </c>
    </row>
    <row r="6" spans="1:6" x14ac:dyDescent="0.35">
      <c r="A6">
        <v>1010</v>
      </c>
      <c r="B6">
        <v>481</v>
      </c>
      <c r="C6">
        <v>1010</v>
      </c>
      <c r="D6" t="s">
        <v>540</v>
      </c>
      <c r="E6" t="s">
        <v>1069</v>
      </c>
      <c r="F6" t="s">
        <v>19</v>
      </c>
    </row>
    <row r="7" spans="1:6" x14ac:dyDescent="0.35">
      <c r="A7">
        <v>1011</v>
      </c>
      <c r="B7">
        <v>481</v>
      </c>
      <c r="C7">
        <v>1011</v>
      </c>
      <c r="D7" t="s">
        <v>540</v>
      </c>
      <c r="E7" t="s">
        <v>1069</v>
      </c>
      <c r="F7" t="s">
        <v>19</v>
      </c>
    </row>
    <row r="8" spans="1:6" x14ac:dyDescent="0.35">
      <c r="A8">
        <v>1027</v>
      </c>
      <c r="B8">
        <v>795</v>
      </c>
      <c r="C8">
        <v>1027</v>
      </c>
      <c r="D8" t="s">
        <v>540</v>
      </c>
      <c r="E8" t="s">
        <v>1069</v>
      </c>
      <c r="F8" t="s">
        <v>19</v>
      </c>
    </row>
    <row r="9" spans="1:6" x14ac:dyDescent="0.35">
      <c r="A9">
        <v>1028</v>
      </c>
      <c r="B9">
        <v>795</v>
      </c>
      <c r="C9">
        <v>1028</v>
      </c>
      <c r="D9" t="s">
        <v>540</v>
      </c>
      <c r="E9" t="s">
        <v>1069</v>
      </c>
      <c r="F9" t="s">
        <v>19</v>
      </c>
    </row>
    <row r="10" spans="1:6" x14ac:dyDescent="0.35">
      <c r="A10">
        <v>1029</v>
      </c>
      <c r="B10">
        <v>795</v>
      </c>
      <c r="C10">
        <v>1029</v>
      </c>
      <c r="D10" t="s">
        <v>540</v>
      </c>
      <c r="E10" t="s">
        <v>1069</v>
      </c>
      <c r="F10" t="s">
        <v>19</v>
      </c>
    </row>
    <row r="11" spans="1:6" x14ac:dyDescent="0.35">
      <c r="A11">
        <v>1477</v>
      </c>
      <c r="B11">
        <v>745</v>
      </c>
      <c r="C11">
        <v>1477</v>
      </c>
      <c r="D11" t="s">
        <v>540</v>
      </c>
      <c r="E11" t="s">
        <v>1069</v>
      </c>
      <c r="F11" t="s">
        <v>19</v>
      </c>
    </row>
    <row r="12" spans="1:6" x14ac:dyDescent="0.35">
      <c r="A12">
        <v>1508</v>
      </c>
      <c r="B12">
        <v>377</v>
      </c>
      <c r="C12">
        <v>1508</v>
      </c>
      <c r="D12" t="s">
        <v>540</v>
      </c>
      <c r="E12" t="s">
        <v>1069</v>
      </c>
      <c r="F12" t="s">
        <v>16</v>
      </c>
    </row>
    <row r="13" spans="1:6" x14ac:dyDescent="0.35">
      <c r="A13">
        <v>1515</v>
      </c>
      <c r="B13">
        <v>692</v>
      </c>
      <c r="C13">
        <v>1515</v>
      </c>
      <c r="D13" t="s">
        <v>540</v>
      </c>
      <c r="E13" t="s">
        <v>1069</v>
      </c>
      <c r="F13" t="s">
        <v>19</v>
      </c>
    </row>
    <row r="14" spans="1:6" x14ac:dyDescent="0.35">
      <c r="A14">
        <v>1516</v>
      </c>
      <c r="B14">
        <v>692</v>
      </c>
      <c r="C14">
        <v>1516</v>
      </c>
      <c r="D14" t="s">
        <v>540</v>
      </c>
      <c r="E14" t="s">
        <v>1069</v>
      </c>
      <c r="F14" t="s">
        <v>19</v>
      </c>
    </row>
    <row r="15" spans="1:6" x14ac:dyDescent="0.35">
      <c r="A15">
        <v>1528</v>
      </c>
      <c r="B15">
        <v>395</v>
      </c>
      <c r="C15">
        <v>1528</v>
      </c>
      <c r="D15" t="s">
        <v>540</v>
      </c>
      <c r="E15" t="s">
        <v>1069</v>
      </c>
      <c r="F15" t="s">
        <v>19</v>
      </c>
    </row>
    <row r="16" spans="1:6" x14ac:dyDescent="0.35">
      <c r="A16">
        <v>1529</v>
      </c>
      <c r="B16">
        <v>395</v>
      </c>
      <c r="C16">
        <v>1529</v>
      </c>
      <c r="D16" t="s">
        <v>540</v>
      </c>
      <c r="E16" t="s">
        <v>1069</v>
      </c>
      <c r="F16" t="s">
        <v>19</v>
      </c>
    </row>
    <row r="17" spans="1:6" x14ac:dyDescent="0.35">
      <c r="A17">
        <v>1541</v>
      </c>
      <c r="B17">
        <v>141</v>
      </c>
      <c r="C17">
        <v>1541</v>
      </c>
      <c r="D17" t="s">
        <v>540</v>
      </c>
      <c r="E17" t="s">
        <v>1069</v>
      </c>
      <c r="F17" t="s">
        <v>19</v>
      </c>
    </row>
    <row r="18" spans="1:6" x14ac:dyDescent="0.35">
      <c r="A18">
        <v>1565</v>
      </c>
      <c r="B18">
        <v>438</v>
      </c>
      <c r="C18">
        <v>1565</v>
      </c>
      <c r="D18" t="s">
        <v>540</v>
      </c>
      <c r="E18" t="s">
        <v>1069</v>
      </c>
      <c r="F18" t="s">
        <v>19</v>
      </c>
    </row>
    <row r="19" spans="1:6" x14ac:dyDescent="0.35">
      <c r="A19">
        <v>2254</v>
      </c>
      <c r="B19">
        <v>108</v>
      </c>
      <c r="C19">
        <v>2254</v>
      </c>
      <c r="D19" t="s">
        <v>540</v>
      </c>
      <c r="E19" t="s">
        <v>1069</v>
      </c>
      <c r="F19" t="s">
        <v>16</v>
      </c>
    </row>
    <row r="20" spans="1:6" x14ac:dyDescent="0.35">
      <c r="A20">
        <v>2444</v>
      </c>
      <c r="B20">
        <v>322</v>
      </c>
      <c r="C20">
        <v>2444</v>
      </c>
      <c r="D20" t="s">
        <v>540</v>
      </c>
      <c r="E20" t="s">
        <v>1069</v>
      </c>
      <c r="F20" t="s">
        <v>19</v>
      </c>
    </row>
    <row r="21" spans="1:6" x14ac:dyDescent="0.35">
      <c r="A21">
        <v>5000</v>
      </c>
      <c r="B21">
        <v>1</v>
      </c>
      <c r="C21">
        <v>5000</v>
      </c>
      <c r="D21" t="s">
        <v>540</v>
      </c>
      <c r="E21" t="s">
        <v>1069</v>
      </c>
      <c r="F21" t="s">
        <v>19</v>
      </c>
    </row>
    <row r="22" spans="1:6" x14ac:dyDescent="0.35">
      <c r="A22">
        <v>5001</v>
      </c>
      <c r="B22">
        <v>6</v>
      </c>
      <c r="C22">
        <v>5001</v>
      </c>
      <c r="D22" t="s">
        <v>540</v>
      </c>
      <c r="E22" t="s">
        <v>1069</v>
      </c>
      <c r="F22" t="s">
        <v>19</v>
      </c>
    </row>
    <row r="23" spans="1:6" x14ac:dyDescent="0.35">
      <c r="A23">
        <v>5002</v>
      </c>
      <c r="B23">
        <v>59</v>
      </c>
      <c r="C23">
        <v>5002</v>
      </c>
      <c r="D23" t="s">
        <v>540</v>
      </c>
      <c r="E23" t="s">
        <v>1069</v>
      </c>
      <c r="F23" t="s">
        <v>19</v>
      </c>
    </row>
    <row r="24" spans="1:6" x14ac:dyDescent="0.35">
      <c r="A24">
        <v>5005</v>
      </c>
      <c r="B24">
        <v>361</v>
      </c>
      <c r="C24">
        <v>5005</v>
      </c>
      <c r="D24" t="s">
        <v>540</v>
      </c>
      <c r="E24" t="s">
        <v>1069</v>
      </c>
      <c r="F24" t="s">
        <v>19</v>
      </c>
    </row>
    <row r="25" spans="1:6" x14ac:dyDescent="0.35">
      <c r="A25">
        <v>5009</v>
      </c>
      <c r="B25">
        <v>777</v>
      </c>
      <c r="C25">
        <v>5009</v>
      </c>
      <c r="D25" t="s">
        <v>540</v>
      </c>
      <c r="E25" t="s">
        <v>1069</v>
      </c>
      <c r="F25" t="s">
        <v>19</v>
      </c>
    </row>
    <row r="26" spans="1:6" x14ac:dyDescent="0.35">
      <c r="A26">
        <v>5013</v>
      </c>
      <c r="B26">
        <v>779</v>
      </c>
      <c r="C26">
        <v>5013</v>
      </c>
      <c r="D26" t="s">
        <v>540</v>
      </c>
      <c r="E26" t="s">
        <v>1069</v>
      </c>
      <c r="F26" t="s">
        <v>19</v>
      </c>
    </row>
    <row r="27" spans="1:6" x14ac:dyDescent="0.35">
      <c r="A27">
        <v>5019</v>
      </c>
      <c r="B27">
        <v>907</v>
      </c>
      <c r="C27">
        <v>5019</v>
      </c>
      <c r="D27" t="s">
        <v>540</v>
      </c>
      <c r="E27" t="s">
        <v>1069</v>
      </c>
      <c r="F27" t="s">
        <v>19</v>
      </c>
    </row>
    <row r="28" spans="1:6" x14ac:dyDescent="0.35">
      <c r="A28">
        <v>5020</v>
      </c>
      <c r="B28">
        <v>882</v>
      </c>
      <c r="C28">
        <v>5020</v>
      </c>
      <c r="D28" t="s">
        <v>540</v>
      </c>
      <c r="E28" t="s">
        <v>1069</v>
      </c>
      <c r="F28" t="s">
        <v>19</v>
      </c>
    </row>
    <row r="29" spans="1:6" x14ac:dyDescent="0.35">
      <c r="A29">
        <v>5021</v>
      </c>
      <c r="B29">
        <v>277</v>
      </c>
      <c r="C29">
        <v>5021</v>
      </c>
      <c r="D29" t="s">
        <v>540</v>
      </c>
      <c r="E29" t="s">
        <v>1069</v>
      </c>
      <c r="F29" t="s">
        <v>19</v>
      </c>
    </row>
    <row r="30" spans="1:6" x14ac:dyDescent="0.35">
      <c r="A30">
        <v>5023</v>
      </c>
      <c r="B30">
        <v>825</v>
      </c>
      <c r="C30">
        <v>5023</v>
      </c>
      <c r="D30" t="s">
        <v>540</v>
      </c>
      <c r="E30" t="s">
        <v>1069</v>
      </c>
      <c r="F30" t="s">
        <v>19</v>
      </c>
    </row>
    <row r="31" spans="1:6" x14ac:dyDescent="0.35">
      <c r="A31">
        <v>5027</v>
      </c>
      <c r="B31">
        <v>32</v>
      </c>
      <c r="C31">
        <v>5027</v>
      </c>
      <c r="D31" t="s">
        <v>540</v>
      </c>
      <c r="E31" t="s">
        <v>1069</v>
      </c>
      <c r="F31" t="s">
        <v>19</v>
      </c>
    </row>
    <row r="32" spans="1:6" x14ac:dyDescent="0.35">
      <c r="A32">
        <v>5030</v>
      </c>
      <c r="B32">
        <v>167</v>
      </c>
      <c r="C32">
        <v>5030</v>
      </c>
      <c r="D32" t="s">
        <v>540</v>
      </c>
      <c r="E32" t="s">
        <v>1069</v>
      </c>
      <c r="F32" t="s">
        <v>19</v>
      </c>
    </row>
    <row r="33" spans="1:6" x14ac:dyDescent="0.35">
      <c r="A33">
        <v>5034</v>
      </c>
      <c r="B33">
        <v>275</v>
      </c>
      <c r="C33">
        <v>5034</v>
      </c>
      <c r="D33" t="s">
        <v>540</v>
      </c>
      <c r="E33" t="s">
        <v>1069</v>
      </c>
      <c r="F33" t="s">
        <v>19</v>
      </c>
    </row>
    <row r="34" spans="1:6" x14ac:dyDescent="0.35">
      <c r="A34">
        <v>5036</v>
      </c>
      <c r="B34">
        <v>81</v>
      </c>
      <c r="C34">
        <v>5036</v>
      </c>
      <c r="D34" t="s">
        <v>540</v>
      </c>
      <c r="E34" t="s">
        <v>1069</v>
      </c>
      <c r="F34" t="s">
        <v>19</v>
      </c>
    </row>
    <row r="35" spans="1:6" x14ac:dyDescent="0.35">
      <c r="A35">
        <v>5040</v>
      </c>
      <c r="B35">
        <v>824</v>
      </c>
      <c r="C35">
        <v>5040</v>
      </c>
      <c r="D35" t="s">
        <v>540</v>
      </c>
      <c r="E35" t="s">
        <v>1069</v>
      </c>
      <c r="F35" t="s">
        <v>19</v>
      </c>
    </row>
    <row r="36" spans="1:6" x14ac:dyDescent="0.35">
      <c r="A36">
        <v>5041</v>
      </c>
      <c r="B36">
        <v>154</v>
      </c>
      <c r="C36">
        <v>5041</v>
      </c>
      <c r="D36" t="s">
        <v>540</v>
      </c>
      <c r="E36" t="s">
        <v>1069</v>
      </c>
      <c r="F36" t="s">
        <v>19</v>
      </c>
    </row>
    <row r="37" spans="1:6" x14ac:dyDescent="0.35">
      <c r="A37">
        <v>5043</v>
      </c>
      <c r="B37">
        <v>867</v>
      </c>
      <c r="C37">
        <v>5043</v>
      </c>
      <c r="D37" t="s">
        <v>540</v>
      </c>
      <c r="E37" t="s">
        <v>1069</v>
      </c>
      <c r="F37" t="s">
        <v>19</v>
      </c>
    </row>
    <row r="38" spans="1:6" x14ac:dyDescent="0.35">
      <c r="A38">
        <v>5045</v>
      </c>
      <c r="B38">
        <v>879</v>
      </c>
      <c r="C38">
        <v>5045</v>
      </c>
      <c r="D38" t="s">
        <v>540</v>
      </c>
      <c r="E38" t="s">
        <v>1069</v>
      </c>
      <c r="F38" t="s">
        <v>19</v>
      </c>
    </row>
    <row r="39" spans="1:6" x14ac:dyDescent="0.35">
      <c r="A39">
        <v>5046</v>
      </c>
      <c r="B39">
        <v>723</v>
      </c>
      <c r="C39">
        <v>5046</v>
      </c>
      <c r="D39" t="s">
        <v>540</v>
      </c>
      <c r="E39" t="s">
        <v>1069</v>
      </c>
      <c r="F39" t="s">
        <v>19</v>
      </c>
    </row>
    <row r="40" spans="1:6" x14ac:dyDescent="0.35">
      <c r="A40">
        <v>5047</v>
      </c>
      <c r="B40">
        <v>623</v>
      </c>
      <c r="C40">
        <v>5047</v>
      </c>
      <c r="D40" t="s">
        <v>540</v>
      </c>
      <c r="E40" t="s">
        <v>1069</v>
      </c>
      <c r="F40" t="s">
        <v>19</v>
      </c>
    </row>
    <row r="41" spans="1:6" x14ac:dyDescent="0.35">
      <c r="A41">
        <v>5048</v>
      </c>
      <c r="B41">
        <v>261</v>
      </c>
      <c r="C41">
        <v>5048</v>
      </c>
      <c r="D41" t="s">
        <v>540</v>
      </c>
      <c r="E41" t="s">
        <v>1069</v>
      </c>
      <c r="F41" t="s">
        <v>19</v>
      </c>
    </row>
    <row r="42" spans="1:6" x14ac:dyDescent="0.35">
      <c r="A42">
        <v>5049</v>
      </c>
      <c r="B42">
        <v>682</v>
      </c>
      <c r="C42">
        <v>5049</v>
      </c>
      <c r="D42" t="s">
        <v>540</v>
      </c>
      <c r="E42" t="s">
        <v>1069</v>
      </c>
      <c r="F42" t="s">
        <v>19</v>
      </c>
    </row>
    <row r="43" spans="1:6" x14ac:dyDescent="0.35">
      <c r="A43">
        <v>5050</v>
      </c>
      <c r="B43">
        <v>852</v>
      </c>
      <c r="C43">
        <v>5050</v>
      </c>
      <c r="D43" t="s">
        <v>540</v>
      </c>
      <c r="E43" t="s">
        <v>1069</v>
      </c>
      <c r="F43" t="s">
        <v>19</v>
      </c>
    </row>
    <row r="44" spans="1:6" x14ac:dyDescent="0.35">
      <c r="A44">
        <v>5051</v>
      </c>
      <c r="B44">
        <v>769</v>
      </c>
      <c r="C44">
        <v>5051</v>
      </c>
      <c r="D44" t="s">
        <v>540</v>
      </c>
      <c r="E44" t="s">
        <v>1069</v>
      </c>
      <c r="F44" t="s">
        <v>19</v>
      </c>
    </row>
    <row r="45" spans="1:6" x14ac:dyDescent="0.35">
      <c r="A45">
        <v>5052</v>
      </c>
      <c r="B45">
        <v>916</v>
      </c>
      <c r="C45">
        <v>5052</v>
      </c>
      <c r="D45" t="s">
        <v>540</v>
      </c>
      <c r="E45" t="s">
        <v>1069</v>
      </c>
      <c r="F45" t="s">
        <v>19</v>
      </c>
    </row>
    <row r="46" spans="1:6" x14ac:dyDescent="0.35">
      <c r="A46">
        <v>5053</v>
      </c>
      <c r="B46">
        <v>517</v>
      </c>
      <c r="C46">
        <v>5053</v>
      </c>
      <c r="D46" t="s">
        <v>540</v>
      </c>
      <c r="E46" t="s">
        <v>1069</v>
      </c>
      <c r="F46" t="s">
        <v>19</v>
      </c>
    </row>
    <row r="47" spans="1:6" x14ac:dyDescent="0.35">
      <c r="A47">
        <v>5057</v>
      </c>
      <c r="B47">
        <v>781</v>
      </c>
      <c r="C47">
        <v>5057</v>
      </c>
      <c r="D47" t="s">
        <v>540</v>
      </c>
      <c r="E47" t="s">
        <v>1069</v>
      </c>
      <c r="F47" t="s">
        <v>19</v>
      </c>
    </row>
    <row r="48" spans="1:6" x14ac:dyDescent="0.35">
      <c r="A48">
        <v>5059</v>
      </c>
      <c r="B48">
        <v>7</v>
      </c>
      <c r="C48">
        <v>5059</v>
      </c>
      <c r="D48" t="s">
        <v>540</v>
      </c>
      <c r="E48" t="s">
        <v>1069</v>
      </c>
      <c r="F48" t="s">
        <v>19</v>
      </c>
    </row>
    <row r="49" spans="1:6" x14ac:dyDescent="0.35">
      <c r="A49">
        <v>5064</v>
      </c>
      <c r="B49">
        <v>392</v>
      </c>
      <c r="C49">
        <v>5064</v>
      </c>
      <c r="D49" t="s">
        <v>540</v>
      </c>
      <c r="E49" t="s">
        <v>1069</v>
      </c>
      <c r="F49" t="s">
        <v>19</v>
      </c>
    </row>
    <row r="50" spans="1:6" x14ac:dyDescent="0.35">
      <c r="A50">
        <v>5066</v>
      </c>
      <c r="B50">
        <v>24</v>
      </c>
      <c r="C50">
        <v>5066</v>
      </c>
      <c r="D50" t="s">
        <v>540</v>
      </c>
      <c r="E50" t="s">
        <v>1069</v>
      </c>
      <c r="F50" t="s">
        <v>19</v>
      </c>
    </row>
    <row r="51" spans="1:6" x14ac:dyDescent="0.35">
      <c r="A51">
        <v>5067</v>
      </c>
      <c r="B51">
        <v>211</v>
      </c>
      <c r="C51">
        <v>5067</v>
      </c>
      <c r="D51" t="s">
        <v>540</v>
      </c>
      <c r="E51" t="s">
        <v>1069</v>
      </c>
      <c r="F51" t="s">
        <v>19</v>
      </c>
    </row>
    <row r="52" spans="1:6" x14ac:dyDescent="0.35">
      <c r="A52">
        <v>5070</v>
      </c>
      <c r="B52">
        <v>652</v>
      </c>
      <c r="C52">
        <v>5070</v>
      </c>
      <c r="D52" t="s">
        <v>540</v>
      </c>
      <c r="E52" t="s">
        <v>1069</v>
      </c>
      <c r="F52" t="s">
        <v>19</v>
      </c>
    </row>
    <row r="53" spans="1:6" x14ac:dyDescent="0.35">
      <c r="A53">
        <v>5076</v>
      </c>
      <c r="B53">
        <v>333</v>
      </c>
      <c r="C53">
        <v>5076</v>
      </c>
      <c r="D53" t="s">
        <v>540</v>
      </c>
      <c r="E53" t="s">
        <v>1069</v>
      </c>
      <c r="F53" t="s">
        <v>19</v>
      </c>
    </row>
    <row r="54" spans="1:6" x14ac:dyDescent="0.35">
      <c r="A54">
        <v>5077</v>
      </c>
      <c r="B54">
        <v>419</v>
      </c>
      <c r="C54">
        <v>5077</v>
      </c>
      <c r="D54" t="s">
        <v>540</v>
      </c>
      <c r="E54" t="s">
        <v>1069</v>
      </c>
      <c r="F54" t="s">
        <v>19</v>
      </c>
    </row>
    <row r="55" spans="1:6" x14ac:dyDescent="0.35">
      <c r="A55">
        <v>5078</v>
      </c>
      <c r="B55">
        <v>19</v>
      </c>
      <c r="C55">
        <v>5078</v>
      </c>
      <c r="D55" t="s">
        <v>540</v>
      </c>
      <c r="E55" t="s">
        <v>1069</v>
      </c>
      <c r="F55" t="s">
        <v>19</v>
      </c>
    </row>
    <row r="56" spans="1:6" x14ac:dyDescent="0.35">
      <c r="A56">
        <v>5079</v>
      </c>
      <c r="B56">
        <v>8</v>
      </c>
      <c r="C56">
        <v>5079</v>
      </c>
      <c r="D56" t="s">
        <v>540</v>
      </c>
      <c r="E56" t="s">
        <v>1069</v>
      </c>
      <c r="F56" t="s">
        <v>19</v>
      </c>
    </row>
    <row r="57" spans="1:6" x14ac:dyDescent="0.35">
      <c r="A57">
        <v>5080</v>
      </c>
      <c r="B57">
        <v>115</v>
      </c>
      <c r="C57">
        <v>5080</v>
      </c>
      <c r="D57" t="s">
        <v>540</v>
      </c>
      <c r="E57" t="s">
        <v>1069</v>
      </c>
      <c r="F57" t="s">
        <v>19</v>
      </c>
    </row>
    <row r="58" spans="1:6" x14ac:dyDescent="0.35">
      <c r="A58">
        <v>5081</v>
      </c>
      <c r="B58">
        <v>486</v>
      </c>
      <c r="C58">
        <v>5081</v>
      </c>
      <c r="D58" t="s">
        <v>540</v>
      </c>
      <c r="E58" t="s">
        <v>1069</v>
      </c>
      <c r="F58" t="s">
        <v>19</v>
      </c>
    </row>
    <row r="59" spans="1:6" x14ac:dyDescent="0.35">
      <c r="A59">
        <v>5082</v>
      </c>
      <c r="B59">
        <v>523</v>
      </c>
      <c r="C59">
        <v>5082</v>
      </c>
      <c r="D59" t="s">
        <v>540</v>
      </c>
      <c r="E59" t="s">
        <v>1069</v>
      </c>
      <c r="F59" t="s">
        <v>19</v>
      </c>
    </row>
    <row r="60" spans="1:6" x14ac:dyDescent="0.35">
      <c r="A60">
        <v>5083</v>
      </c>
      <c r="B60">
        <v>265</v>
      </c>
      <c r="C60">
        <v>5083</v>
      </c>
      <c r="D60" t="s">
        <v>540</v>
      </c>
      <c r="E60" t="s">
        <v>1069</v>
      </c>
      <c r="F60" t="s">
        <v>19</v>
      </c>
    </row>
    <row r="61" spans="1:6" x14ac:dyDescent="0.35">
      <c r="A61">
        <v>5084</v>
      </c>
      <c r="B61">
        <v>197</v>
      </c>
      <c r="C61">
        <v>5084</v>
      </c>
      <c r="D61" t="s">
        <v>540</v>
      </c>
      <c r="E61" t="s">
        <v>1069</v>
      </c>
      <c r="F61" t="s">
        <v>19</v>
      </c>
    </row>
    <row r="62" spans="1:6" x14ac:dyDescent="0.35">
      <c r="A62">
        <v>5087</v>
      </c>
      <c r="B62">
        <v>634</v>
      </c>
      <c r="C62">
        <v>5087</v>
      </c>
      <c r="D62" t="s">
        <v>540</v>
      </c>
      <c r="E62" t="s">
        <v>1069</v>
      </c>
      <c r="F62" t="s">
        <v>19</v>
      </c>
    </row>
    <row r="63" spans="1:6" x14ac:dyDescent="0.35">
      <c r="A63">
        <v>5102</v>
      </c>
      <c r="B63">
        <v>659</v>
      </c>
      <c r="C63">
        <v>5102</v>
      </c>
      <c r="D63" t="s">
        <v>540</v>
      </c>
      <c r="E63" t="s">
        <v>1069</v>
      </c>
      <c r="F63" t="s">
        <v>19</v>
      </c>
    </row>
    <row r="64" spans="1:6" x14ac:dyDescent="0.35">
      <c r="A64">
        <v>5103</v>
      </c>
      <c r="B64">
        <v>656</v>
      </c>
      <c r="C64">
        <v>5103</v>
      </c>
      <c r="D64" t="s">
        <v>540</v>
      </c>
      <c r="E64" t="s">
        <v>1069</v>
      </c>
      <c r="F64" t="s">
        <v>19</v>
      </c>
    </row>
    <row r="65" spans="1:6" x14ac:dyDescent="0.35">
      <c r="A65">
        <v>5104</v>
      </c>
      <c r="B65">
        <v>430</v>
      </c>
      <c r="C65">
        <v>5104</v>
      </c>
      <c r="D65" t="s">
        <v>540</v>
      </c>
      <c r="E65" t="s">
        <v>1069</v>
      </c>
      <c r="F65" t="s">
        <v>19</v>
      </c>
    </row>
    <row r="66" spans="1:6" x14ac:dyDescent="0.35">
      <c r="A66">
        <v>5106</v>
      </c>
      <c r="B66">
        <v>743</v>
      </c>
      <c r="C66">
        <v>5106</v>
      </c>
      <c r="D66" t="s">
        <v>540</v>
      </c>
      <c r="E66" t="s">
        <v>1069</v>
      </c>
      <c r="F66" t="s">
        <v>19</v>
      </c>
    </row>
    <row r="67" spans="1:6" x14ac:dyDescent="0.35">
      <c r="A67">
        <v>5108</v>
      </c>
      <c r="B67">
        <v>73</v>
      </c>
      <c r="C67">
        <v>5108</v>
      </c>
      <c r="D67" t="s">
        <v>540</v>
      </c>
      <c r="E67" t="s">
        <v>1069</v>
      </c>
      <c r="F67" t="s">
        <v>19</v>
      </c>
    </row>
    <row r="68" spans="1:6" x14ac:dyDescent="0.35">
      <c r="A68">
        <v>5111</v>
      </c>
      <c r="B68">
        <v>88</v>
      </c>
      <c r="C68">
        <v>5111</v>
      </c>
      <c r="D68" t="s">
        <v>540</v>
      </c>
      <c r="E68" t="s">
        <v>1069</v>
      </c>
      <c r="F68" t="s">
        <v>19</v>
      </c>
    </row>
    <row r="69" spans="1:6" x14ac:dyDescent="0.35">
      <c r="A69">
        <v>5112</v>
      </c>
      <c r="B69">
        <v>191</v>
      </c>
      <c r="C69">
        <v>5112</v>
      </c>
      <c r="D69" t="s">
        <v>540</v>
      </c>
      <c r="E69" t="s">
        <v>1069</v>
      </c>
      <c r="F69" t="s">
        <v>19</v>
      </c>
    </row>
    <row r="70" spans="1:6" x14ac:dyDescent="0.35">
      <c r="A70">
        <v>5114</v>
      </c>
      <c r="B70">
        <v>291</v>
      </c>
      <c r="C70">
        <v>5114</v>
      </c>
      <c r="D70" t="s">
        <v>540</v>
      </c>
      <c r="E70" t="s">
        <v>1069</v>
      </c>
      <c r="F70" t="s">
        <v>19</v>
      </c>
    </row>
    <row r="71" spans="1:6" x14ac:dyDescent="0.35">
      <c r="A71">
        <v>5115</v>
      </c>
      <c r="B71">
        <v>937</v>
      </c>
      <c r="C71">
        <v>5115</v>
      </c>
      <c r="D71" t="s">
        <v>540</v>
      </c>
      <c r="E71" t="s">
        <v>1069</v>
      </c>
      <c r="F71" t="s">
        <v>19</v>
      </c>
    </row>
    <row r="72" spans="1:6" x14ac:dyDescent="0.35">
      <c r="A72">
        <v>5116</v>
      </c>
      <c r="B72">
        <v>292</v>
      </c>
      <c r="C72">
        <v>5116</v>
      </c>
      <c r="D72" t="s">
        <v>540</v>
      </c>
      <c r="E72" t="s">
        <v>1069</v>
      </c>
      <c r="F72" t="s">
        <v>19</v>
      </c>
    </row>
    <row r="73" spans="1:6" x14ac:dyDescent="0.35">
      <c r="A73">
        <v>5118</v>
      </c>
      <c r="B73">
        <v>789</v>
      </c>
      <c r="C73">
        <v>5118</v>
      </c>
      <c r="D73" t="s">
        <v>540</v>
      </c>
      <c r="E73" t="s">
        <v>1069</v>
      </c>
      <c r="F73" t="s">
        <v>19</v>
      </c>
    </row>
    <row r="74" spans="1:6" x14ac:dyDescent="0.35">
      <c r="A74">
        <v>5122</v>
      </c>
      <c r="B74">
        <v>511</v>
      </c>
      <c r="C74">
        <v>5122</v>
      </c>
      <c r="D74" t="s">
        <v>540</v>
      </c>
      <c r="E74" t="s">
        <v>1069</v>
      </c>
      <c r="F74" t="s">
        <v>19</v>
      </c>
    </row>
    <row r="75" spans="1:6" x14ac:dyDescent="0.35">
      <c r="A75">
        <v>5126</v>
      </c>
      <c r="B75">
        <v>76</v>
      </c>
      <c r="C75">
        <v>5126</v>
      </c>
      <c r="D75" t="s">
        <v>540</v>
      </c>
      <c r="E75" t="s">
        <v>1069</v>
      </c>
      <c r="F75" t="s">
        <v>19</v>
      </c>
    </row>
    <row r="76" spans="1:6" x14ac:dyDescent="0.35">
      <c r="A76">
        <v>5128</v>
      </c>
      <c r="B76">
        <v>101</v>
      </c>
      <c r="C76">
        <v>5128</v>
      </c>
      <c r="D76" t="s">
        <v>540</v>
      </c>
      <c r="E76" t="s">
        <v>1069</v>
      </c>
      <c r="F76" t="s">
        <v>19</v>
      </c>
    </row>
    <row r="77" spans="1:6" x14ac:dyDescent="0.35">
      <c r="A77">
        <v>5129</v>
      </c>
      <c r="B77">
        <v>244</v>
      </c>
      <c r="C77">
        <v>5129</v>
      </c>
      <c r="D77" t="s">
        <v>540</v>
      </c>
      <c r="E77" t="s">
        <v>1069</v>
      </c>
      <c r="F77" t="s">
        <v>19</v>
      </c>
    </row>
    <row r="78" spans="1:6" x14ac:dyDescent="0.35">
      <c r="A78">
        <v>5132</v>
      </c>
      <c r="B78">
        <v>366</v>
      </c>
      <c r="C78">
        <v>5132</v>
      </c>
      <c r="D78" t="s">
        <v>540</v>
      </c>
      <c r="E78" t="s">
        <v>1069</v>
      </c>
      <c r="F78" t="s">
        <v>19</v>
      </c>
    </row>
    <row r="79" spans="1:6" x14ac:dyDescent="0.35">
      <c r="A79">
        <v>5135</v>
      </c>
      <c r="B79">
        <v>68</v>
      </c>
      <c r="C79">
        <v>5135</v>
      </c>
      <c r="D79" t="s">
        <v>540</v>
      </c>
      <c r="E79" t="s">
        <v>1069</v>
      </c>
      <c r="F79" t="s">
        <v>19</v>
      </c>
    </row>
    <row r="80" spans="1:6" x14ac:dyDescent="0.35">
      <c r="A80">
        <v>5136</v>
      </c>
      <c r="B80">
        <v>318</v>
      </c>
      <c r="C80">
        <v>5136</v>
      </c>
      <c r="D80" t="s">
        <v>540</v>
      </c>
      <c r="E80" t="s">
        <v>1069</v>
      </c>
      <c r="F80" t="s">
        <v>19</v>
      </c>
    </row>
    <row r="81" spans="1:6" x14ac:dyDescent="0.35">
      <c r="A81">
        <v>5137</v>
      </c>
      <c r="B81">
        <v>829</v>
      </c>
      <c r="C81">
        <v>5137</v>
      </c>
      <c r="D81" t="s">
        <v>540</v>
      </c>
      <c r="E81" t="s">
        <v>1069</v>
      </c>
      <c r="F81" t="s">
        <v>19</v>
      </c>
    </row>
    <row r="82" spans="1:6" x14ac:dyDescent="0.35">
      <c r="A82">
        <v>5139</v>
      </c>
      <c r="B82">
        <v>300</v>
      </c>
      <c r="C82">
        <v>5139</v>
      </c>
      <c r="D82" t="s">
        <v>540</v>
      </c>
      <c r="E82" t="s">
        <v>1069</v>
      </c>
      <c r="F82" t="s">
        <v>19</v>
      </c>
    </row>
    <row r="83" spans="1:6" x14ac:dyDescent="0.35">
      <c r="A83">
        <v>5141</v>
      </c>
      <c r="B83">
        <v>53</v>
      </c>
      <c r="C83">
        <v>5141</v>
      </c>
      <c r="D83" t="s">
        <v>540</v>
      </c>
      <c r="E83" t="s">
        <v>1069</v>
      </c>
      <c r="F83" t="s">
        <v>19</v>
      </c>
    </row>
    <row r="84" spans="1:6" x14ac:dyDescent="0.35">
      <c r="A84">
        <v>5142</v>
      </c>
      <c r="B84">
        <v>40</v>
      </c>
      <c r="C84">
        <v>5142</v>
      </c>
      <c r="D84" t="s">
        <v>540</v>
      </c>
      <c r="E84" t="s">
        <v>1069</v>
      </c>
      <c r="F84" t="s">
        <v>19</v>
      </c>
    </row>
    <row r="85" spans="1:6" x14ac:dyDescent="0.35">
      <c r="A85">
        <v>5143</v>
      </c>
      <c r="B85">
        <v>927</v>
      </c>
      <c r="C85">
        <v>5143</v>
      </c>
      <c r="D85" t="s">
        <v>540</v>
      </c>
      <c r="E85" t="s">
        <v>1069</v>
      </c>
      <c r="F85" t="s">
        <v>19</v>
      </c>
    </row>
    <row r="86" spans="1:6" x14ac:dyDescent="0.35">
      <c r="A86">
        <v>5144</v>
      </c>
      <c r="B86">
        <v>812</v>
      </c>
      <c r="C86">
        <v>5144</v>
      </c>
      <c r="D86" t="s">
        <v>540</v>
      </c>
      <c r="E86" t="s">
        <v>1069</v>
      </c>
      <c r="F86" t="s">
        <v>19</v>
      </c>
    </row>
    <row r="87" spans="1:6" x14ac:dyDescent="0.35">
      <c r="A87">
        <v>5147</v>
      </c>
      <c r="B87">
        <v>279</v>
      </c>
      <c r="C87">
        <v>5147</v>
      </c>
      <c r="D87" t="s">
        <v>540</v>
      </c>
      <c r="E87" t="s">
        <v>1069</v>
      </c>
      <c r="F87" t="s">
        <v>19</v>
      </c>
    </row>
    <row r="88" spans="1:6" x14ac:dyDescent="0.35">
      <c r="A88">
        <v>5148</v>
      </c>
      <c r="B88">
        <v>91</v>
      </c>
      <c r="C88">
        <v>5148</v>
      </c>
      <c r="D88" t="s">
        <v>540</v>
      </c>
      <c r="E88" t="s">
        <v>1069</v>
      </c>
      <c r="F88" t="s">
        <v>19</v>
      </c>
    </row>
    <row r="89" spans="1:6" x14ac:dyDescent="0.35">
      <c r="A89">
        <v>5149</v>
      </c>
      <c r="B89">
        <v>358</v>
      </c>
      <c r="C89">
        <v>5149</v>
      </c>
      <c r="D89" t="s">
        <v>540</v>
      </c>
      <c r="E89" t="s">
        <v>1069</v>
      </c>
      <c r="F89" t="s">
        <v>19</v>
      </c>
    </row>
    <row r="90" spans="1:6" x14ac:dyDescent="0.35">
      <c r="A90">
        <v>5153</v>
      </c>
      <c r="B90">
        <v>262</v>
      </c>
      <c r="C90">
        <v>5153</v>
      </c>
      <c r="D90" t="s">
        <v>540</v>
      </c>
      <c r="E90" t="s">
        <v>1069</v>
      </c>
      <c r="F90" t="s">
        <v>19</v>
      </c>
    </row>
    <row r="91" spans="1:6" x14ac:dyDescent="0.35">
      <c r="A91">
        <v>5155</v>
      </c>
      <c r="B91">
        <v>258</v>
      </c>
      <c r="C91">
        <v>5155</v>
      </c>
      <c r="D91" t="s">
        <v>540</v>
      </c>
      <c r="E91" t="s">
        <v>1069</v>
      </c>
      <c r="F91" t="s">
        <v>19</v>
      </c>
    </row>
    <row r="92" spans="1:6" x14ac:dyDescent="0.35">
      <c r="A92">
        <v>5156</v>
      </c>
      <c r="B92">
        <v>806</v>
      </c>
      <c r="C92">
        <v>5156</v>
      </c>
      <c r="D92" t="s">
        <v>540</v>
      </c>
      <c r="E92" t="s">
        <v>1069</v>
      </c>
      <c r="F92" t="s">
        <v>19</v>
      </c>
    </row>
    <row r="93" spans="1:6" x14ac:dyDescent="0.35">
      <c r="A93">
        <v>5157</v>
      </c>
      <c r="B93">
        <v>750</v>
      </c>
      <c r="C93">
        <v>5157</v>
      </c>
      <c r="D93" t="s">
        <v>540</v>
      </c>
      <c r="E93" t="s">
        <v>1069</v>
      </c>
      <c r="F93" t="s">
        <v>19</v>
      </c>
    </row>
    <row r="94" spans="1:6" x14ac:dyDescent="0.35">
      <c r="A94">
        <v>5164</v>
      </c>
      <c r="B94">
        <v>70</v>
      </c>
      <c r="C94">
        <v>5164</v>
      </c>
      <c r="D94" t="s">
        <v>540</v>
      </c>
      <c r="E94" t="s">
        <v>1069</v>
      </c>
      <c r="F94" t="s">
        <v>19</v>
      </c>
    </row>
    <row r="95" spans="1:6" x14ac:dyDescent="0.35">
      <c r="A95">
        <v>5166</v>
      </c>
      <c r="B95">
        <v>725</v>
      </c>
      <c r="C95">
        <v>5166</v>
      </c>
      <c r="D95" t="s">
        <v>540</v>
      </c>
      <c r="E95" t="s">
        <v>1069</v>
      </c>
      <c r="F95" t="s">
        <v>19</v>
      </c>
    </row>
    <row r="96" spans="1:6" x14ac:dyDescent="0.35">
      <c r="A96">
        <v>5167</v>
      </c>
      <c r="B96">
        <v>667</v>
      </c>
      <c r="C96">
        <v>5167</v>
      </c>
      <c r="D96" t="s">
        <v>540</v>
      </c>
      <c r="E96" t="s">
        <v>1069</v>
      </c>
      <c r="F96" t="s">
        <v>19</v>
      </c>
    </row>
    <row r="97" spans="1:6" x14ac:dyDescent="0.35">
      <c r="A97">
        <v>5168</v>
      </c>
      <c r="B97">
        <v>363</v>
      </c>
      <c r="C97">
        <v>5168</v>
      </c>
      <c r="D97" t="s">
        <v>540</v>
      </c>
      <c r="E97" t="s">
        <v>1069</v>
      </c>
      <c r="F97" t="s">
        <v>19</v>
      </c>
    </row>
    <row r="98" spans="1:6" x14ac:dyDescent="0.35">
      <c r="A98">
        <v>5169</v>
      </c>
      <c r="B98">
        <v>388</v>
      </c>
      <c r="C98">
        <v>5169</v>
      </c>
      <c r="D98" t="s">
        <v>540</v>
      </c>
      <c r="E98" t="s">
        <v>1069</v>
      </c>
      <c r="F98" t="s">
        <v>19</v>
      </c>
    </row>
    <row r="99" spans="1:6" x14ac:dyDescent="0.35">
      <c r="A99">
        <v>5170</v>
      </c>
      <c r="B99">
        <v>302</v>
      </c>
      <c r="C99">
        <v>5170</v>
      </c>
      <c r="D99" t="s">
        <v>540</v>
      </c>
      <c r="E99" t="s">
        <v>1069</v>
      </c>
      <c r="F99" t="s">
        <v>19</v>
      </c>
    </row>
    <row r="100" spans="1:6" x14ac:dyDescent="0.35">
      <c r="A100">
        <v>5173</v>
      </c>
      <c r="B100">
        <v>420</v>
      </c>
      <c r="C100">
        <v>5173</v>
      </c>
      <c r="D100" t="s">
        <v>540</v>
      </c>
      <c r="E100" t="s">
        <v>1069</v>
      </c>
      <c r="F100" t="s">
        <v>19</v>
      </c>
    </row>
    <row r="101" spans="1:6" x14ac:dyDescent="0.35">
      <c r="A101">
        <v>5176</v>
      </c>
      <c r="B101">
        <v>253</v>
      </c>
      <c r="C101">
        <v>5176</v>
      </c>
      <c r="D101" t="s">
        <v>540</v>
      </c>
      <c r="E101" t="s">
        <v>1069</v>
      </c>
      <c r="F101" t="s">
        <v>19</v>
      </c>
    </row>
    <row r="102" spans="1:6" x14ac:dyDescent="0.35">
      <c r="A102">
        <v>5179</v>
      </c>
      <c r="B102">
        <v>198</v>
      </c>
      <c r="C102">
        <v>5179</v>
      </c>
      <c r="D102" t="s">
        <v>540</v>
      </c>
      <c r="E102" t="s">
        <v>1069</v>
      </c>
      <c r="F102" t="s">
        <v>19</v>
      </c>
    </row>
    <row r="103" spans="1:6" x14ac:dyDescent="0.35">
      <c r="A103">
        <v>5181</v>
      </c>
      <c r="B103">
        <v>762</v>
      </c>
      <c r="C103">
        <v>5181</v>
      </c>
      <c r="D103" t="s">
        <v>540</v>
      </c>
      <c r="E103" t="s">
        <v>1069</v>
      </c>
      <c r="F103" t="s">
        <v>19</v>
      </c>
    </row>
    <row r="104" spans="1:6" x14ac:dyDescent="0.35">
      <c r="A104">
        <v>5183</v>
      </c>
      <c r="B104">
        <v>756</v>
      </c>
      <c r="C104">
        <v>5183</v>
      </c>
      <c r="D104" t="s">
        <v>540</v>
      </c>
      <c r="E104" t="s">
        <v>1069</v>
      </c>
      <c r="F104" t="s">
        <v>19</v>
      </c>
    </row>
    <row r="105" spans="1:6" x14ac:dyDescent="0.35">
      <c r="A105">
        <v>5185</v>
      </c>
      <c r="B105">
        <v>541</v>
      </c>
      <c r="C105">
        <v>5185</v>
      </c>
      <c r="D105" t="s">
        <v>540</v>
      </c>
      <c r="E105" t="s">
        <v>1069</v>
      </c>
      <c r="F105" t="s">
        <v>19</v>
      </c>
    </row>
    <row r="106" spans="1:6" x14ac:dyDescent="0.35">
      <c r="A106">
        <v>5187</v>
      </c>
      <c r="B106">
        <v>698</v>
      </c>
      <c r="C106">
        <v>5187</v>
      </c>
      <c r="D106" t="s">
        <v>540</v>
      </c>
      <c r="E106" t="s">
        <v>1069</v>
      </c>
      <c r="F106" t="s">
        <v>19</v>
      </c>
    </row>
    <row r="107" spans="1:6" x14ac:dyDescent="0.35">
      <c r="A107">
        <v>5191</v>
      </c>
      <c r="B107">
        <v>664</v>
      </c>
      <c r="C107">
        <v>5191</v>
      </c>
      <c r="D107" t="s">
        <v>540</v>
      </c>
      <c r="E107" t="s">
        <v>1069</v>
      </c>
      <c r="F107" t="s">
        <v>19</v>
      </c>
    </row>
    <row r="108" spans="1:6" x14ac:dyDescent="0.35">
      <c r="A108">
        <v>5192</v>
      </c>
      <c r="B108">
        <v>716</v>
      </c>
      <c r="C108">
        <v>5192</v>
      </c>
      <c r="D108" t="s">
        <v>540</v>
      </c>
      <c r="E108" t="s">
        <v>1069</v>
      </c>
      <c r="F108" t="s">
        <v>19</v>
      </c>
    </row>
    <row r="109" spans="1:6" x14ac:dyDescent="0.35">
      <c r="A109">
        <v>5194</v>
      </c>
      <c r="B109">
        <v>383</v>
      </c>
      <c r="C109">
        <v>5194</v>
      </c>
      <c r="D109" t="s">
        <v>540</v>
      </c>
      <c r="E109" t="s">
        <v>1069</v>
      </c>
      <c r="F109" t="s">
        <v>19</v>
      </c>
    </row>
    <row r="110" spans="1:6" x14ac:dyDescent="0.35">
      <c r="A110">
        <v>5195</v>
      </c>
      <c r="B110">
        <v>432</v>
      </c>
      <c r="C110">
        <v>5195</v>
      </c>
      <c r="D110" t="s">
        <v>540</v>
      </c>
      <c r="E110" t="s">
        <v>1069</v>
      </c>
      <c r="F110" t="s">
        <v>19</v>
      </c>
    </row>
    <row r="111" spans="1:6" x14ac:dyDescent="0.35">
      <c r="A111">
        <v>5197</v>
      </c>
      <c r="B111">
        <v>250</v>
      </c>
      <c r="C111">
        <v>5197</v>
      </c>
      <c r="D111" t="s">
        <v>540</v>
      </c>
      <c r="E111" t="s">
        <v>1069</v>
      </c>
      <c r="F111" t="s">
        <v>19</v>
      </c>
    </row>
    <row r="112" spans="1:6" x14ac:dyDescent="0.35">
      <c r="A112">
        <v>5200</v>
      </c>
      <c r="B112">
        <v>674</v>
      </c>
      <c r="C112">
        <v>5200</v>
      </c>
      <c r="D112" t="s">
        <v>540</v>
      </c>
      <c r="E112" t="s">
        <v>1069</v>
      </c>
      <c r="F112" t="s">
        <v>19</v>
      </c>
    </row>
    <row r="113" spans="1:6" x14ac:dyDescent="0.35">
      <c r="A113">
        <v>5201</v>
      </c>
      <c r="B113">
        <v>606</v>
      </c>
      <c r="C113">
        <v>5201</v>
      </c>
      <c r="D113" t="s">
        <v>540</v>
      </c>
      <c r="E113" t="s">
        <v>1069</v>
      </c>
      <c r="F113" t="s">
        <v>19</v>
      </c>
    </row>
    <row r="114" spans="1:6" x14ac:dyDescent="0.35">
      <c r="A114">
        <v>5204</v>
      </c>
      <c r="B114">
        <v>77</v>
      </c>
      <c r="C114">
        <v>5204</v>
      </c>
      <c r="D114" t="s">
        <v>540</v>
      </c>
      <c r="E114" t="s">
        <v>1069</v>
      </c>
      <c r="F114" t="s">
        <v>19</v>
      </c>
    </row>
    <row r="115" spans="1:6" x14ac:dyDescent="0.35">
      <c r="A115">
        <v>5205</v>
      </c>
      <c r="B115">
        <v>816</v>
      </c>
      <c r="C115">
        <v>5205</v>
      </c>
      <c r="D115" t="s">
        <v>540</v>
      </c>
      <c r="E115" t="s">
        <v>1069</v>
      </c>
      <c r="F115" t="s">
        <v>19</v>
      </c>
    </row>
    <row r="116" spans="1:6" x14ac:dyDescent="0.35">
      <c r="A116">
        <v>5206</v>
      </c>
      <c r="B116">
        <v>455</v>
      </c>
      <c r="C116">
        <v>5206</v>
      </c>
      <c r="D116" t="s">
        <v>540</v>
      </c>
      <c r="E116" t="s">
        <v>1069</v>
      </c>
      <c r="F116" t="s">
        <v>19</v>
      </c>
    </row>
    <row r="117" spans="1:6" x14ac:dyDescent="0.35">
      <c r="A117">
        <v>5208</v>
      </c>
      <c r="B117">
        <v>217</v>
      </c>
      <c r="C117">
        <v>5208</v>
      </c>
      <c r="D117" t="s">
        <v>540</v>
      </c>
      <c r="E117" t="s">
        <v>1069</v>
      </c>
      <c r="F117" t="s">
        <v>19</v>
      </c>
    </row>
    <row r="118" spans="1:6" x14ac:dyDescent="0.35">
      <c r="A118">
        <v>5216</v>
      </c>
      <c r="B118">
        <v>793</v>
      </c>
      <c r="C118">
        <v>5216</v>
      </c>
      <c r="D118" t="s">
        <v>540</v>
      </c>
      <c r="E118" t="s">
        <v>1069</v>
      </c>
      <c r="F118" t="s">
        <v>19</v>
      </c>
    </row>
    <row r="119" spans="1:6" x14ac:dyDescent="0.35">
      <c r="A119">
        <v>5219</v>
      </c>
      <c r="B119">
        <v>16</v>
      </c>
      <c r="C119">
        <v>5219</v>
      </c>
      <c r="D119" t="s">
        <v>540</v>
      </c>
      <c r="E119" t="s">
        <v>1069</v>
      </c>
      <c r="F119" t="s">
        <v>19</v>
      </c>
    </row>
    <row r="120" spans="1:6" x14ac:dyDescent="0.35">
      <c r="A120">
        <v>5220</v>
      </c>
      <c r="B120">
        <v>941</v>
      </c>
      <c r="C120">
        <v>5220</v>
      </c>
      <c r="D120" t="s">
        <v>540</v>
      </c>
      <c r="E120" t="s">
        <v>1069</v>
      </c>
      <c r="F120" t="s">
        <v>19</v>
      </c>
    </row>
    <row r="121" spans="1:6" x14ac:dyDescent="0.35">
      <c r="A121">
        <v>5221</v>
      </c>
      <c r="B121">
        <v>221</v>
      </c>
      <c r="C121">
        <v>5221</v>
      </c>
      <c r="D121" t="s">
        <v>540</v>
      </c>
      <c r="E121" t="s">
        <v>1069</v>
      </c>
      <c r="F121" t="s">
        <v>19</v>
      </c>
    </row>
    <row r="122" spans="1:6" x14ac:dyDescent="0.35">
      <c r="A122">
        <v>5224</v>
      </c>
      <c r="B122">
        <v>168</v>
      </c>
      <c r="C122">
        <v>5224</v>
      </c>
      <c r="D122" t="s">
        <v>540</v>
      </c>
      <c r="E122" t="s">
        <v>1069</v>
      </c>
      <c r="F122" t="s">
        <v>19</v>
      </c>
    </row>
    <row r="123" spans="1:6" x14ac:dyDescent="0.35">
      <c r="A123">
        <v>5225</v>
      </c>
      <c r="B123">
        <v>946</v>
      </c>
      <c r="C123">
        <v>5225</v>
      </c>
      <c r="D123" t="s">
        <v>540</v>
      </c>
      <c r="E123" t="s">
        <v>1069</v>
      </c>
      <c r="F123" t="s">
        <v>19</v>
      </c>
    </row>
    <row r="124" spans="1:6" x14ac:dyDescent="0.35">
      <c r="A124">
        <v>5227</v>
      </c>
      <c r="B124">
        <v>678</v>
      </c>
      <c r="C124">
        <v>5227</v>
      </c>
      <c r="D124" t="s">
        <v>540</v>
      </c>
      <c r="E124" t="s">
        <v>1069</v>
      </c>
      <c r="F124" t="s">
        <v>19</v>
      </c>
    </row>
    <row r="125" spans="1:6" x14ac:dyDescent="0.35">
      <c r="A125">
        <v>5228</v>
      </c>
      <c r="B125">
        <v>285</v>
      </c>
      <c r="C125">
        <v>5228</v>
      </c>
      <c r="D125" t="s">
        <v>540</v>
      </c>
      <c r="E125" t="s">
        <v>1069</v>
      </c>
      <c r="F125" t="s">
        <v>19</v>
      </c>
    </row>
    <row r="126" spans="1:6" x14ac:dyDescent="0.35">
      <c r="A126">
        <v>5231</v>
      </c>
      <c r="B126">
        <v>454</v>
      </c>
      <c r="C126">
        <v>5231</v>
      </c>
      <c r="D126" t="s">
        <v>540</v>
      </c>
      <c r="E126" t="s">
        <v>1069</v>
      </c>
      <c r="F126" t="s">
        <v>19</v>
      </c>
    </row>
    <row r="127" spans="1:6" x14ac:dyDescent="0.35">
      <c r="A127">
        <v>6096</v>
      </c>
      <c r="B127">
        <v>625</v>
      </c>
      <c r="C127">
        <v>6096</v>
      </c>
      <c r="D127" t="s">
        <v>540</v>
      </c>
      <c r="E127" t="s">
        <v>1069</v>
      </c>
      <c r="F127" t="s">
        <v>19</v>
      </c>
    </row>
    <row r="128" spans="1:6" x14ac:dyDescent="0.35">
      <c r="A128">
        <v>6149</v>
      </c>
      <c r="B128">
        <v>868</v>
      </c>
      <c r="C128">
        <v>6149</v>
      </c>
      <c r="D128" t="s">
        <v>540</v>
      </c>
      <c r="E128" t="s">
        <v>1069</v>
      </c>
      <c r="F128" t="s">
        <v>16</v>
      </c>
    </row>
    <row r="129" spans="1:6" x14ac:dyDescent="0.35">
      <c r="A129">
        <v>6150</v>
      </c>
      <c r="B129">
        <v>571</v>
      </c>
      <c r="C129">
        <v>6150</v>
      </c>
      <c r="D129" t="s">
        <v>540</v>
      </c>
      <c r="E129" t="s">
        <v>1069</v>
      </c>
      <c r="F129" t="s">
        <v>19</v>
      </c>
    </row>
    <row r="130" spans="1:6" x14ac:dyDescent="0.35">
      <c r="A130">
        <v>6169</v>
      </c>
      <c r="B130">
        <v>844</v>
      </c>
      <c r="C130">
        <v>6169</v>
      </c>
      <c r="D130" t="s">
        <v>540</v>
      </c>
      <c r="E130" t="s">
        <v>1069</v>
      </c>
      <c r="F130" t="s">
        <v>19</v>
      </c>
    </row>
    <row r="131" spans="1:6" x14ac:dyDescent="0.35">
      <c r="A131">
        <v>6172</v>
      </c>
      <c r="B131">
        <v>30</v>
      </c>
      <c r="C131">
        <v>6172</v>
      </c>
      <c r="D131" t="s">
        <v>540</v>
      </c>
      <c r="E131" t="s">
        <v>1069</v>
      </c>
      <c r="F131" t="s">
        <v>19</v>
      </c>
    </row>
    <row r="132" spans="1:6" x14ac:dyDescent="0.35">
      <c r="A132">
        <v>6174</v>
      </c>
      <c r="B132">
        <v>820</v>
      </c>
      <c r="C132">
        <v>6174</v>
      </c>
      <c r="D132" t="s">
        <v>540</v>
      </c>
      <c r="E132" t="s">
        <v>1069</v>
      </c>
      <c r="F132" t="s">
        <v>19</v>
      </c>
    </row>
    <row r="133" spans="1:6" x14ac:dyDescent="0.35">
      <c r="A133">
        <v>6180</v>
      </c>
      <c r="B133">
        <v>690</v>
      </c>
      <c r="C133">
        <v>6180</v>
      </c>
      <c r="D133" t="s">
        <v>540</v>
      </c>
      <c r="E133" t="s">
        <v>1069</v>
      </c>
      <c r="F133" t="s">
        <v>19</v>
      </c>
    </row>
    <row r="134" spans="1:6" x14ac:dyDescent="0.35">
      <c r="A134">
        <v>6182</v>
      </c>
      <c r="B134">
        <v>351</v>
      </c>
      <c r="C134">
        <v>6182</v>
      </c>
      <c r="D134" t="s">
        <v>540</v>
      </c>
      <c r="E134" t="s">
        <v>1069</v>
      </c>
      <c r="F134" t="s">
        <v>19</v>
      </c>
    </row>
    <row r="135" spans="1:6" x14ac:dyDescent="0.35">
      <c r="A135">
        <v>6186</v>
      </c>
      <c r="B135">
        <v>267</v>
      </c>
      <c r="C135">
        <v>6186</v>
      </c>
      <c r="D135" t="s">
        <v>540</v>
      </c>
      <c r="E135" t="s">
        <v>1069</v>
      </c>
      <c r="F135" t="s">
        <v>19</v>
      </c>
    </row>
    <row r="136" spans="1:6" x14ac:dyDescent="0.35">
      <c r="A136">
        <v>6204</v>
      </c>
      <c r="B136">
        <v>54</v>
      </c>
      <c r="C136">
        <v>6204</v>
      </c>
      <c r="D136" t="s">
        <v>540</v>
      </c>
      <c r="E136" t="s">
        <v>1069</v>
      </c>
      <c r="F136" t="s">
        <v>19</v>
      </c>
    </row>
    <row r="137" spans="1:6" x14ac:dyDescent="0.35">
      <c r="A137">
        <v>6209</v>
      </c>
      <c r="B137">
        <v>688</v>
      </c>
      <c r="C137">
        <v>6209</v>
      </c>
      <c r="D137" t="s">
        <v>540</v>
      </c>
      <c r="E137" t="s">
        <v>1069</v>
      </c>
      <c r="F137" t="s">
        <v>19</v>
      </c>
    </row>
    <row r="138" spans="1:6" x14ac:dyDescent="0.35">
      <c r="A138">
        <v>6215</v>
      </c>
      <c r="B138">
        <v>74</v>
      </c>
      <c r="C138">
        <v>6215</v>
      </c>
      <c r="D138" t="s">
        <v>540</v>
      </c>
      <c r="E138" t="s">
        <v>1069</v>
      </c>
      <c r="F138" t="s">
        <v>16</v>
      </c>
    </row>
    <row r="139" spans="1:6" x14ac:dyDescent="0.35">
      <c r="A139">
        <v>6218</v>
      </c>
      <c r="B139">
        <v>178</v>
      </c>
      <c r="C139">
        <v>6218</v>
      </c>
      <c r="D139" t="s">
        <v>540</v>
      </c>
      <c r="E139" t="s">
        <v>1069</v>
      </c>
      <c r="F139" t="s">
        <v>19</v>
      </c>
    </row>
    <row r="140" spans="1:6" x14ac:dyDescent="0.35">
      <c r="A140">
        <v>6242</v>
      </c>
      <c r="B140">
        <v>236</v>
      </c>
      <c r="C140">
        <v>6242</v>
      </c>
      <c r="D140" t="s">
        <v>540</v>
      </c>
      <c r="E140" t="s">
        <v>1069</v>
      </c>
      <c r="F140" t="s">
        <v>19</v>
      </c>
    </row>
    <row r="141" spans="1:6" x14ac:dyDescent="0.35">
      <c r="A141">
        <v>6243</v>
      </c>
      <c r="B141">
        <v>231</v>
      </c>
      <c r="C141">
        <v>6243</v>
      </c>
      <c r="D141" t="s">
        <v>540</v>
      </c>
      <c r="E141" t="s">
        <v>1069</v>
      </c>
      <c r="F141" t="s">
        <v>19</v>
      </c>
    </row>
    <row r="142" spans="1:6" x14ac:dyDescent="0.35">
      <c r="A142">
        <v>6245</v>
      </c>
      <c r="B142">
        <v>79</v>
      </c>
      <c r="C142">
        <v>6245</v>
      </c>
      <c r="D142" t="s">
        <v>540</v>
      </c>
      <c r="E142" t="s">
        <v>1069</v>
      </c>
      <c r="F142" t="s">
        <v>19</v>
      </c>
    </row>
    <row r="143" spans="1:6" x14ac:dyDescent="0.35">
      <c r="A143">
        <v>6246</v>
      </c>
      <c r="B143">
        <v>78</v>
      </c>
      <c r="C143">
        <v>6246</v>
      </c>
      <c r="D143" t="s">
        <v>540</v>
      </c>
      <c r="E143" t="s">
        <v>1069</v>
      </c>
      <c r="F143" t="s">
        <v>19</v>
      </c>
    </row>
    <row r="144" spans="1:6" x14ac:dyDescent="0.35">
      <c r="A144">
        <v>6248</v>
      </c>
      <c r="B144">
        <v>718</v>
      </c>
      <c r="C144">
        <v>6248</v>
      </c>
      <c r="D144" t="s">
        <v>540</v>
      </c>
      <c r="E144" t="s">
        <v>1069</v>
      </c>
      <c r="F144" t="s">
        <v>19</v>
      </c>
    </row>
    <row r="145" spans="1:6" x14ac:dyDescent="0.35">
      <c r="A145">
        <v>6251</v>
      </c>
      <c r="B145">
        <v>477</v>
      </c>
      <c r="C145">
        <v>6251</v>
      </c>
      <c r="D145" t="s">
        <v>540</v>
      </c>
      <c r="E145" t="s">
        <v>1069</v>
      </c>
      <c r="F145" t="s">
        <v>19</v>
      </c>
    </row>
    <row r="146" spans="1:6" x14ac:dyDescent="0.35">
      <c r="A146">
        <v>6253</v>
      </c>
      <c r="B146">
        <v>337</v>
      </c>
      <c r="C146">
        <v>6253</v>
      </c>
      <c r="D146" t="s">
        <v>540</v>
      </c>
      <c r="E146" t="s">
        <v>1069</v>
      </c>
      <c r="F146" t="s">
        <v>19</v>
      </c>
    </row>
    <row r="147" spans="1:6" x14ac:dyDescent="0.35">
      <c r="A147">
        <v>6336</v>
      </c>
      <c r="B147">
        <v>524</v>
      </c>
      <c r="C147">
        <v>6336</v>
      </c>
      <c r="D147" t="s">
        <v>540</v>
      </c>
      <c r="E147" t="s">
        <v>1069</v>
      </c>
      <c r="F147" t="s">
        <v>19</v>
      </c>
    </row>
    <row r="148" spans="1:6" x14ac:dyDescent="0.35">
      <c r="A148">
        <v>6406</v>
      </c>
      <c r="B148">
        <v>37</v>
      </c>
      <c r="C148">
        <v>6406</v>
      </c>
      <c r="D148" t="s">
        <v>540</v>
      </c>
      <c r="E148" t="s">
        <v>1069</v>
      </c>
      <c r="F148" t="s">
        <v>19</v>
      </c>
    </row>
    <row r="149" spans="1:6" x14ac:dyDescent="0.35">
      <c r="A149">
        <v>6407</v>
      </c>
      <c r="B149">
        <v>601</v>
      </c>
      <c r="C149">
        <v>6407</v>
      </c>
      <c r="D149" t="s">
        <v>540</v>
      </c>
      <c r="E149" t="s">
        <v>1069</v>
      </c>
      <c r="F149" t="s">
        <v>19</v>
      </c>
    </row>
    <row r="150" spans="1:6" x14ac:dyDescent="0.35">
      <c r="A150">
        <v>6465</v>
      </c>
      <c r="B150">
        <v>379</v>
      </c>
      <c r="C150">
        <v>6465</v>
      </c>
      <c r="D150" t="s">
        <v>540</v>
      </c>
      <c r="E150" t="s">
        <v>1069</v>
      </c>
      <c r="F150" t="s">
        <v>19</v>
      </c>
    </row>
    <row r="151" spans="1:6" x14ac:dyDescent="0.35">
      <c r="A151">
        <v>6466</v>
      </c>
      <c r="B151">
        <v>894</v>
      </c>
      <c r="C151">
        <v>6466</v>
      </c>
      <c r="D151" t="s">
        <v>540</v>
      </c>
      <c r="E151" t="s">
        <v>1069</v>
      </c>
      <c r="F151" t="s">
        <v>19</v>
      </c>
    </row>
    <row r="152" spans="1:6" x14ac:dyDescent="0.35">
      <c r="A152">
        <v>6467</v>
      </c>
      <c r="B152">
        <v>237</v>
      </c>
      <c r="C152">
        <v>6467</v>
      </c>
      <c r="D152" t="s">
        <v>540</v>
      </c>
      <c r="E152" t="s">
        <v>1069</v>
      </c>
      <c r="F152" t="s">
        <v>19</v>
      </c>
    </row>
    <row r="153" spans="1:6" x14ac:dyDescent="0.35">
      <c r="A153">
        <v>6608</v>
      </c>
      <c r="B153">
        <v>202</v>
      </c>
      <c r="C153">
        <v>6608</v>
      </c>
      <c r="D153" t="s">
        <v>540</v>
      </c>
      <c r="E153" t="s">
        <v>1069</v>
      </c>
      <c r="F153" t="s">
        <v>19</v>
      </c>
    </row>
    <row r="154" spans="1:6" x14ac:dyDescent="0.35">
      <c r="A154">
        <v>6613</v>
      </c>
      <c r="B154">
        <v>317</v>
      </c>
      <c r="C154">
        <v>6613</v>
      </c>
      <c r="D154" t="s">
        <v>540</v>
      </c>
      <c r="E154" t="s">
        <v>1069</v>
      </c>
      <c r="F154" t="s">
        <v>16</v>
      </c>
    </row>
    <row r="155" spans="1:6" x14ac:dyDescent="0.35">
      <c r="A155">
        <v>6618</v>
      </c>
      <c r="B155">
        <v>352</v>
      </c>
      <c r="C155">
        <v>6618</v>
      </c>
      <c r="D155" t="s">
        <v>540</v>
      </c>
      <c r="E155" t="s">
        <v>1069</v>
      </c>
      <c r="F155" t="s">
        <v>19</v>
      </c>
    </row>
    <row r="156" spans="1:6" x14ac:dyDescent="0.35">
      <c r="A156">
        <v>6628</v>
      </c>
      <c r="B156">
        <v>138</v>
      </c>
      <c r="C156">
        <v>6628</v>
      </c>
      <c r="D156" t="s">
        <v>540</v>
      </c>
      <c r="E156" t="s">
        <v>1069</v>
      </c>
      <c r="F156" t="s">
        <v>19</v>
      </c>
    </row>
    <row r="157" spans="1:6" x14ac:dyDescent="0.35">
      <c r="A157">
        <v>6713</v>
      </c>
      <c r="B157">
        <v>613</v>
      </c>
      <c r="C157">
        <v>6713</v>
      </c>
      <c r="D157" t="s">
        <v>540</v>
      </c>
      <c r="E157" t="s">
        <v>1069</v>
      </c>
      <c r="F157" t="s">
        <v>16</v>
      </c>
    </row>
    <row r="158" spans="1:6" x14ac:dyDescent="0.35">
      <c r="A158">
        <v>6715</v>
      </c>
      <c r="B158">
        <v>764</v>
      </c>
      <c r="C158">
        <v>6715</v>
      </c>
      <c r="D158" t="s">
        <v>540</v>
      </c>
      <c r="E158" t="s">
        <v>1069</v>
      </c>
      <c r="F158" t="s">
        <v>19</v>
      </c>
    </row>
    <row r="159" spans="1:6" x14ac:dyDescent="0.35">
      <c r="A159">
        <v>6716</v>
      </c>
      <c r="B159">
        <v>843</v>
      </c>
      <c r="C159">
        <v>6716</v>
      </c>
      <c r="D159" t="s">
        <v>540</v>
      </c>
      <c r="E159" t="s">
        <v>1069</v>
      </c>
      <c r="F159" t="s">
        <v>19</v>
      </c>
    </row>
    <row r="160" spans="1:6" x14ac:dyDescent="0.35">
      <c r="A160">
        <v>6718</v>
      </c>
      <c r="B160">
        <v>371</v>
      </c>
      <c r="C160">
        <v>6718</v>
      </c>
      <c r="D160" t="s">
        <v>540</v>
      </c>
      <c r="E160" t="s">
        <v>1069</v>
      </c>
      <c r="F160" t="s">
        <v>19</v>
      </c>
    </row>
    <row r="161" spans="1:6" x14ac:dyDescent="0.35">
      <c r="A161">
        <v>6724</v>
      </c>
      <c r="B161">
        <v>348</v>
      </c>
      <c r="C161">
        <v>6724</v>
      </c>
      <c r="D161" t="s">
        <v>540</v>
      </c>
      <c r="E161" t="s">
        <v>1069</v>
      </c>
      <c r="F161" t="s">
        <v>16</v>
      </c>
    </row>
    <row r="162" spans="1:6" x14ac:dyDescent="0.35">
      <c r="A162">
        <v>6735</v>
      </c>
      <c r="B162">
        <v>96</v>
      </c>
      <c r="C162">
        <v>6735</v>
      </c>
      <c r="D162" t="s">
        <v>540</v>
      </c>
      <c r="E162" t="s">
        <v>1069</v>
      </c>
      <c r="F162" t="s">
        <v>19</v>
      </c>
    </row>
    <row r="163" spans="1:6" x14ac:dyDescent="0.35">
      <c r="A163">
        <v>6818</v>
      </c>
      <c r="B163">
        <v>888</v>
      </c>
      <c r="C163">
        <v>6818</v>
      </c>
      <c r="D163" t="s">
        <v>540</v>
      </c>
      <c r="E163" t="s">
        <v>1069</v>
      </c>
      <c r="F163" t="s">
        <v>19</v>
      </c>
    </row>
    <row r="164" spans="1:6" x14ac:dyDescent="0.35">
      <c r="A164">
        <v>6839</v>
      </c>
      <c r="B164">
        <v>20</v>
      </c>
      <c r="C164">
        <v>6839</v>
      </c>
      <c r="D164" t="s">
        <v>540</v>
      </c>
      <c r="E164" t="s">
        <v>1069</v>
      </c>
      <c r="F164" t="s">
        <v>19</v>
      </c>
    </row>
    <row r="165" spans="1:6" x14ac:dyDescent="0.35">
      <c r="A165">
        <v>6843</v>
      </c>
      <c r="B165">
        <v>741</v>
      </c>
      <c r="C165">
        <v>6843</v>
      </c>
      <c r="D165" t="s">
        <v>540</v>
      </c>
      <c r="E165" t="s">
        <v>1069</v>
      </c>
      <c r="F165" t="s">
        <v>16</v>
      </c>
    </row>
    <row r="166" spans="1:6" x14ac:dyDescent="0.35">
      <c r="A166">
        <v>6911</v>
      </c>
      <c r="B166">
        <v>796</v>
      </c>
      <c r="C166">
        <v>6911</v>
      </c>
      <c r="D166" t="s">
        <v>540</v>
      </c>
      <c r="E166" t="s">
        <v>1069</v>
      </c>
      <c r="F166" t="s">
        <v>19</v>
      </c>
    </row>
    <row r="167" spans="1:6" x14ac:dyDescent="0.35">
      <c r="A167">
        <v>6927</v>
      </c>
      <c r="B167">
        <v>536</v>
      </c>
      <c r="C167">
        <v>6927</v>
      </c>
      <c r="D167" t="s">
        <v>540</v>
      </c>
      <c r="E167" t="s">
        <v>1069</v>
      </c>
      <c r="F167" t="s">
        <v>19</v>
      </c>
    </row>
    <row r="168" spans="1:6" x14ac:dyDescent="0.35">
      <c r="A168">
        <v>7074</v>
      </c>
      <c r="B168">
        <v>658</v>
      </c>
      <c r="C168">
        <v>7074</v>
      </c>
      <c r="D168" t="s">
        <v>540</v>
      </c>
      <c r="E168" t="s">
        <v>1069</v>
      </c>
      <c r="F168" t="s">
        <v>19</v>
      </c>
    </row>
    <row r="169" spans="1:6" x14ac:dyDescent="0.35">
      <c r="A169">
        <v>7123</v>
      </c>
      <c r="B169">
        <v>549</v>
      </c>
      <c r="C169">
        <v>7123</v>
      </c>
      <c r="D169" t="s">
        <v>540</v>
      </c>
      <c r="E169" t="s">
        <v>1069</v>
      </c>
      <c r="F169" t="s">
        <v>19</v>
      </c>
    </row>
    <row r="170" spans="1:6" x14ac:dyDescent="0.35">
      <c r="A170">
        <v>7124</v>
      </c>
      <c r="B170">
        <v>677</v>
      </c>
      <c r="C170">
        <v>7124</v>
      </c>
      <c r="D170" t="s">
        <v>540</v>
      </c>
      <c r="E170" t="s">
        <v>1069</v>
      </c>
      <c r="F170" t="s">
        <v>19</v>
      </c>
    </row>
    <row r="171" spans="1:6" x14ac:dyDescent="0.35">
      <c r="A171">
        <v>7125</v>
      </c>
      <c r="B171">
        <v>484</v>
      </c>
      <c r="C171">
        <v>7125</v>
      </c>
      <c r="D171" t="s">
        <v>540</v>
      </c>
      <c r="E171" t="s">
        <v>1069</v>
      </c>
      <c r="F171" t="s">
        <v>19</v>
      </c>
    </row>
    <row r="172" spans="1:6" x14ac:dyDescent="0.35">
      <c r="A172">
        <v>7126</v>
      </c>
      <c r="B172">
        <v>93</v>
      </c>
      <c r="C172">
        <v>7126</v>
      </c>
      <c r="D172" t="s">
        <v>540</v>
      </c>
      <c r="E172" t="s">
        <v>1069</v>
      </c>
      <c r="F172" t="s">
        <v>19</v>
      </c>
    </row>
    <row r="173" spans="1:6" x14ac:dyDescent="0.35">
      <c r="A173">
        <v>7134</v>
      </c>
      <c r="B173">
        <v>123</v>
      </c>
      <c r="C173">
        <v>7134</v>
      </c>
      <c r="D173" t="s">
        <v>540</v>
      </c>
      <c r="E173" t="s">
        <v>1069</v>
      </c>
      <c r="F173" t="s">
        <v>16</v>
      </c>
    </row>
    <row r="174" spans="1:6" x14ac:dyDescent="0.35">
      <c r="A174">
        <v>7139</v>
      </c>
      <c r="B174">
        <v>385</v>
      </c>
      <c r="C174">
        <v>7139</v>
      </c>
      <c r="D174" t="s">
        <v>540</v>
      </c>
      <c r="E174" t="s">
        <v>1069</v>
      </c>
      <c r="F174" t="s">
        <v>19</v>
      </c>
    </row>
    <row r="175" spans="1:6" x14ac:dyDescent="0.35">
      <c r="A175">
        <v>7212</v>
      </c>
      <c r="B175">
        <v>233</v>
      </c>
      <c r="C175">
        <v>7212</v>
      </c>
      <c r="D175" t="s">
        <v>540</v>
      </c>
      <c r="E175" t="s">
        <v>1069</v>
      </c>
      <c r="F175" t="s">
        <v>19</v>
      </c>
    </row>
    <row r="176" spans="1:6" x14ac:dyDescent="0.35">
      <c r="A176">
        <v>7316</v>
      </c>
      <c r="B176">
        <v>506</v>
      </c>
      <c r="C176">
        <v>7316</v>
      </c>
      <c r="D176" t="s">
        <v>540</v>
      </c>
      <c r="E176" t="s">
        <v>1069</v>
      </c>
      <c r="F176" t="s">
        <v>19</v>
      </c>
    </row>
    <row r="177" spans="1:6" x14ac:dyDescent="0.35">
      <c r="A177">
        <v>7318</v>
      </c>
      <c r="B177">
        <v>651</v>
      </c>
      <c r="C177">
        <v>7318</v>
      </c>
      <c r="D177" t="s">
        <v>540</v>
      </c>
      <c r="E177" t="s">
        <v>1069</v>
      </c>
      <c r="F177" t="s">
        <v>19</v>
      </c>
    </row>
    <row r="178" spans="1:6" x14ac:dyDescent="0.35">
      <c r="A178">
        <v>7327</v>
      </c>
      <c r="B178">
        <v>389</v>
      </c>
      <c r="C178">
        <v>7327</v>
      </c>
      <c r="D178" t="s">
        <v>540</v>
      </c>
      <c r="E178" t="s">
        <v>1069</v>
      </c>
      <c r="F178" t="s">
        <v>19</v>
      </c>
    </row>
    <row r="179" spans="1:6" x14ac:dyDescent="0.35">
      <c r="A179">
        <v>7341</v>
      </c>
      <c r="B179">
        <v>41</v>
      </c>
      <c r="C179">
        <v>7341</v>
      </c>
      <c r="D179" t="s">
        <v>540</v>
      </c>
      <c r="E179" t="s">
        <v>1069</v>
      </c>
      <c r="F179" t="s">
        <v>19</v>
      </c>
    </row>
    <row r="180" spans="1:6" x14ac:dyDescent="0.35">
      <c r="A180">
        <v>7374</v>
      </c>
      <c r="B180">
        <v>848</v>
      </c>
      <c r="C180">
        <v>7374</v>
      </c>
      <c r="D180" t="s">
        <v>540</v>
      </c>
      <c r="E180" t="s">
        <v>1069</v>
      </c>
      <c r="F180" t="s">
        <v>16</v>
      </c>
    </row>
    <row r="181" spans="1:6" x14ac:dyDescent="0.35">
      <c r="A181">
        <v>7375</v>
      </c>
      <c r="B181">
        <v>623</v>
      </c>
      <c r="C181">
        <v>7375</v>
      </c>
      <c r="D181" t="s">
        <v>540</v>
      </c>
      <c r="E181" t="s">
        <v>1069</v>
      </c>
      <c r="F181" t="s">
        <v>19</v>
      </c>
    </row>
    <row r="182" spans="1:6" x14ac:dyDescent="0.35">
      <c r="A182">
        <v>7429</v>
      </c>
      <c r="B182">
        <v>172</v>
      </c>
      <c r="C182">
        <v>7429</v>
      </c>
      <c r="D182" t="s">
        <v>540</v>
      </c>
      <c r="E182" t="s">
        <v>1069</v>
      </c>
      <c r="F182" t="s">
        <v>19</v>
      </c>
    </row>
    <row r="183" spans="1:6" x14ac:dyDescent="0.35">
      <c r="A183">
        <v>7569</v>
      </c>
      <c r="B183">
        <v>332</v>
      </c>
      <c r="C183">
        <v>7569</v>
      </c>
      <c r="D183" t="s">
        <v>540</v>
      </c>
      <c r="E183" t="s">
        <v>1069</v>
      </c>
      <c r="F183" t="s">
        <v>19</v>
      </c>
    </row>
    <row r="184" spans="1:6" x14ac:dyDescent="0.35">
      <c r="A184">
        <v>7613</v>
      </c>
      <c r="B184">
        <v>812</v>
      </c>
      <c r="C184">
        <v>7613</v>
      </c>
      <c r="D184" t="s">
        <v>540</v>
      </c>
      <c r="E184" t="s">
        <v>1069</v>
      </c>
      <c r="F184" t="s">
        <v>16</v>
      </c>
    </row>
    <row r="185" spans="1:6" x14ac:dyDescent="0.35">
      <c r="A185">
        <v>7614</v>
      </c>
      <c r="B185">
        <v>812</v>
      </c>
      <c r="C185">
        <v>7614</v>
      </c>
      <c r="D185" t="s">
        <v>540</v>
      </c>
      <c r="E185" t="s">
        <v>1069</v>
      </c>
      <c r="F185" t="s">
        <v>16</v>
      </c>
    </row>
    <row r="186" spans="1:6" x14ac:dyDescent="0.35">
      <c r="A186">
        <v>7680</v>
      </c>
      <c r="B186">
        <v>318</v>
      </c>
      <c r="C186">
        <v>7680</v>
      </c>
      <c r="D186" t="s">
        <v>540</v>
      </c>
      <c r="E186" t="s">
        <v>1069</v>
      </c>
      <c r="F186" t="s">
        <v>19</v>
      </c>
    </row>
    <row r="187" spans="1:6" x14ac:dyDescent="0.35">
      <c r="A187">
        <v>7759</v>
      </c>
      <c r="B187">
        <v>476</v>
      </c>
      <c r="C187">
        <v>7759</v>
      </c>
      <c r="D187" t="s">
        <v>540</v>
      </c>
      <c r="E187" t="s">
        <v>1069</v>
      </c>
      <c r="F187" t="s">
        <v>16</v>
      </c>
    </row>
    <row r="188" spans="1:6" x14ac:dyDescent="0.35">
      <c r="A188">
        <v>7812</v>
      </c>
      <c r="B188">
        <v>7</v>
      </c>
      <c r="C188">
        <v>7812</v>
      </c>
      <c r="D188" t="s">
        <v>540</v>
      </c>
      <c r="E188" t="s">
        <v>1069</v>
      </c>
      <c r="F188" t="s">
        <v>16</v>
      </c>
    </row>
    <row r="189" spans="1:6" x14ac:dyDescent="0.35">
      <c r="A189">
        <v>7875</v>
      </c>
      <c r="B189">
        <v>609</v>
      </c>
      <c r="C189">
        <v>7875</v>
      </c>
      <c r="D189" t="s">
        <v>540</v>
      </c>
      <c r="E189" t="s">
        <v>1069</v>
      </c>
      <c r="F189" t="s">
        <v>19</v>
      </c>
    </row>
    <row r="190" spans="1:6" x14ac:dyDescent="0.35">
      <c r="A190">
        <v>7888</v>
      </c>
      <c r="B190">
        <v>609</v>
      </c>
      <c r="C190">
        <v>7888</v>
      </c>
      <c r="D190" t="s">
        <v>540</v>
      </c>
      <c r="E190" t="s">
        <v>1069</v>
      </c>
      <c r="F190" t="s">
        <v>19</v>
      </c>
    </row>
    <row r="191" spans="1:6" x14ac:dyDescent="0.35">
      <c r="A191">
        <v>7939</v>
      </c>
      <c r="B191">
        <v>166</v>
      </c>
      <c r="C191">
        <v>7939</v>
      </c>
      <c r="D191" t="s">
        <v>540</v>
      </c>
      <c r="E191" t="s">
        <v>1069</v>
      </c>
      <c r="F191" t="s">
        <v>19</v>
      </c>
    </row>
    <row r="192" spans="1:6" x14ac:dyDescent="0.35">
      <c r="A192">
        <v>7940</v>
      </c>
      <c r="B192">
        <v>166</v>
      </c>
      <c r="C192">
        <v>7940</v>
      </c>
      <c r="D192" t="s">
        <v>540</v>
      </c>
      <c r="E192" t="s">
        <v>1069</v>
      </c>
      <c r="F192" t="s">
        <v>19</v>
      </c>
    </row>
    <row r="193" spans="1:6" x14ac:dyDescent="0.35">
      <c r="A193">
        <v>7943</v>
      </c>
      <c r="B193">
        <v>91</v>
      </c>
      <c r="C193">
        <v>7943</v>
      </c>
      <c r="D193" t="s">
        <v>540</v>
      </c>
      <c r="E193" t="s">
        <v>1069</v>
      </c>
      <c r="F193" t="s">
        <v>16</v>
      </c>
    </row>
    <row r="194" spans="1:6" x14ac:dyDescent="0.35">
      <c r="A194">
        <v>7979</v>
      </c>
      <c r="B194">
        <v>693</v>
      </c>
      <c r="C194">
        <v>7979</v>
      </c>
      <c r="D194" t="s">
        <v>540</v>
      </c>
      <c r="E194" t="s">
        <v>1069</v>
      </c>
      <c r="F194" t="s">
        <v>19</v>
      </c>
    </row>
    <row r="195" spans="1:6" x14ac:dyDescent="0.35">
      <c r="A195">
        <v>7980</v>
      </c>
      <c r="B195">
        <v>419</v>
      </c>
      <c r="C195">
        <v>7980</v>
      </c>
      <c r="D195" t="s">
        <v>540</v>
      </c>
      <c r="E195" t="s">
        <v>1069</v>
      </c>
      <c r="F195" t="s">
        <v>19</v>
      </c>
    </row>
    <row r="196" spans="1:6" x14ac:dyDescent="0.35">
      <c r="A196">
        <v>8018</v>
      </c>
      <c r="B196">
        <v>453</v>
      </c>
      <c r="C196">
        <v>8018</v>
      </c>
      <c r="D196" t="s">
        <v>540</v>
      </c>
      <c r="E196" t="s">
        <v>1069</v>
      </c>
      <c r="F196" t="s">
        <v>19</v>
      </c>
    </row>
    <row r="197" spans="1:6" x14ac:dyDescent="0.35">
      <c r="A197">
        <v>8019</v>
      </c>
      <c r="B197">
        <v>453</v>
      </c>
      <c r="C197">
        <v>8019</v>
      </c>
      <c r="D197" t="s">
        <v>540</v>
      </c>
      <c r="E197" t="s">
        <v>1069</v>
      </c>
      <c r="F197" t="s">
        <v>19</v>
      </c>
    </row>
    <row r="198" spans="1:6" x14ac:dyDescent="0.35">
      <c r="A198">
        <v>8090</v>
      </c>
      <c r="B198">
        <v>725</v>
      </c>
      <c r="C198">
        <v>8090</v>
      </c>
      <c r="D198" t="s">
        <v>540</v>
      </c>
      <c r="E198" t="s">
        <v>1069</v>
      </c>
      <c r="F198" t="s">
        <v>19</v>
      </c>
    </row>
    <row r="199" spans="1:6" x14ac:dyDescent="0.35">
      <c r="A199">
        <v>8129</v>
      </c>
      <c r="B199">
        <v>569</v>
      </c>
      <c r="C199">
        <v>8129</v>
      </c>
      <c r="D199" t="s">
        <v>540</v>
      </c>
      <c r="E199" t="s">
        <v>1069</v>
      </c>
      <c r="F199" t="s">
        <v>16</v>
      </c>
    </row>
    <row r="200" spans="1:6" x14ac:dyDescent="0.35">
      <c r="A200">
        <v>8139</v>
      </c>
      <c r="B200">
        <v>291</v>
      </c>
      <c r="C200">
        <v>8139</v>
      </c>
      <c r="D200" t="s">
        <v>540</v>
      </c>
      <c r="E200" t="s">
        <v>1069</v>
      </c>
      <c r="F200" t="s">
        <v>16</v>
      </c>
    </row>
    <row r="201" spans="1:6" x14ac:dyDescent="0.35">
      <c r="A201">
        <v>8204</v>
      </c>
      <c r="B201">
        <v>810</v>
      </c>
      <c r="C201">
        <v>8204</v>
      </c>
      <c r="D201" t="s">
        <v>540</v>
      </c>
      <c r="E201" t="s">
        <v>1069</v>
      </c>
      <c r="F201" t="s">
        <v>19</v>
      </c>
    </row>
    <row r="202" spans="1:6" x14ac:dyDescent="0.35">
      <c r="A202">
        <v>8294</v>
      </c>
      <c r="B202">
        <v>554</v>
      </c>
      <c r="C202">
        <v>8294</v>
      </c>
      <c r="D202" t="s">
        <v>540</v>
      </c>
      <c r="E202" t="s">
        <v>1069</v>
      </c>
      <c r="F202" t="s">
        <v>19</v>
      </c>
    </row>
    <row r="203" spans="1:6" x14ac:dyDescent="0.35">
      <c r="A203">
        <v>8295</v>
      </c>
      <c r="B203">
        <v>554</v>
      </c>
      <c r="C203">
        <v>8295</v>
      </c>
      <c r="D203" t="s">
        <v>540</v>
      </c>
      <c r="E203" t="s">
        <v>1069</v>
      </c>
      <c r="F203" t="s">
        <v>19</v>
      </c>
    </row>
    <row r="204" spans="1:6" x14ac:dyDescent="0.35">
      <c r="A204">
        <v>8313</v>
      </c>
      <c r="B204">
        <v>915</v>
      </c>
      <c r="C204">
        <v>8313</v>
      </c>
      <c r="D204" t="s">
        <v>540</v>
      </c>
      <c r="E204" t="s">
        <v>1069</v>
      </c>
      <c r="F204" t="s">
        <v>19</v>
      </c>
    </row>
    <row r="205" spans="1:6" x14ac:dyDescent="0.35">
      <c r="A205">
        <v>8314</v>
      </c>
      <c r="B205">
        <v>915</v>
      </c>
      <c r="C205">
        <v>8314</v>
      </c>
      <c r="D205" t="s">
        <v>540</v>
      </c>
      <c r="E205" t="s">
        <v>1069</v>
      </c>
      <c r="F205" t="s">
        <v>19</v>
      </c>
    </row>
    <row r="206" spans="1:6" x14ac:dyDescent="0.35">
      <c r="A206">
        <v>8333</v>
      </c>
      <c r="B206">
        <v>556</v>
      </c>
      <c r="C206">
        <v>8333</v>
      </c>
      <c r="D206" t="s">
        <v>540</v>
      </c>
      <c r="E206" t="s">
        <v>1069</v>
      </c>
      <c r="F206" t="s">
        <v>19</v>
      </c>
    </row>
    <row r="207" spans="1:6" x14ac:dyDescent="0.35">
      <c r="A207">
        <v>8353</v>
      </c>
      <c r="B207">
        <v>944</v>
      </c>
      <c r="C207">
        <v>8353</v>
      </c>
      <c r="D207" t="s">
        <v>540</v>
      </c>
      <c r="E207" t="s">
        <v>1069</v>
      </c>
      <c r="F207" t="s">
        <v>19</v>
      </c>
    </row>
    <row r="208" spans="1:6" x14ac:dyDescent="0.35">
      <c r="A208">
        <v>8354</v>
      </c>
      <c r="B208">
        <v>944</v>
      </c>
      <c r="C208">
        <v>8354</v>
      </c>
      <c r="D208" t="s">
        <v>540</v>
      </c>
      <c r="E208" t="s">
        <v>1069</v>
      </c>
      <c r="F208" t="s">
        <v>19</v>
      </c>
    </row>
    <row r="209" spans="1:6" x14ac:dyDescent="0.35">
      <c r="A209">
        <v>8482</v>
      </c>
      <c r="B209">
        <v>495</v>
      </c>
      <c r="C209">
        <v>8482</v>
      </c>
      <c r="D209" t="s">
        <v>540</v>
      </c>
      <c r="E209" t="s">
        <v>1069</v>
      </c>
      <c r="F209" t="s">
        <v>19</v>
      </c>
    </row>
    <row r="210" spans="1:6" x14ac:dyDescent="0.35">
      <c r="A210">
        <v>8497</v>
      </c>
      <c r="B210">
        <v>236</v>
      </c>
      <c r="C210">
        <v>8497</v>
      </c>
      <c r="D210" t="s">
        <v>540</v>
      </c>
      <c r="E210" t="s">
        <v>1069</v>
      </c>
      <c r="F210" t="s">
        <v>19</v>
      </c>
    </row>
    <row r="211" spans="1:6" x14ac:dyDescent="0.35">
      <c r="A211">
        <v>8537</v>
      </c>
      <c r="B211">
        <v>193</v>
      </c>
      <c r="C211">
        <v>8537</v>
      </c>
      <c r="D211" t="s">
        <v>540</v>
      </c>
      <c r="E211" t="s">
        <v>1069</v>
      </c>
      <c r="F211" t="s">
        <v>19</v>
      </c>
    </row>
    <row r="212" spans="1:6" x14ac:dyDescent="0.35">
      <c r="A212">
        <v>8576</v>
      </c>
      <c r="B212">
        <v>15</v>
      </c>
      <c r="C212">
        <v>8576</v>
      </c>
      <c r="D212" t="s">
        <v>540</v>
      </c>
      <c r="E212" t="s">
        <v>1069</v>
      </c>
      <c r="F212" t="s">
        <v>19</v>
      </c>
    </row>
    <row r="213" spans="1:6" x14ac:dyDescent="0.35">
      <c r="A213">
        <v>8577</v>
      </c>
      <c r="B213">
        <v>15</v>
      </c>
      <c r="C213">
        <v>8577</v>
      </c>
      <c r="D213" t="s">
        <v>540</v>
      </c>
      <c r="E213" t="s">
        <v>1069</v>
      </c>
      <c r="F213" t="s">
        <v>19</v>
      </c>
    </row>
    <row r="214" spans="1:6" x14ac:dyDescent="0.35">
      <c r="A214">
        <v>8578</v>
      </c>
      <c r="B214">
        <v>15</v>
      </c>
      <c r="C214">
        <v>8578</v>
      </c>
      <c r="D214" t="s">
        <v>540</v>
      </c>
      <c r="E214" t="s">
        <v>1069</v>
      </c>
      <c r="F214" t="s">
        <v>19</v>
      </c>
    </row>
    <row r="215" spans="1:6" x14ac:dyDescent="0.35">
      <c r="A215">
        <v>8586</v>
      </c>
      <c r="B215">
        <v>728</v>
      </c>
      <c r="C215">
        <v>8586</v>
      </c>
      <c r="D215" t="s">
        <v>540</v>
      </c>
      <c r="E215" t="s">
        <v>1069</v>
      </c>
      <c r="F215" t="s">
        <v>19</v>
      </c>
    </row>
    <row r="216" spans="1:6" x14ac:dyDescent="0.35">
      <c r="A216">
        <v>8587</v>
      </c>
      <c r="B216">
        <v>728</v>
      </c>
      <c r="C216">
        <v>8587</v>
      </c>
      <c r="D216" t="s">
        <v>540</v>
      </c>
      <c r="E216" t="s">
        <v>1069</v>
      </c>
      <c r="F216" t="s">
        <v>19</v>
      </c>
    </row>
    <row r="217" spans="1:6" x14ac:dyDescent="0.35">
      <c r="A217">
        <v>8594</v>
      </c>
      <c r="B217">
        <v>78</v>
      </c>
      <c r="C217">
        <v>8594</v>
      </c>
      <c r="D217" t="s">
        <v>540</v>
      </c>
      <c r="E217" t="s">
        <v>1069</v>
      </c>
      <c r="F217" t="s">
        <v>19</v>
      </c>
    </row>
    <row r="218" spans="1:6" x14ac:dyDescent="0.35">
      <c r="A218">
        <v>8630</v>
      </c>
      <c r="B218">
        <v>4</v>
      </c>
      <c r="C218">
        <v>8630</v>
      </c>
      <c r="D218" t="s">
        <v>540</v>
      </c>
      <c r="E218" t="s">
        <v>1069</v>
      </c>
      <c r="F218" t="s">
        <v>19</v>
      </c>
    </row>
    <row r="219" spans="1:6" x14ac:dyDescent="0.35">
      <c r="A219">
        <v>8631</v>
      </c>
      <c r="B219">
        <v>4</v>
      </c>
      <c r="C219">
        <v>8631</v>
      </c>
      <c r="D219" t="s">
        <v>540</v>
      </c>
      <c r="E219" t="s">
        <v>1069</v>
      </c>
      <c r="F219" t="s">
        <v>19</v>
      </c>
    </row>
    <row r="220" spans="1:6" x14ac:dyDescent="0.35">
      <c r="A220">
        <v>8660</v>
      </c>
      <c r="B220">
        <v>541</v>
      </c>
      <c r="C220">
        <v>8660</v>
      </c>
      <c r="D220" t="s">
        <v>540</v>
      </c>
      <c r="E220" t="s">
        <v>1069</v>
      </c>
      <c r="F220" t="s">
        <v>19</v>
      </c>
    </row>
    <row r="221" spans="1:6" x14ac:dyDescent="0.35">
      <c r="A221">
        <v>8662</v>
      </c>
      <c r="B221">
        <v>866</v>
      </c>
      <c r="C221">
        <v>8662</v>
      </c>
      <c r="D221" t="s">
        <v>540</v>
      </c>
      <c r="E221" t="s">
        <v>1069</v>
      </c>
      <c r="F221" t="s">
        <v>19</v>
      </c>
    </row>
    <row r="222" spans="1:6" x14ac:dyDescent="0.35">
      <c r="A222">
        <v>8679</v>
      </c>
      <c r="B222">
        <v>769</v>
      </c>
      <c r="C222">
        <v>8679</v>
      </c>
      <c r="D222" t="s">
        <v>540</v>
      </c>
      <c r="E222" t="s">
        <v>1069</v>
      </c>
      <c r="F222" t="s">
        <v>19</v>
      </c>
    </row>
    <row r="223" spans="1:6" x14ac:dyDescent="0.35">
      <c r="A223">
        <v>8684</v>
      </c>
      <c r="B223">
        <v>779</v>
      </c>
      <c r="C223">
        <v>8684</v>
      </c>
      <c r="D223" t="s">
        <v>540</v>
      </c>
      <c r="E223" t="s">
        <v>1069</v>
      </c>
      <c r="F223" t="s">
        <v>16</v>
      </c>
    </row>
    <row r="224" spans="1:6" x14ac:dyDescent="0.35">
      <c r="A224">
        <v>8685</v>
      </c>
      <c r="B224">
        <v>779</v>
      </c>
      <c r="C224">
        <v>8685</v>
      </c>
      <c r="D224" t="s">
        <v>540</v>
      </c>
      <c r="E224" t="s">
        <v>1069</v>
      </c>
      <c r="F224" t="s">
        <v>19</v>
      </c>
    </row>
    <row r="225" spans="1:6" x14ac:dyDescent="0.35">
      <c r="A225">
        <v>8727</v>
      </c>
      <c r="B225">
        <v>60</v>
      </c>
      <c r="C225">
        <v>8727</v>
      </c>
      <c r="D225" t="s">
        <v>540</v>
      </c>
      <c r="E225" t="s">
        <v>1069</v>
      </c>
      <c r="F225" t="s">
        <v>19</v>
      </c>
    </row>
    <row r="226" spans="1:6" x14ac:dyDescent="0.35">
      <c r="A226">
        <v>8728</v>
      </c>
      <c r="B226">
        <v>60</v>
      </c>
      <c r="C226">
        <v>8728</v>
      </c>
      <c r="D226" t="s">
        <v>540</v>
      </c>
      <c r="E226" t="s">
        <v>1069</v>
      </c>
      <c r="F226" t="s">
        <v>16</v>
      </c>
    </row>
    <row r="227" spans="1:6" x14ac:dyDescent="0.35">
      <c r="A227">
        <v>8729</v>
      </c>
      <c r="B227">
        <v>60</v>
      </c>
      <c r="C227">
        <v>8729</v>
      </c>
      <c r="D227" t="s">
        <v>540</v>
      </c>
      <c r="E227" t="s">
        <v>1069</v>
      </c>
      <c r="F227" t="s">
        <v>19</v>
      </c>
    </row>
    <row r="228" spans="1:6" x14ac:dyDescent="0.35">
      <c r="A228">
        <v>8737</v>
      </c>
      <c r="B228">
        <v>31</v>
      </c>
      <c r="C228">
        <v>8737</v>
      </c>
      <c r="D228" t="s">
        <v>540</v>
      </c>
      <c r="E228" t="s">
        <v>1069</v>
      </c>
      <c r="F228" t="s">
        <v>19</v>
      </c>
    </row>
    <row r="229" spans="1:6" x14ac:dyDescent="0.35">
      <c r="A229">
        <v>8835</v>
      </c>
      <c r="B229">
        <v>509</v>
      </c>
      <c r="C229">
        <v>8835</v>
      </c>
      <c r="D229" t="s">
        <v>540</v>
      </c>
      <c r="E229" t="s">
        <v>1069</v>
      </c>
      <c r="F229" t="s">
        <v>19</v>
      </c>
    </row>
    <row r="230" spans="1:6" x14ac:dyDescent="0.35">
      <c r="A230">
        <v>8861</v>
      </c>
      <c r="B230">
        <v>33</v>
      </c>
      <c r="C230">
        <v>8861</v>
      </c>
      <c r="D230" t="s">
        <v>540</v>
      </c>
      <c r="E230" t="s">
        <v>1069</v>
      </c>
      <c r="F230" t="s">
        <v>19</v>
      </c>
    </row>
    <row r="231" spans="1:6" x14ac:dyDescent="0.35">
      <c r="A231">
        <v>8868</v>
      </c>
      <c r="B231">
        <v>225</v>
      </c>
      <c r="C231">
        <v>8868</v>
      </c>
      <c r="D231" t="s">
        <v>540</v>
      </c>
      <c r="E231" t="s">
        <v>1069</v>
      </c>
      <c r="F231" t="s">
        <v>19</v>
      </c>
    </row>
    <row r="232" spans="1:6" x14ac:dyDescent="0.35">
      <c r="A232">
        <v>8869</v>
      </c>
      <c r="B232">
        <v>225</v>
      </c>
      <c r="C232">
        <v>8869</v>
      </c>
      <c r="D232" t="s">
        <v>540</v>
      </c>
      <c r="E232" t="s">
        <v>1069</v>
      </c>
      <c r="F232" t="s">
        <v>19</v>
      </c>
    </row>
    <row r="233" spans="1:6" x14ac:dyDescent="0.35">
      <c r="A233">
        <v>8887</v>
      </c>
      <c r="B233">
        <v>442</v>
      </c>
      <c r="C233">
        <v>8887</v>
      </c>
      <c r="D233" t="s">
        <v>540</v>
      </c>
      <c r="E233" t="s">
        <v>1069</v>
      </c>
      <c r="F233" t="s">
        <v>19</v>
      </c>
    </row>
    <row r="234" spans="1:6" x14ac:dyDescent="0.35">
      <c r="A234">
        <v>8888</v>
      </c>
      <c r="B234">
        <v>442</v>
      </c>
      <c r="C234">
        <v>8888</v>
      </c>
      <c r="D234" t="s">
        <v>540</v>
      </c>
      <c r="E234" t="s">
        <v>1069</v>
      </c>
      <c r="F234" t="s">
        <v>19</v>
      </c>
    </row>
    <row r="235" spans="1:6" x14ac:dyDescent="0.35">
      <c r="A235">
        <v>8896</v>
      </c>
      <c r="B235">
        <v>721</v>
      </c>
      <c r="C235">
        <v>8896</v>
      </c>
      <c r="D235" t="s">
        <v>540</v>
      </c>
      <c r="E235" t="s">
        <v>1069</v>
      </c>
      <c r="F235" t="s">
        <v>19</v>
      </c>
    </row>
    <row r="236" spans="1:6" x14ac:dyDescent="0.35">
      <c r="A236">
        <v>8897</v>
      </c>
      <c r="B236">
        <v>721</v>
      </c>
      <c r="C236">
        <v>8897</v>
      </c>
      <c r="D236" t="s">
        <v>540</v>
      </c>
      <c r="E236" t="s">
        <v>1069</v>
      </c>
      <c r="F236" t="s">
        <v>16</v>
      </c>
    </row>
    <row r="237" spans="1:6" x14ac:dyDescent="0.35">
      <c r="A237">
        <v>8927</v>
      </c>
      <c r="B237">
        <v>20</v>
      </c>
      <c r="C237">
        <v>8927</v>
      </c>
      <c r="D237" t="s">
        <v>540</v>
      </c>
      <c r="E237" t="s">
        <v>1069</v>
      </c>
      <c r="F237" t="s">
        <v>19</v>
      </c>
    </row>
    <row r="238" spans="1:6" x14ac:dyDescent="0.35">
      <c r="A238">
        <v>8974</v>
      </c>
      <c r="B238">
        <v>85</v>
      </c>
      <c r="C238">
        <v>8974</v>
      </c>
      <c r="D238" t="s">
        <v>540</v>
      </c>
      <c r="E238" t="s">
        <v>1069</v>
      </c>
      <c r="F238" t="s">
        <v>19</v>
      </c>
    </row>
    <row r="239" spans="1:6" x14ac:dyDescent="0.35">
      <c r="A239">
        <v>8988</v>
      </c>
      <c r="B239">
        <v>536</v>
      </c>
      <c r="C239">
        <v>8988</v>
      </c>
      <c r="D239" t="s">
        <v>540</v>
      </c>
      <c r="E239" t="s">
        <v>1069</v>
      </c>
      <c r="F239" t="s">
        <v>16</v>
      </c>
    </row>
    <row r="240" spans="1:6" x14ac:dyDescent="0.35">
      <c r="A240">
        <v>9004</v>
      </c>
      <c r="B240">
        <v>457</v>
      </c>
      <c r="C240">
        <v>9004</v>
      </c>
      <c r="D240" t="s">
        <v>540</v>
      </c>
      <c r="E240" t="s">
        <v>1069</v>
      </c>
      <c r="F240" t="s">
        <v>19</v>
      </c>
    </row>
    <row r="241" spans="1:6" x14ac:dyDescent="0.35">
      <c r="A241">
        <v>9009</v>
      </c>
      <c r="B241">
        <v>348</v>
      </c>
      <c r="C241">
        <v>9009</v>
      </c>
      <c r="D241" t="s">
        <v>540</v>
      </c>
      <c r="E241" t="s">
        <v>1069</v>
      </c>
      <c r="F241" t="s">
        <v>19</v>
      </c>
    </row>
    <row r="242" spans="1:6" x14ac:dyDescent="0.35">
      <c r="A242">
        <v>9051</v>
      </c>
      <c r="B242">
        <v>467</v>
      </c>
      <c r="C242">
        <v>9051</v>
      </c>
      <c r="D242" t="s">
        <v>540</v>
      </c>
      <c r="E242" t="s">
        <v>1069</v>
      </c>
      <c r="F242" t="s">
        <v>19</v>
      </c>
    </row>
    <row r="243" spans="1:6" x14ac:dyDescent="0.35">
      <c r="A243">
        <v>9052</v>
      </c>
      <c r="B243">
        <v>467</v>
      </c>
      <c r="C243">
        <v>9052</v>
      </c>
      <c r="D243" t="s">
        <v>540</v>
      </c>
      <c r="E243" t="s">
        <v>1069</v>
      </c>
      <c r="F243" t="s">
        <v>19</v>
      </c>
    </row>
    <row r="244" spans="1:6" x14ac:dyDescent="0.35">
      <c r="A244">
        <v>9204</v>
      </c>
      <c r="B244">
        <v>20</v>
      </c>
      <c r="C244">
        <v>9204</v>
      </c>
      <c r="D244" t="s">
        <v>540</v>
      </c>
      <c r="E244" t="s">
        <v>1069</v>
      </c>
      <c r="F244" t="s">
        <v>19</v>
      </c>
    </row>
    <row r="245" spans="1:6" x14ac:dyDescent="0.35">
      <c r="A245">
        <v>9232</v>
      </c>
      <c r="B245">
        <v>845</v>
      </c>
      <c r="C245">
        <v>9232</v>
      </c>
      <c r="D245" t="s">
        <v>540</v>
      </c>
      <c r="E245" t="s">
        <v>1069</v>
      </c>
      <c r="F245" t="s">
        <v>19</v>
      </c>
    </row>
    <row r="246" spans="1:6" x14ac:dyDescent="0.35">
      <c r="A246">
        <v>9306</v>
      </c>
      <c r="B246">
        <v>64</v>
      </c>
      <c r="C246">
        <v>9306</v>
      </c>
      <c r="D246" t="s">
        <v>540</v>
      </c>
      <c r="E246" t="s">
        <v>1069</v>
      </c>
      <c r="F246" t="s">
        <v>19</v>
      </c>
    </row>
    <row r="247" spans="1:6" x14ac:dyDescent="0.35">
      <c r="A247">
        <v>9434</v>
      </c>
      <c r="B247">
        <v>451</v>
      </c>
      <c r="C247">
        <v>9434</v>
      </c>
      <c r="D247" t="s">
        <v>540</v>
      </c>
      <c r="E247" t="s">
        <v>1069</v>
      </c>
      <c r="F247" t="s">
        <v>19</v>
      </c>
    </row>
    <row r="248" spans="1:6" x14ac:dyDescent="0.35">
      <c r="A248">
        <v>9512</v>
      </c>
      <c r="B248">
        <v>957</v>
      </c>
      <c r="C248">
        <v>9512</v>
      </c>
      <c r="D248" t="s">
        <v>540</v>
      </c>
      <c r="E248" t="s">
        <v>1069</v>
      </c>
      <c r="F248" t="s">
        <v>19</v>
      </c>
    </row>
    <row r="249" spans="1:6" x14ac:dyDescent="0.35">
      <c r="A249">
        <v>9513</v>
      </c>
      <c r="B249">
        <v>957</v>
      </c>
      <c r="C249">
        <v>9513</v>
      </c>
      <c r="D249" t="s">
        <v>540</v>
      </c>
      <c r="E249" t="s">
        <v>1069</v>
      </c>
      <c r="F249" t="s">
        <v>19</v>
      </c>
    </row>
    <row r="250" spans="1:6" x14ac:dyDescent="0.35">
      <c r="A250">
        <v>9580</v>
      </c>
      <c r="B250">
        <v>367</v>
      </c>
      <c r="C250">
        <v>9580</v>
      </c>
      <c r="D250" t="s">
        <v>540</v>
      </c>
      <c r="E250" t="s">
        <v>1069</v>
      </c>
      <c r="F250" t="s">
        <v>19</v>
      </c>
    </row>
    <row r="251" spans="1:6" x14ac:dyDescent="0.35">
      <c r="A251">
        <v>9584</v>
      </c>
      <c r="B251">
        <v>890</v>
      </c>
      <c r="C251">
        <v>9584</v>
      </c>
      <c r="D251" t="s">
        <v>540</v>
      </c>
      <c r="E251" t="s">
        <v>1069</v>
      </c>
      <c r="F251" t="s">
        <v>19</v>
      </c>
    </row>
    <row r="252" spans="1:6" x14ac:dyDescent="0.35">
      <c r="A252">
        <v>9604</v>
      </c>
      <c r="B252">
        <v>229</v>
      </c>
      <c r="C252">
        <v>9604</v>
      </c>
      <c r="D252" t="s">
        <v>540</v>
      </c>
      <c r="E252" t="s">
        <v>1069</v>
      </c>
      <c r="F252" t="s">
        <v>19</v>
      </c>
    </row>
    <row r="253" spans="1:6" x14ac:dyDescent="0.35">
      <c r="A253">
        <v>9605</v>
      </c>
      <c r="B253">
        <v>229</v>
      </c>
      <c r="C253">
        <v>9605</v>
      </c>
      <c r="D253" t="s">
        <v>540</v>
      </c>
      <c r="E253" t="s">
        <v>1069</v>
      </c>
      <c r="F253" t="s">
        <v>19</v>
      </c>
    </row>
    <row r="254" spans="1:6" x14ac:dyDescent="0.35">
      <c r="A254">
        <v>9643</v>
      </c>
      <c r="B254">
        <v>551</v>
      </c>
      <c r="C254">
        <v>9643</v>
      </c>
      <c r="D254" t="s">
        <v>540</v>
      </c>
      <c r="E254" t="s">
        <v>1069</v>
      </c>
      <c r="F254" t="s">
        <v>19</v>
      </c>
    </row>
    <row r="255" spans="1:6" x14ac:dyDescent="0.35">
      <c r="A255">
        <v>9644</v>
      </c>
      <c r="B255">
        <v>551</v>
      </c>
      <c r="C255">
        <v>9644</v>
      </c>
      <c r="D255" t="s">
        <v>540</v>
      </c>
      <c r="E255" t="s">
        <v>1069</v>
      </c>
      <c r="F255" t="s">
        <v>19</v>
      </c>
    </row>
    <row r="256" spans="1:6" x14ac:dyDescent="0.35">
      <c r="A256">
        <v>9682</v>
      </c>
      <c r="B256">
        <v>876</v>
      </c>
      <c r="C256">
        <v>9682</v>
      </c>
      <c r="D256" t="s">
        <v>540</v>
      </c>
      <c r="E256" t="s">
        <v>1069</v>
      </c>
      <c r="F256" t="s">
        <v>19</v>
      </c>
    </row>
    <row r="257" spans="1:6" x14ac:dyDescent="0.35">
      <c r="A257">
        <v>9724</v>
      </c>
      <c r="B257">
        <v>849</v>
      </c>
      <c r="C257">
        <v>9724</v>
      </c>
      <c r="D257" t="s">
        <v>540</v>
      </c>
      <c r="E257" t="s">
        <v>1069</v>
      </c>
      <c r="F257" t="s">
        <v>19</v>
      </c>
    </row>
    <row r="258" spans="1:6" x14ac:dyDescent="0.35">
      <c r="A258">
        <v>9725</v>
      </c>
      <c r="B258">
        <v>849</v>
      </c>
      <c r="C258">
        <v>9725</v>
      </c>
      <c r="D258" t="s">
        <v>540</v>
      </c>
      <c r="E258" t="s">
        <v>1069</v>
      </c>
      <c r="F258" t="s">
        <v>19</v>
      </c>
    </row>
    <row r="259" spans="1:6" x14ac:dyDescent="0.35">
      <c r="A259">
        <v>9729</v>
      </c>
      <c r="B259">
        <v>516</v>
      </c>
      <c r="C259">
        <v>9729</v>
      </c>
      <c r="D259" t="s">
        <v>540</v>
      </c>
      <c r="E259" t="s">
        <v>1069</v>
      </c>
      <c r="F259" t="s">
        <v>19</v>
      </c>
    </row>
    <row r="260" spans="1:6" x14ac:dyDescent="0.35">
      <c r="A260">
        <v>9810</v>
      </c>
      <c r="B260">
        <v>499</v>
      </c>
      <c r="C260">
        <v>9810</v>
      </c>
      <c r="D260" t="s">
        <v>540</v>
      </c>
      <c r="E260" t="s">
        <v>1069</v>
      </c>
      <c r="F260" t="s">
        <v>19</v>
      </c>
    </row>
    <row r="261" spans="1:6" x14ac:dyDescent="0.35">
      <c r="A261">
        <v>9811</v>
      </c>
      <c r="B261">
        <v>499</v>
      </c>
      <c r="C261">
        <v>9811</v>
      </c>
      <c r="D261" t="s">
        <v>540</v>
      </c>
      <c r="E261" t="s">
        <v>1069</v>
      </c>
      <c r="F261" t="s">
        <v>19</v>
      </c>
    </row>
    <row r="262" spans="1:6" x14ac:dyDescent="0.35">
      <c r="A262">
        <v>9906</v>
      </c>
      <c r="B262">
        <v>264</v>
      </c>
      <c r="C262">
        <v>9906</v>
      </c>
      <c r="D262" t="s">
        <v>540</v>
      </c>
      <c r="E262" t="s">
        <v>1069</v>
      </c>
      <c r="F262" t="s">
        <v>19</v>
      </c>
    </row>
    <row r="263" spans="1:6" x14ac:dyDescent="0.35">
      <c r="A263">
        <v>9963</v>
      </c>
      <c r="B263">
        <v>57</v>
      </c>
      <c r="C263">
        <v>9963</v>
      </c>
      <c r="D263" t="s">
        <v>540</v>
      </c>
      <c r="E263" t="s">
        <v>1069</v>
      </c>
      <c r="F263" t="s">
        <v>19</v>
      </c>
    </row>
    <row r="264" spans="1:6" x14ac:dyDescent="0.35">
      <c r="A264">
        <v>9265</v>
      </c>
      <c r="B264">
        <v>959</v>
      </c>
      <c r="C264">
        <v>9265</v>
      </c>
      <c r="D264" t="s">
        <v>540</v>
      </c>
      <c r="E264" t="s">
        <v>1069</v>
      </c>
      <c r="F264" t="s">
        <v>16</v>
      </c>
    </row>
    <row r="265" spans="1:6" x14ac:dyDescent="0.35">
      <c r="A265">
        <v>4830</v>
      </c>
      <c r="B265">
        <v>907</v>
      </c>
      <c r="C265">
        <v>4830</v>
      </c>
      <c r="D265" t="s">
        <v>540</v>
      </c>
      <c r="E265" t="s">
        <v>1069</v>
      </c>
      <c r="F265" t="s">
        <v>19</v>
      </c>
    </row>
    <row r="266" spans="1:6" x14ac:dyDescent="0.35">
      <c r="A266">
        <v>2228</v>
      </c>
      <c r="B266">
        <v>944</v>
      </c>
      <c r="C266">
        <v>2228</v>
      </c>
      <c r="D266" t="s">
        <v>540</v>
      </c>
      <c r="E266" t="s">
        <v>1069</v>
      </c>
      <c r="F266" t="s">
        <v>19</v>
      </c>
    </row>
    <row r="267" spans="1:6" x14ac:dyDescent="0.35">
      <c r="A267">
        <v>4868</v>
      </c>
      <c r="B267">
        <v>777</v>
      </c>
      <c r="C267">
        <v>4868</v>
      </c>
      <c r="D267" t="s">
        <v>540</v>
      </c>
      <c r="E267" t="s">
        <v>1069</v>
      </c>
      <c r="F267" t="s">
        <v>16</v>
      </c>
    </row>
    <row r="268" spans="1:6" x14ac:dyDescent="0.35">
      <c r="A268">
        <v>4866</v>
      </c>
      <c r="B268">
        <v>5</v>
      </c>
      <c r="C268">
        <v>4866</v>
      </c>
      <c r="D268" t="s">
        <v>1070</v>
      </c>
      <c r="E268" t="s">
        <v>1069</v>
      </c>
      <c r="F268" t="s">
        <v>16</v>
      </c>
    </row>
    <row r="269" spans="1:6" x14ac:dyDescent="0.35">
      <c r="A269">
        <v>192</v>
      </c>
      <c r="B269">
        <v>348</v>
      </c>
      <c r="C269">
        <v>192</v>
      </c>
      <c r="D269" t="s">
        <v>1070</v>
      </c>
      <c r="E269" t="s">
        <v>1069</v>
      </c>
      <c r="F269" t="s">
        <v>19</v>
      </c>
    </row>
    <row r="270" spans="1:6" x14ac:dyDescent="0.35">
      <c r="A270">
        <v>316</v>
      </c>
      <c r="B270">
        <v>4</v>
      </c>
      <c r="C270">
        <v>316</v>
      </c>
      <c r="D270" t="s">
        <v>1070</v>
      </c>
      <c r="E270" t="s">
        <v>1069</v>
      </c>
      <c r="F270" t="s">
        <v>19</v>
      </c>
    </row>
    <row r="271" spans="1:6" x14ac:dyDescent="0.35">
      <c r="A271">
        <v>442</v>
      </c>
      <c r="B271">
        <v>333</v>
      </c>
      <c r="C271">
        <v>442</v>
      </c>
      <c r="D271" t="s">
        <v>1070</v>
      </c>
      <c r="E271" t="s">
        <v>1069</v>
      </c>
      <c r="F271" t="s">
        <v>16</v>
      </c>
    </row>
    <row r="272" spans="1:6" x14ac:dyDescent="0.35">
      <c r="A272">
        <v>278</v>
      </c>
      <c r="B272">
        <v>292</v>
      </c>
      <c r="C272">
        <v>278</v>
      </c>
      <c r="D272" t="s">
        <v>1070</v>
      </c>
      <c r="E272" t="s">
        <v>1069</v>
      </c>
      <c r="F272" t="s">
        <v>19</v>
      </c>
    </row>
    <row r="273" spans="1:6" x14ac:dyDescent="0.35">
      <c r="A273">
        <v>172</v>
      </c>
      <c r="B273">
        <v>499</v>
      </c>
      <c r="C273">
        <v>172</v>
      </c>
      <c r="D273" t="s">
        <v>1070</v>
      </c>
      <c r="E273" t="s">
        <v>1069</v>
      </c>
      <c r="F273" t="s">
        <v>19</v>
      </c>
    </row>
    <row r="274" spans="1:6" x14ac:dyDescent="0.35">
      <c r="A274">
        <v>428</v>
      </c>
      <c r="B274">
        <v>306</v>
      </c>
      <c r="C274">
        <v>428</v>
      </c>
      <c r="D274" t="s">
        <v>1070</v>
      </c>
      <c r="E274" t="s">
        <v>1069</v>
      </c>
      <c r="F274" t="s">
        <v>16</v>
      </c>
    </row>
    <row r="275" spans="1:6" x14ac:dyDescent="0.35">
      <c r="A275">
        <v>2208</v>
      </c>
      <c r="B275">
        <v>185</v>
      </c>
      <c r="C275">
        <v>2208</v>
      </c>
      <c r="D275" t="s">
        <v>1070</v>
      </c>
      <c r="E275" t="s">
        <v>1069</v>
      </c>
      <c r="F275" t="s">
        <v>16</v>
      </c>
    </row>
    <row r="276" spans="1:6" x14ac:dyDescent="0.35">
      <c r="A276">
        <v>1469</v>
      </c>
      <c r="B276">
        <v>214</v>
      </c>
      <c r="C276">
        <v>1469</v>
      </c>
      <c r="D276" t="s">
        <v>1070</v>
      </c>
      <c r="E276" t="s">
        <v>1069</v>
      </c>
      <c r="F276" t="s">
        <v>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"/>
  <sheetViews>
    <sheetView workbookViewId="0"/>
  </sheetViews>
  <sheetFormatPr baseColWidth="10" defaultColWidth="8.7265625" defaultRowHeight="14.5" x14ac:dyDescent="0.35"/>
  <sheetData>
    <row r="1" spans="1:11" x14ac:dyDescent="0.35">
      <c r="A1" s="1" t="s">
        <v>531</v>
      </c>
      <c r="B1" s="1" t="s">
        <v>1</v>
      </c>
      <c r="C1" s="1" t="s">
        <v>2</v>
      </c>
      <c r="D1" s="1" t="s">
        <v>532</v>
      </c>
      <c r="E1" s="1" t="s">
        <v>533</v>
      </c>
      <c r="F1" s="1" t="s">
        <v>534</v>
      </c>
      <c r="G1" s="1" t="s">
        <v>535</v>
      </c>
      <c r="H1" s="1" t="s">
        <v>536</v>
      </c>
      <c r="I1" s="1" t="s">
        <v>537</v>
      </c>
      <c r="J1" s="1" t="s">
        <v>538</v>
      </c>
      <c r="K1" s="1" t="s">
        <v>539</v>
      </c>
    </row>
    <row r="2" spans="1:11" x14ac:dyDescent="0.35">
      <c r="A2">
        <v>361</v>
      </c>
      <c r="B2">
        <v>5005</v>
      </c>
      <c r="C2" t="s">
        <v>19</v>
      </c>
      <c r="D2" t="s">
        <v>540</v>
      </c>
      <c r="E2" t="s">
        <v>609</v>
      </c>
      <c r="F2" t="s">
        <v>610</v>
      </c>
      <c r="G2" t="s">
        <v>611</v>
      </c>
      <c r="H2" s="2">
        <v>46070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 MF</vt:lpstr>
      <vt:lpstr>Lista MF</vt:lpstr>
      <vt:lpstr>Notas</vt:lpstr>
      <vt:lpstr>CP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Jesús David Fabra Tapias | Grupo HDI</cp:lastModifiedBy>
  <dcterms:created xsi:type="dcterms:W3CDTF">2026-03-26T04:21:38Z</dcterms:created>
  <dcterms:modified xsi:type="dcterms:W3CDTF">2026-03-26T04:55:15Z</dcterms:modified>
</cp:coreProperties>
</file>