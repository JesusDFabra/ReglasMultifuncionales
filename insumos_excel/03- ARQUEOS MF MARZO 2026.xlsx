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"/>
    </mc:Choice>
  </mc:AlternateContent>
  <xr:revisionPtr revIDLastSave="0" documentId="13_ncr:1_{E318A7B4-D056-465E-BF58-0EB776D940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LLE MF" sheetId="1" r:id="rId1"/>
    <sheet name="Lista MF" sheetId="2" r:id="rId2"/>
    <sheet name="Notas" sheetId="3" r:id="rId3"/>
    <sheet name="CP" sheetId="4" r:id="rId4"/>
    <sheet name="Hoja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94" i="1" l="1"/>
  <c r="N494" i="1" s="1"/>
  <c r="M493" i="1"/>
  <c r="N493" i="1" s="1"/>
  <c r="M492" i="1"/>
  <c r="N492" i="1" s="1"/>
  <c r="M491" i="1"/>
  <c r="N491" i="1" s="1"/>
  <c r="M490" i="1"/>
  <c r="N490" i="1" s="1"/>
  <c r="M489" i="1"/>
  <c r="N489" i="1" s="1"/>
  <c r="M488" i="1"/>
  <c r="N488" i="1" s="1"/>
  <c r="N487" i="1"/>
  <c r="M487" i="1"/>
  <c r="M486" i="1"/>
  <c r="N486" i="1" s="1"/>
  <c r="M485" i="1"/>
  <c r="N485" i="1" s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N478" i="1"/>
  <c r="M478" i="1"/>
  <c r="M477" i="1"/>
  <c r="N477" i="1" s="1"/>
  <c r="M476" i="1"/>
  <c r="N476" i="1" s="1"/>
  <c r="M475" i="1"/>
  <c r="N475" i="1" s="1"/>
  <c r="M474" i="1"/>
  <c r="N474" i="1" s="1"/>
  <c r="M473" i="1"/>
  <c r="N473" i="1" s="1"/>
  <c r="M472" i="1"/>
  <c r="N472" i="1" s="1"/>
  <c r="N471" i="1"/>
  <c r="M471" i="1"/>
  <c r="M470" i="1"/>
  <c r="N470" i="1" s="1"/>
  <c r="M469" i="1"/>
  <c r="N469" i="1" s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M461" i="1"/>
  <c r="N461" i="1" s="1"/>
  <c r="M460" i="1"/>
  <c r="N460" i="1" s="1"/>
  <c r="M459" i="1"/>
  <c r="N459" i="1" s="1"/>
  <c r="N458" i="1"/>
  <c r="M458" i="1"/>
  <c r="M457" i="1"/>
  <c r="N457" i="1" s="1"/>
  <c r="M456" i="1"/>
  <c r="N456" i="1" s="1"/>
  <c r="M455" i="1"/>
  <c r="N455" i="1" s="1"/>
  <c r="M454" i="1"/>
  <c r="N454" i="1" s="1"/>
  <c r="M453" i="1"/>
  <c r="N453" i="1" s="1"/>
  <c r="M452" i="1"/>
  <c r="N452" i="1" s="1"/>
  <c r="N451" i="1"/>
  <c r="M451" i="1"/>
  <c r="M450" i="1"/>
  <c r="N450" i="1" s="1"/>
  <c r="M449" i="1"/>
  <c r="N449" i="1" s="1"/>
  <c r="M448" i="1"/>
  <c r="N448" i="1" s="1"/>
  <c r="M447" i="1"/>
  <c r="N447" i="1" s="1"/>
  <c r="M446" i="1"/>
  <c r="N446" i="1" s="1"/>
  <c r="M445" i="1"/>
  <c r="N445" i="1" s="1"/>
  <c r="M444" i="1"/>
  <c r="N444" i="1" s="1"/>
  <c r="M443" i="1"/>
  <c r="N443" i="1" s="1"/>
  <c r="M442" i="1"/>
  <c r="N442" i="1" s="1"/>
  <c r="M441" i="1"/>
  <c r="N441" i="1" s="1"/>
  <c r="M440" i="1"/>
  <c r="N440" i="1" s="1"/>
  <c r="M439" i="1"/>
  <c r="N439" i="1" s="1"/>
  <c r="N438" i="1"/>
  <c r="M438" i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27" i="1"/>
  <c r="N427" i="1" s="1"/>
  <c r="M426" i="1"/>
  <c r="N426" i="1" s="1"/>
  <c r="M425" i="1"/>
  <c r="N425" i="1" s="1"/>
  <c r="M424" i="1"/>
  <c r="N424" i="1" s="1"/>
  <c r="M423" i="1"/>
  <c r="N423" i="1" s="1"/>
  <c r="M422" i="1"/>
  <c r="N422" i="1" s="1"/>
  <c r="M421" i="1"/>
  <c r="N421" i="1" s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M414" i="1"/>
  <c r="N414" i="1" s="1"/>
  <c r="M413" i="1"/>
  <c r="N413" i="1" s="1"/>
  <c r="N412" i="1"/>
  <c r="M412" i="1"/>
  <c r="M411" i="1"/>
  <c r="N411" i="1" s="1"/>
  <c r="M410" i="1"/>
  <c r="N410" i="1" s="1"/>
  <c r="M409" i="1"/>
  <c r="N409" i="1" s="1"/>
  <c r="M408" i="1"/>
  <c r="N408" i="1" s="1"/>
  <c r="M407" i="1"/>
  <c r="N407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N400" i="1"/>
  <c r="M400" i="1"/>
  <c r="N399" i="1"/>
  <c r="M399" i="1"/>
  <c r="M398" i="1"/>
  <c r="N398" i="1" s="1"/>
  <c r="M397" i="1"/>
  <c r="N397" i="1" s="1"/>
  <c r="M396" i="1"/>
  <c r="N396" i="1" s="1"/>
  <c r="M395" i="1"/>
  <c r="N395" i="1" s="1"/>
  <c r="M394" i="1"/>
  <c r="N394" i="1" s="1"/>
  <c r="N393" i="1"/>
  <c r="M393" i="1"/>
  <c r="M392" i="1"/>
  <c r="N392" i="1" s="1"/>
  <c r="N391" i="1"/>
  <c r="M391" i="1"/>
  <c r="M390" i="1"/>
  <c r="N390" i="1" s="1"/>
  <c r="M389" i="1"/>
  <c r="N389" i="1" s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M382" i="1"/>
  <c r="N382" i="1" s="1"/>
  <c r="M381" i="1"/>
  <c r="N381" i="1" s="1"/>
  <c r="N380" i="1"/>
  <c r="M380" i="1"/>
  <c r="M379" i="1"/>
  <c r="N379" i="1" s="1"/>
  <c r="M378" i="1"/>
  <c r="N378" i="1" s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 s="1"/>
  <c r="N361" i="1"/>
  <c r="M361" i="1"/>
  <c r="M360" i="1"/>
  <c r="N360" i="1" s="1"/>
  <c r="M359" i="1"/>
  <c r="N359" i="1" s="1"/>
  <c r="M358" i="1"/>
  <c r="N358" i="1" s="1"/>
  <c r="M357" i="1"/>
  <c r="N357" i="1" s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M350" i="1"/>
  <c r="N350" i="1" s="1"/>
  <c r="M349" i="1"/>
  <c r="N349" i="1" s="1"/>
  <c r="M348" i="1"/>
  <c r="N348" i="1" s="1"/>
  <c r="M347" i="1"/>
  <c r="N347" i="1" s="1"/>
  <c r="N346" i="1"/>
  <c r="M346" i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N333" i="1"/>
  <c r="M333" i="1"/>
  <c r="M332" i="1"/>
  <c r="N332" i="1" s="1"/>
  <c r="M331" i="1"/>
  <c r="N331" i="1" s="1"/>
  <c r="M330" i="1"/>
  <c r="N330" i="1" s="1"/>
  <c r="M329" i="1"/>
  <c r="N329" i="1" s="1"/>
  <c r="M328" i="1"/>
  <c r="N328" i="1" s="1"/>
  <c r="M327" i="1"/>
  <c r="N327" i="1" s="1"/>
  <c r="M326" i="1"/>
  <c r="N326" i="1" s="1"/>
  <c r="M325" i="1"/>
  <c r="N325" i="1" s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M318" i="1"/>
  <c r="N318" i="1" s="1"/>
  <c r="M317" i="1"/>
  <c r="N317" i="1" s="1"/>
  <c r="M316" i="1"/>
  <c r="N316" i="1" s="1"/>
  <c r="N315" i="1"/>
  <c r="M315" i="1"/>
  <c r="M314" i="1"/>
  <c r="N314" i="1" s="1"/>
  <c r="M313" i="1"/>
  <c r="N313" i="1" s="1"/>
  <c r="M312" i="1"/>
  <c r="N312" i="1" s="1"/>
  <c r="M311" i="1"/>
  <c r="N311" i="1" s="1"/>
  <c r="M310" i="1"/>
  <c r="N310" i="1" s="1"/>
  <c r="M309" i="1"/>
  <c r="N309" i="1" s="1"/>
  <c r="N308" i="1"/>
  <c r="M308" i="1"/>
  <c r="M307" i="1"/>
  <c r="N307" i="1" s="1"/>
  <c r="N306" i="1"/>
  <c r="M306" i="1"/>
  <c r="M305" i="1"/>
  <c r="N305" i="1" s="1"/>
  <c r="M304" i="1"/>
  <c r="N304" i="1" s="1"/>
  <c r="M303" i="1"/>
  <c r="N303" i="1" s="1"/>
  <c r="M302" i="1"/>
  <c r="N302" i="1" s="1"/>
  <c r="M301" i="1"/>
  <c r="N301" i="1" s="1"/>
  <c r="M300" i="1"/>
  <c r="N300" i="1" s="1"/>
  <c r="M299" i="1"/>
  <c r="N299" i="1" s="1"/>
  <c r="M298" i="1"/>
  <c r="N298" i="1" s="1"/>
  <c r="M297" i="1"/>
  <c r="N297" i="1" s="1"/>
  <c r="M296" i="1"/>
  <c r="N296" i="1" s="1"/>
  <c r="N295" i="1"/>
  <c r="M295" i="1"/>
  <c r="M294" i="1"/>
  <c r="N294" i="1" s="1"/>
  <c r="M293" i="1"/>
  <c r="N293" i="1" s="1"/>
  <c r="M292" i="1"/>
  <c r="N292" i="1" s="1"/>
  <c r="M291" i="1"/>
  <c r="N291" i="1" s="1"/>
  <c r="M290" i="1"/>
  <c r="N290" i="1" s="1"/>
  <c r="N289" i="1"/>
  <c r="M289" i="1"/>
  <c r="M288" i="1"/>
  <c r="N288" i="1" s="1"/>
  <c r="M287" i="1"/>
  <c r="N287" i="1" s="1"/>
  <c r="N286" i="1"/>
  <c r="M286" i="1"/>
  <c r="M285" i="1"/>
  <c r="N285" i="1" s="1"/>
  <c r="M284" i="1"/>
  <c r="N284" i="1" s="1"/>
  <c r="M283" i="1"/>
  <c r="N283" i="1" s="1"/>
  <c r="M282" i="1"/>
  <c r="N282" i="1" s="1"/>
  <c r="M281" i="1"/>
  <c r="N281" i="1" s="1"/>
  <c r="M280" i="1"/>
  <c r="N280" i="1" s="1"/>
  <c r="M279" i="1"/>
  <c r="N279" i="1" s="1"/>
  <c r="M278" i="1"/>
  <c r="N278" i="1" s="1"/>
  <c r="M277" i="1"/>
  <c r="N277" i="1" s="1"/>
  <c r="M276" i="1"/>
  <c r="N276" i="1" s="1"/>
  <c r="M275" i="1"/>
  <c r="N275" i="1" s="1"/>
  <c r="M274" i="1"/>
  <c r="N274" i="1" s="1"/>
  <c r="M273" i="1"/>
  <c r="N273" i="1" s="1"/>
  <c r="M272" i="1"/>
  <c r="N272" i="1" s="1"/>
  <c r="M271" i="1"/>
  <c r="N271" i="1" s="1"/>
  <c r="M270" i="1"/>
  <c r="N270" i="1" s="1"/>
  <c r="M269" i="1"/>
  <c r="N269" i="1" s="1"/>
  <c r="M268" i="1"/>
  <c r="N268" i="1" s="1"/>
  <c r="M267" i="1"/>
  <c r="N267" i="1" s="1"/>
  <c r="M266" i="1"/>
  <c r="N266" i="1" s="1"/>
  <c r="M265" i="1"/>
  <c r="N265" i="1" s="1"/>
  <c r="M264" i="1"/>
  <c r="N264" i="1" s="1"/>
  <c r="M263" i="1"/>
  <c r="N263" i="1" s="1"/>
  <c r="M262" i="1"/>
  <c r="N262" i="1" s="1"/>
  <c r="M261" i="1"/>
  <c r="N261" i="1" s="1"/>
  <c r="N260" i="1"/>
  <c r="M260" i="1"/>
  <c r="M259" i="1"/>
  <c r="N259" i="1" s="1"/>
  <c r="M258" i="1"/>
  <c r="N258" i="1" s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 s="1"/>
  <c r="M251" i="1"/>
  <c r="N251" i="1" s="1"/>
  <c r="M250" i="1"/>
  <c r="N250" i="1" s="1"/>
  <c r="N249" i="1"/>
  <c r="M249" i="1"/>
  <c r="M248" i="1"/>
  <c r="N248" i="1" s="1"/>
  <c r="N247" i="1"/>
  <c r="M247" i="1"/>
  <c r="M246" i="1"/>
  <c r="N246" i="1" s="1"/>
  <c r="M245" i="1"/>
  <c r="N245" i="1" s="1"/>
  <c r="M244" i="1"/>
  <c r="N244" i="1" s="1"/>
  <c r="M243" i="1"/>
  <c r="N243" i="1" s="1"/>
  <c r="M242" i="1"/>
  <c r="N242" i="1" s="1"/>
  <c r="M241" i="1"/>
  <c r="N241" i="1" s="1"/>
  <c r="M240" i="1"/>
  <c r="N240" i="1" s="1"/>
  <c r="M239" i="1"/>
  <c r="N239" i="1" s="1"/>
  <c r="M238" i="1"/>
  <c r="N238" i="1" s="1"/>
  <c r="M237" i="1"/>
  <c r="N237" i="1" s="1"/>
  <c r="N236" i="1"/>
  <c r="M236" i="1"/>
  <c r="M235" i="1"/>
  <c r="N235" i="1" s="1"/>
  <c r="M234" i="1"/>
  <c r="N234" i="1" s="1"/>
  <c r="M233" i="1"/>
  <c r="N233" i="1" s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M210" i="1"/>
  <c r="N210" i="1" s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4" i="1"/>
  <c r="N194" i="1" s="1"/>
  <c r="M193" i="1"/>
  <c r="N193" i="1" s="1"/>
  <c r="M192" i="1"/>
  <c r="N192" i="1" s="1"/>
  <c r="M191" i="1"/>
  <c r="N191" i="1" s="1"/>
  <c r="M190" i="1"/>
  <c r="N190" i="1" s="1"/>
  <c r="N189" i="1"/>
  <c r="M189" i="1"/>
  <c r="N188" i="1"/>
  <c r="M188" i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N182" i="1" s="1"/>
  <c r="M181" i="1"/>
  <c r="N181" i="1" s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M165" i="1"/>
  <c r="N165" i="1" s="1"/>
  <c r="N164" i="1"/>
  <c r="M164" i="1"/>
  <c r="M163" i="1"/>
  <c r="N163" i="1" s="1"/>
  <c r="N162" i="1"/>
  <c r="M162" i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N152" i="1"/>
  <c r="M152" i="1"/>
  <c r="N151" i="1"/>
  <c r="M151" i="1"/>
  <c r="M150" i="1"/>
  <c r="N150" i="1" s="1"/>
  <c r="M149" i="1"/>
  <c r="N149" i="1" s="1"/>
  <c r="M148" i="1"/>
  <c r="N148" i="1" s="1"/>
  <c r="M147" i="1"/>
  <c r="N147" i="1" s="1"/>
  <c r="M146" i="1"/>
  <c r="N146" i="1" s="1"/>
  <c r="M145" i="1"/>
  <c r="N145" i="1" s="1"/>
  <c r="M144" i="1"/>
  <c r="N144" i="1" s="1"/>
  <c r="M143" i="1"/>
  <c r="N143" i="1" s="1"/>
  <c r="N142" i="1"/>
  <c r="M142" i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M134" i="1"/>
  <c r="N134" i="1" s="1"/>
  <c r="M133" i="1"/>
  <c r="N133" i="1" s="1"/>
  <c r="N132" i="1"/>
  <c r="M132" i="1"/>
  <c r="M131" i="1"/>
  <c r="N131" i="1" s="1"/>
  <c r="M130" i="1"/>
  <c r="N130" i="1" s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N118" i="1" s="1"/>
  <c r="N117" i="1"/>
  <c r="M117" i="1"/>
  <c r="M116" i="1"/>
  <c r="N116" i="1" s="1"/>
  <c r="M115" i="1"/>
  <c r="N115" i="1" s="1"/>
  <c r="M114" i="1"/>
  <c r="N114" i="1" s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N105" i="1"/>
  <c r="M105" i="1"/>
  <c r="N104" i="1"/>
  <c r="M104" i="1"/>
  <c r="M103" i="1"/>
  <c r="N103" i="1" s="1"/>
  <c r="M102" i="1"/>
  <c r="N102" i="1" s="1"/>
  <c r="M101" i="1"/>
  <c r="N101" i="1" s="1"/>
  <c r="M100" i="1"/>
  <c r="N100" i="1" s="1"/>
  <c r="N99" i="1"/>
  <c r="M99" i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N90" i="1"/>
  <c r="M90" i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N78" i="1"/>
  <c r="M78" i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71" i="1"/>
  <c r="N71" i="1" s="1"/>
  <c r="N70" i="1"/>
  <c r="M70" i="1"/>
  <c r="M69" i="1"/>
  <c r="N69" i="1" s="1"/>
  <c r="M68" i="1"/>
  <c r="N68" i="1" s="1"/>
  <c r="M67" i="1"/>
  <c r="N67" i="1" s="1"/>
  <c r="N66" i="1"/>
  <c r="M66" i="1"/>
  <c r="M65" i="1"/>
  <c r="N65" i="1" s="1"/>
  <c r="M64" i="1"/>
  <c r="N64" i="1" s="1"/>
  <c r="M63" i="1"/>
  <c r="N63" i="1" s="1"/>
  <c r="M62" i="1"/>
  <c r="N62" i="1" s="1"/>
  <c r="M61" i="1"/>
  <c r="N61" i="1" s="1"/>
  <c r="N60" i="1"/>
  <c r="M60" i="1"/>
  <c r="M59" i="1"/>
  <c r="N59" i="1" s="1"/>
  <c r="N58" i="1"/>
  <c r="M58" i="1"/>
  <c r="N57" i="1"/>
  <c r="M57" i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N31" i="1"/>
  <c r="M31" i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N20" i="1"/>
  <c r="M20" i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N2" i="1"/>
  <c r="M2" i="1"/>
</calcChain>
</file>

<file path=xl/sharedStrings.xml><?xml version="1.0" encoding="utf-8"?>
<sst xmlns="http://schemas.openxmlformats.org/spreadsheetml/2006/main" count="4318" uniqueCount="950">
  <si>
    <t>Sucursal</t>
  </si>
  <si>
    <t>Cajero</t>
  </si>
  <si>
    <t>Marca</t>
  </si>
  <si>
    <t>Marca herramienta</t>
  </si>
  <si>
    <t>Fecha descarga arqueo</t>
  </si>
  <si>
    <t xml:space="preserve">Fecha Arqueo </t>
  </si>
  <si>
    <t>Hora Arqueo</t>
  </si>
  <si>
    <t>Efectivo Arqueado /Arqueo fisico saldo contadores</t>
  </si>
  <si>
    <t xml:space="preserve">Saldo Contable </t>
  </si>
  <si>
    <t>dispensado_corte_arqueo</t>
  </si>
  <si>
    <t>recibido_corte_arqueo</t>
  </si>
  <si>
    <t>Remanente /Provisión /Ajustes</t>
  </si>
  <si>
    <t>Diferencia</t>
  </si>
  <si>
    <t>Naturaleza</t>
  </si>
  <si>
    <t>Gestión a Realizar</t>
  </si>
  <si>
    <t>Documento responsable</t>
  </si>
  <si>
    <t>BELLTECH</t>
  </si>
  <si>
    <t>14:01:00</t>
  </si>
  <si>
    <t>ACLARAR DIFERENCIA Y REPETIR EL ARQUEO</t>
  </si>
  <si>
    <t>08:57:00</t>
  </si>
  <si>
    <t>Cajero cuadrado, sin observación por parte de la sucursal</t>
  </si>
  <si>
    <t>11:06:00</t>
  </si>
  <si>
    <t>DIEBOLD</t>
  </si>
  <si>
    <t>15:26:24</t>
  </si>
  <si>
    <t>La diferencia es contabilizada por la Gerencia De Autoservicios y Efectivo de manera centralizada a la cuenta de sobrantes 279510020 el 03/03/2026</t>
  </si>
  <si>
    <t>08:46:00</t>
  </si>
  <si>
    <t>09:25:00</t>
  </si>
  <si>
    <t>15:28:00</t>
  </si>
  <si>
    <t>11:23:00</t>
  </si>
  <si>
    <t>La diferencia es contabilizada por la Gerencia De Autoservicios y Efectivo de manera centralizada a la cuenta de faltantes 168710093 el 03/03/2026, esta diferencia ingresa a proceso de investigación en el área para identificar a que corresponde.</t>
  </si>
  <si>
    <t>09:43:00</t>
  </si>
  <si>
    <t>10:41:00</t>
  </si>
  <si>
    <t>09:45:00</t>
  </si>
  <si>
    <t>REPITIERON ARQUEO</t>
  </si>
  <si>
    <t>10:25:00</t>
  </si>
  <si>
    <t>09:20:00</t>
  </si>
  <si>
    <t>10:16:00</t>
  </si>
  <si>
    <t>09:41:00</t>
  </si>
  <si>
    <t>11:48:00</t>
  </si>
  <si>
    <t>09:06:00</t>
  </si>
  <si>
    <t>10:53:00</t>
  </si>
  <si>
    <t>10:04:00</t>
  </si>
  <si>
    <t>10:18:00</t>
  </si>
  <si>
    <t>10:44:00</t>
  </si>
  <si>
    <t>09:32:00</t>
  </si>
  <si>
    <t>08:41:00</t>
  </si>
  <si>
    <t>09:05:00</t>
  </si>
  <si>
    <t>09:03:00</t>
  </si>
  <si>
    <t>09:35:00</t>
  </si>
  <si>
    <t>15:25:00</t>
  </si>
  <si>
    <t>12:28:41</t>
  </si>
  <si>
    <t>09:42:00</t>
  </si>
  <si>
    <t>09:26:00</t>
  </si>
  <si>
    <t>09:23:00</t>
  </si>
  <si>
    <t>10:43:00</t>
  </si>
  <si>
    <t>08:50:00</t>
  </si>
  <si>
    <t>10:34:00</t>
  </si>
  <si>
    <t>15:45:00</t>
  </si>
  <si>
    <t>08:55:00</t>
  </si>
  <si>
    <t>09:04:00</t>
  </si>
  <si>
    <t>11:29:00</t>
  </si>
  <si>
    <t>10:03:00</t>
  </si>
  <si>
    <t>08:38:00</t>
  </si>
  <si>
    <t>13:43:00</t>
  </si>
  <si>
    <t>13:02:00</t>
  </si>
  <si>
    <t>09:56:00</t>
  </si>
  <si>
    <t>09:40:00</t>
  </si>
  <si>
    <t>09:29:00</t>
  </si>
  <si>
    <t>09:17:00</t>
  </si>
  <si>
    <t>10:23:00</t>
  </si>
  <si>
    <t>14:22:00</t>
  </si>
  <si>
    <t>08:43:00</t>
  </si>
  <si>
    <t>09:47:00</t>
  </si>
  <si>
    <t>09:37:00</t>
  </si>
  <si>
    <t>15:49:00</t>
  </si>
  <si>
    <t>El faltante $2.539.000 es cruzado con sobrante contabilizado el día 06/02/2026 el cual es reversado por la seccion el día 03/03/2026</t>
  </si>
  <si>
    <t>11:09:00</t>
  </si>
  <si>
    <t>09:08:00</t>
  </si>
  <si>
    <t>15:31:00</t>
  </si>
  <si>
    <t>La diferencia es contabilizada por la Gerencia De Autoservicios y Efectivo de manera centralizada a la cuenta de sobrantes 279510020 el 04/03/2026</t>
  </si>
  <si>
    <t>15:40:00</t>
  </si>
  <si>
    <t>14:51:00</t>
  </si>
  <si>
    <t>11:03:00</t>
  </si>
  <si>
    <t>La diferencia es contabilizada por la Gerencia De Autoservicios y Efectivo de manera centralizada a la cuenta de faltantes 168710093 el 04/03/2026, esta diferencia ingresa a proceso de investigación en el área para identificar a que corresponde.</t>
  </si>
  <si>
    <t>09:14:00</t>
  </si>
  <si>
    <t>09:16:00</t>
  </si>
  <si>
    <t>El faltante de $19.300 es cruzado con sobrante contabilizado el día 23/02/2026 el cual es reversado por la seccion el día 04/03/2026</t>
  </si>
  <si>
    <t>14:47:00</t>
  </si>
  <si>
    <t>11:47:00</t>
  </si>
  <si>
    <t>El faltante de $1.127.000 es cruzado con sobrante contabilizado el día 17/02/2026 el cual es reversado por la seccion el día 04/03/2026</t>
  </si>
  <si>
    <t>10:17:00</t>
  </si>
  <si>
    <t>09:00:00</t>
  </si>
  <si>
    <t>08:06:00</t>
  </si>
  <si>
    <t>09:58:00</t>
  </si>
  <si>
    <t>08:49:00</t>
  </si>
  <si>
    <t>15:57:29</t>
  </si>
  <si>
    <t>15:37:00</t>
  </si>
  <si>
    <t>10:54:00</t>
  </si>
  <si>
    <t>08:34:00</t>
  </si>
  <si>
    <t>El faltante  de $50 es cruzado con sobrante contabilizado el día 27/02/2026 el cual es reversado por la seccion el día 04/03/2026</t>
  </si>
  <si>
    <t>14:26:00</t>
  </si>
  <si>
    <t>11:20:00</t>
  </si>
  <si>
    <t>11:36:00</t>
  </si>
  <si>
    <t>14:49:00</t>
  </si>
  <si>
    <t>10:39:00</t>
  </si>
  <si>
    <t>09:09:00</t>
  </si>
  <si>
    <t>16:33:00</t>
  </si>
  <si>
    <t>10:59:00</t>
  </si>
  <si>
    <t>14:44:00</t>
  </si>
  <si>
    <t>08:22:00</t>
  </si>
  <si>
    <t>16:44:00</t>
  </si>
  <si>
    <t>10:48:00</t>
  </si>
  <si>
    <t>La diferencia es contabilizada por la Gerencia De Autoservicios y Efectivo de manera centralizada a la cuenta de sobrantes 279510020 el 05/03/2026</t>
  </si>
  <si>
    <t>10:19:00</t>
  </si>
  <si>
    <t>09:28:33</t>
  </si>
  <si>
    <t>16:57:00</t>
  </si>
  <si>
    <t>14:59:00</t>
  </si>
  <si>
    <t>11:34:00</t>
  </si>
  <si>
    <t>09:14:30</t>
  </si>
  <si>
    <t>08:05:00</t>
  </si>
  <si>
    <t>08:13:00</t>
  </si>
  <si>
    <t>15:52:00</t>
  </si>
  <si>
    <t>17:18:00</t>
  </si>
  <si>
    <t>09:15:00</t>
  </si>
  <si>
    <t>La diferencia es contabilizada por la Gerencia De Autoservicios y Efectivo de manera centralizada a la cuenta de faltantes 168710093 el 05/03/2026, esta diferencia ingresa a proceso de investigación en el área para identificar a que corresponde.</t>
  </si>
  <si>
    <t>14:37:00</t>
  </si>
  <si>
    <t>10:22:00</t>
  </si>
  <si>
    <t>El faltante  de $3.600.000 es cruzado con sobrante contabilizado el día 03/03/2026 el cual es reversado por la seccion el día 05/03/2026</t>
  </si>
  <si>
    <t>16:36:00</t>
  </si>
  <si>
    <t>08:08:00</t>
  </si>
  <si>
    <t>16:02:00</t>
  </si>
  <si>
    <t>ACLARAR DIFERENCIA Y REPETIR EL ARQUEO ( SE ESCRIBE A LA SUC - SE ENCONTRO REMANENTE GRABADO EN LA CUENTA DE CAJA)</t>
  </si>
  <si>
    <t>10:28:00</t>
  </si>
  <si>
    <t>00:00:00</t>
  </si>
  <si>
    <t>17:31:00</t>
  </si>
  <si>
    <t>08:53:00</t>
  </si>
  <si>
    <t>15:02:00</t>
  </si>
  <si>
    <t>El faltante  de $89.900 es cruzado con sobrante contabilizado el día 03/03/2026 el cual es reversado por la seccion el día 05/03/2026</t>
  </si>
  <si>
    <t>08:27:17</t>
  </si>
  <si>
    <t>09:26:40</t>
  </si>
  <si>
    <t>10:01:00</t>
  </si>
  <si>
    <t>10:13:00</t>
  </si>
  <si>
    <t>13:49:00</t>
  </si>
  <si>
    <t>15:27:00</t>
  </si>
  <si>
    <t>09:11:00</t>
  </si>
  <si>
    <t>11:40:00</t>
  </si>
  <si>
    <t xml:space="preserve">ACLARAR DIFERENCIA Y REPETIR EL ARQUEO </t>
  </si>
  <si>
    <t>08:30:00</t>
  </si>
  <si>
    <t>La diferencia es contabilizada por la Gerencia De Autoservicios y Efectivo de manera centralizada a la cuenta de sobrantes 279510020 el 06/03/2026</t>
  </si>
  <si>
    <t>15:10:00</t>
  </si>
  <si>
    <t>09:51:00</t>
  </si>
  <si>
    <t>07:50:00</t>
  </si>
  <si>
    <t>14:11:00</t>
  </si>
  <si>
    <t>11:01:00</t>
  </si>
  <si>
    <t>11:31:00</t>
  </si>
  <si>
    <t>El faltante $4.900 es cruzado con sobrante contabilizado el día 03/03/2026 el cual es reversado por la seccion el día 06/03/2026</t>
  </si>
  <si>
    <t>08:28:00</t>
  </si>
  <si>
    <t>El faltante $5.895.000 es cruzado con sobrante contabilizado el día 04/03/2026 el cual es reversado por la seccion el día 06/03/2026</t>
  </si>
  <si>
    <t>10:35:00</t>
  </si>
  <si>
    <t>09:54:00</t>
  </si>
  <si>
    <t>16:21:00</t>
  </si>
  <si>
    <t>15:19:00</t>
  </si>
  <si>
    <t>08:36:00</t>
  </si>
  <si>
    <t>El faltante $1.100 es cruzado con sobrante contabilizado el día 04/03/2026 el cual es reversado por la seccion el día 06/03/2026</t>
  </si>
  <si>
    <t>09:12:00</t>
  </si>
  <si>
    <t>El faltante $5.426.600 es cruzado con sobrante contabilizado el día 04/03/2026 el cual es reversado por la seccion el día 06/03/2026</t>
  </si>
  <si>
    <t>11:54:00</t>
  </si>
  <si>
    <t>15:21:00</t>
  </si>
  <si>
    <t>08:00:00</t>
  </si>
  <si>
    <t>09:34:00</t>
  </si>
  <si>
    <t>El faltante $507.000 es cruzado con sobrante contabilizado el día 04/03/2026 el cual es reversado por la seccion el día 06/03/2026</t>
  </si>
  <si>
    <t>El faltante $5.854.000 es cruzado con sobrante contabilizado el día 04/03/2026 el cual es reversado por la seccion el día 06/03/2026</t>
  </si>
  <si>
    <t>El faltante $5.130.000 es cruzado con sobrante contabilizado el día 04/03/2026 el cual es reversado por la seccion el día 06/03/2026</t>
  </si>
  <si>
    <t>02:41:00</t>
  </si>
  <si>
    <t>07:38:00</t>
  </si>
  <si>
    <t>La diferencia es contabilizada por la Gerencia De Autoservicios y Efectivo de manera centralizada a la cuenta de faltantes 168710093 el 06/03/2026, esta diferencia ingresa a proceso de investigación en el área para identificar a que corresponde.</t>
  </si>
  <si>
    <t>09:22:00</t>
  </si>
  <si>
    <t>El faltante $88.600 es cruzado con sobrante contabilizado el día 03/03/2026 el cual es reversado por la seccion el día 06/03/2026</t>
  </si>
  <si>
    <t>10:06:00</t>
  </si>
  <si>
    <t>09:27:00</t>
  </si>
  <si>
    <t>El faltante $50.000 es cruzado con sobrante contabilizado el día 04/03/2026 el cual es reversado por la seccion el día 06/03/2026</t>
  </si>
  <si>
    <t>08:35:00</t>
  </si>
  <si>
    <t>07:47:00</t>
  </si>
  <si>
    <t>El faltante $5.250.000 es cruzado con sobrante contabilizado el día 04/03/2026 el cual es reversado por la seccion el día 06/03/2026</t>
  </si>
  <si>
    <t>El faltante $2.510.000 es cruzado con sobrante contabilizado el día 04/03/2026 el cual es reversado por la seccion el día 06/03/2026</t>
  </si>
  <si>
    <t>09:33:00</t>
  </si>
  <si>
    <t>09:10:00</t>
  </si>
  <si>
    <t>10:35:58</t>
  </si>
  <si>
    <t>El faltante $9.960.550 es cruzado con sobrante contabilizado el día 04/03/2026 el cual es reversado por la seccion el día 06/03/2026</t>
  </si>
  <si>
    <t>09:36:00</t>
  </si>
  <si>
    <t>El faltante $5.355.000 es cruzado con sobrante contabilizado el día 04/03/2026 el cual es reversado por la seccion el día 06/03/2026</t>
  </si>
  <si>
    <t>14:28:00</t>
  </si>
  <si>
    <t>15:30:00</t>
  </si>
  <si>
    <t>08:07:00</t>
  </si>
  <si>
    <t>09:19:00</t>
  </si>
  <si>
    <t>El faltante $2.945.000 es cruzado con sobrante contabilizado el día 04/03/2026 el cual es reversado por la seccion el día 06/03/2026</t>
  </si>
  <si>
    <t>10:33:00</t>
  </si>
  <si>
    <t>08:21:00</t>
  </si>
  <si>
    <t>07:58:00</t>
  </si>
  <si>
    <t>08:33:00</t>
  </si>
  <si>
    <t>El faltante $5.410.000 es cruzado con sobrante contabilizado el día 04/03/2026 el cual es reversado por la seccion el día 06/03/2026</t>
  </si>
  <si>
    <t>09:55:00</t>
  </si>
  <si>
    <t>11:59:00</t>
  </si>
  <si>
    <t>El faltante $1.310.000 es cruzado con sobrante contabilizado el día 04/03/2026 el cual es reversado por la seccion el día 06/03/2026</t>
  </si>
  <si>
    <t>15:03:00</t>
  </si>
  <si>
    <t>El faltante $2.374.000 es cruzado con sobrante contabilizado el día 04/03/2026 el cual es reversado por la seccion el día 06/03/2026</t>
  </si>
  <si>
    <t>11:12:00</t>
  </si>
  <si>
    <t>11:46:00</t>
  </si>
  <si>
    <t>08:42:00</t>
  </si>
  <si>
    <t>09:13:00</t>
  </si>
  <si>
    <t>11:21:00</t>
  </si>
  <si>
    <t>12:22:00</t>
  </si>
  <si>
    <t>07:51:00</t>
  </si>
  <si>
    <t>13:59:00</t>
  </si>
  <si>
    <t>15:11:00</t>
  </si>
  <si>
    <t xml:space="preserve"> El faltante $2.350.700 es cruzado con sobrante contabilizado el día 04/03/2026 el cual es reversado por la seccion el día 09/03/2026
REPITIERON ARQUEO</t>
  </si>
  <si>
    <t>08:42:57</t>
  </si>
  <si>
    <t>ACLARAR DIFERENCIA Y REPETIR EL ARQUEO El faltante $7.060.000 es cruzado con sobrante contabilizado el día 04/03/2026 y sobrante contabilizado el día 06/03/2026 $40.000 el cual es reversado por la seccion el día 09/03/2026</t>
  </si>
  <si>
    <t>La diferencia es contabilizada por la Gerencia De Autoservicios y Efectivo de manera centralizada a la cuenta de sobrantes 279510020 el 09/03/2026</t>
  </si>
  <si>
    <t>La diferencia es contabilizada por la Gerencia De Autoservicios y Efectivo de manera centralizada a la cuenta de faltantes 168710093 el 09/03/2026, esta diferencia ingresa a proceso de investigación en el área para identificar a que corresponde.</t>
  </si>
  <si>
    <t>14:50:00</t>
  </si>
  <si>
    <t>11:53:00</t>
  </si>
  <si>
    <t>09:52:00</t>
  </si>
  <si>
    <t>El faltante $3.465.000 es cruzado con sobrante contabilizado el día 05/03/2026 el cual es reversado por la seccion el día 09/03/2026</t>
  </si>
  <si>
    <t>16:26:00</t>
  </si>
  <si>
    <t>15:39:00</t>
  </si>
  <si>
    <t>10:52:00</t>
  </si>
  <si>
    <t>15:00:00</t>
  </si>
  <si>
    <t>14:33:00</t>
  </si>
  <si>
    <t>14:16:00</t>
  </si>
  <si>
    <t>16:05:00</t>
  </si>
  <si>
    <t>16:27:00</t>
  </si>
  <si>
    <t>El faltante $126.000 es cruzado con sobrante contabilizado el día 05/03/2026 el cual es reversado por la seccion el día 09/03/2026</t>
  </si>
  <si>
    <t>12:04:00</t>
  </si>
  <si>
    <t>14:58:00</t>
  </si>
  <si>
    <t>15:23:00</t>
  </si>
  <si>
    <t>El faltante $2.880.000 es cruzado con sobrante contabilizado el día 06/03/2026 el cual es reversado por la seccion el día 09/03/2026</t>
  </si>
  <si>
    <t>La diferencia es contabilizada por la Gerencia De Autoservicios y Efectivo de manera centralizada a la cuenta de sobrantes 279510020 el 10/03/2026</t>
  </si>
  <si>
    <t>09:50:00</t>
  </si>
  <si>
    <t>09:07:00</t>
  </si>
  <si>
    <t>14:19:00</t>
  </si>
  <si>
    <t>08:54:00</t>
  </si>
  <si>
    <t>09:46:00</t>
  </si>
  <si>
    <t>El faltante $5.600 es cruzado con sobrante contabilizado el día 05/03/2026 el cual es reversado por la seccion el día 10/03/2026</t>
  </si>
  <si>
    <t>15:17:00</t>
  </si>
  <si>
    <t>08:52:00</t>
  </si>
  <si>
    <t>El faltante $775.000 es cruzado con sobrante contabilizado el día 06/03/2026 el cual es reversado por la seccion el día 10/03/2026</t>
  </si>
  <si>
    <t>10:20:00</t>
  </si>
  <si>
    <t>El faltante $320.000 es cruzado con sobrante contabilizado el día 06/03/2026 el cual es reversado por la seccion el día 10/03/2026</t>
  </si>
  <si>
    <t>14:05:00</t>
  </si>
  <si>
    <t>15:47:00</t>
  </si>
  <si>
    <t>14:08:00</t>
  </si>
  <si>
    <t>16:24:00</t>
  </si>
  <si>
    <t>14:29:00</t>
  </si>
  <si>
    <t>El faltante $691.050 es cruzado con sobrante contabilizado el día 06/03/2026 el cual es reversado por la seccion el día 10/03/2026</t>
  </si>
  <si>
    <t>10:45:00</t>
  </si>
  <si>
    <t>El faltante $57.000 es cruzado con sobrante contabilizado el día 09/03/2026 el cual es reversado por la seccion el día 10/03/2026</t>
  </si>
  <si>
    <t>10:24:00</t>
  </si>
  <si>
    <t>La diferencia es contabilizada por la Gerencia De Autoservicios y Efectivo de manera centralizada a la cuenta de faltantes 168710093 el 01003/2026, esta diferencia ingresa a proceso de investigación en el área para identificar a que corresponde.</t>
  </si>
  <si>
    <t>11:00:00</t>
  </si>
  <si>
    <t>10:37:00</t>
  </si>
  <si>
    <t>El faltante $10.000 es cruzado con sobrante contabilizado el día 05/03/2026 el cual es reversado por la seccion el día 10/03/2026</t>
  </si>
  <si>
    <t>El faltante $90.000 es cruzado con sobrante contabilizado el día 06/03/2026 el cual es reversado por la seccion el día 10/03/2026</t>
  </si>
  <si>
    <t>10:02:00</t>
  </si>
  <si>
    <t>10:57:00</t>
  </si>
  <si>
    <t>10:21:00</t>
  </si>
  <si>
    <t>08:51:00</t>
  </si>
  <si>
    <t>La diferencia es contabilizada por la Gerencia De Autoservicios y Efectivo de manera centralizada a la cuenta de faltantes 168710093 el 11/03/2026, esta diferencia ingresa a proceso de investigación en el área para identificar a que corresponde.
El faltante $1.181.000 es cruzado con sobrante contabilizado el día 10/03/2026 el cual es reversado por la seccion el día 11/03/2026</t>
  </si>
  <si>
    <t>La diferencia es contabilizada por la Gerencia De Autoservicios y Efectivo de manera centralizada a la cuenta de faltantes 168710093 el 11/03/2026, esta diferencia ingresa a proceso de investigación en el área para identificar a que corresponde.</t>
  </si>
  <si>
    <t>El faltante $1.300 es cruzado con sobrante contabilizado el día 10/03/2026 el cual es reversado por la seccion el día 11/03/2026</t>
  </si>
  <si>
    <t>La diferencia es contabilizada por la Gerencia De Autoservicios y Efectivo de manera centralizada a la cuenta de sobrantes 279510020 el 11/03/2026</t>
  </si>
  <si>
    <t>El faltante $200.000 es cruzado con sobrante contabilizado el día 04/03/2026 el cual es reversado por la seccion el día 11/03/2026</t>
  </si>
  <si>
    <t>El faltante $217.800 es cruzado con sobrante contabilizado el día 10/03/2026 el cual es reversado por la seccion el día 11/03/2026</t>
  </si>
  <si>
    <t>11:10:00</t>
  </si>
  <si>
    <t>09:02:00</t>
  </si>
  <si>
    <t>15:01:00</t>
  </si>
  <si>
    <t>08:56:00</t>
  </si>
  <si>
    <t>225,743,000</t>
  </si>
  <si>
    <t>10:56:00</t>
  </si>
  <si>
    <t>11:14:00</t>
  </si>
  <si>
    <t>El faltante $22.400.000 es cruzado con sobrante contabilizado el día 06/03/2026 el cual es reversado por la seccion el día 11/03/2026</t>
  </si>
  <si>
    <t>08:45:00</t>
  </si>
  <si>
    <t>09:21:00</t>
  </si>
  <si>
    <t>09:57:00</t>
  </si>
  <si>
    <t>10:09:00</t>
  </si>
  <si>
    <t>09:49:00</t>
  </si>
  <si>
    <t>09:53:00</t>
  </si>
  <si>
    <t>El faltante $639.950 es cruzado con sobrante contabilizado el día 04/03/2026 el cual es reversado por la seccion el día 11/03/2026</t>
  </si>
  <si>
    <t>14:00:00</t>
  </si>
  <si>
    <t>10:00:00</t>
  </si>
  <si>
    <t>11:30:00</t>
  </si>
  <si>
    <t>181,539,000</t>
  </si>
  <si>
    <t>10:14:00</t>
  </si>
  <si>
    <t>10:05:00</t>
  </si>
  <si>
    <t>El faltante $345.050 es cruzado con sobrante contabilizado el día 06/03/2026 el cual es reversado por la seccion el día 11/03/2026</t>
  </si>
  <si>
    <t>10:29:00</t>
  </si>
  <si>
    <t>16:17:00</t>
  </si>
  <si>
    <t>REPITIERON ARQUEO, CON SALDO EN ROJO AL 10 MARZO</t>
  </si>
  <si>
    <t>14:36:00</t>
  </si>
  <si>
    <t>10:50:00</t>
  </si>
  <si>
    <t>El faltante $1.910.000 es cruzado con sobrante contabilizado el día 10/03/2026 el cual es reversado por la seccion el día 11/03/2026</t>
  </si>
  <si>
    <t>16:12:00</t>
  </si>
  <si>
    <t>10:27:00</t>
  </si>
  <si>
    <t>09:30:00</t>
  </si>
  <si>
    <t>El faltante $1.040.000 es cruzado con sobrante contabilizado el día 10/03/2026 el cual es reversado por la seccion el día 11/03/2026</t>
  </si>
  <si>
    <t>EN ESPERA DE ACLARAR, HOY SE GRABA DOS REMANENTES DEL 23 DE FEB</t>
  </si>
  <si>
    <t>La diferencia es contabilizada por la Gerencia De Autoservicios y Efectivo de manera centralizada a la cuenta de sobrantes 279510020 el 12/03/2026</t>
  </si>
  <si>
    <t>09:31:00</t>
  </si>
  <si>
    <t>09:21:36</t>
  </si>
  <si>
    <t>14:53:00</t>
  </si>
  <si>
    <t>11:22:00</t>
  </si>
  <si>
    <t>17:29:00</t>
  </si>
  <si>
    <t>13:06:00</t>
  </si>
  <si>
    <t>08:22:50</t>
  </si>
  <si>
    <t>La diferencia es contabilizada por la Gerencia De Autoservicios y Efectivo de manera centralizada a la cuenta de faltantes 168710093 el 12/03/2026, esta diferencia ingresa a proceso de investigación en el área para identificar a que corresponde.
El faltante $1.929.550 es cruzado con sobrante contabilizado el día 10/03/2026 el cual es reversado por la seccion el día 12/03/2026</t>
  </si>
  <si>
    <t>09:28:00</t>
  </si>
  <si>
    <t>El faltante $5.875.000 es cruzado con sobrante contabilizado el día 04/03/2026 el cual es reversado por la seccion el día 12/03/2026</t>
  </si>
  <si>
    <t>El faltante $13.101.150 es cruzado con sobrante contabilizado el día 06/03/2026 el cual es reversado por la seccion el día 12/03/2026</t>
  </si>
  <si>
    <t>08:40:00</t>
  </si>
  <si>
    <t>12:26:00</t>
  </si>
  <si>
    <t>18:16:00</t>
  </si>
  <si>
    <t>15:13:00</t>
  </si>
  <si>
    <t>EN ESPERA DE ACLARAR, HOY SE GRABA UN REMANENTE DEL 23 DE FEB</t>
  </si>
  <si>
    <t>09:38:00</t>
  </si>
  <si>
    <t>El faltante $100.500 es cruzado con sobrante contabilizado el día 10/03/2026 el cual es reversado por la seccion el día 12/03/2026</t>
  </si>
  <si>
    <t>14:12:00</t>
  </si>
  <si>
    <t>La diferencia es contabilizada por la Gerencia De Autoservicios y Efectivo de manera centralizada a la cuenta de faltantes 168710093 el 12/03/2026, esta diferencia ingresa a proceso de investigación en el área para identificar a que corresponde.</t>
  </si>
  <si>
    <t>09:37:03</t>
  </si>
  <si>
    <t>La diferencia es contabilizada por la Gerencia De Autoservicios y Efectivo de manera centralizada a la cuenta de faltantes 168710093 el 12/03/2026, esta diferencia ingresa a proceso de investigación en el área para identificar a que corresponde.
El faltante $1.488.550 es cruzado con sobrante contabilizado el día 04/03/2026 el cual es reversado por la seccion el día 12/03/2026</t>
  </si>
  <si>
    <t>08:47:00</t>
  </si>
  <si>
    <t>08:24:00</t>
  </si>
  <si>
    <t>81,220,000</t>
  </si>
  <si>
    <t>09:48:00</t>
  </si>
  <si>
    <t>El faltante $2.280.000 es cruzado con sobrante contabilizado el día 04/03/2026 el cual es reversado por la seccion el día 12/03/2026</t>
  </si>
  <si>
    <t>17:19:00</t>
  </si>
  <si>
    <t>El faltante $40.000 es cruzado con sobrante contabilizado el día 11/03/2026 el cual es reversado por la seccion el día 12/03/2026</t>
  </si>
  <si>
    <t>171,971,000</t>
  </si>
  <si>
    <t>La diferencia es contabilizada por la Gerencia De Autoservicios y Efectivo de manera centralizada a la cuenta de faltantes 168710093 el 13/03/2026, esta diferencia ingresa a proceso de investigación en el área para identificar a que corresponde.</t>
  </si>
  <si>
    <t>10:31:00</t>
  </si>
  <si>
    <t>La diferencia es contabilizada por la Gerencia De Autoservicios y Efectivo de manera centralizada a la cuenta de sobrantes 279510020 el 13/03/2026</t>
  </si>
  <si>
    <t>12:15:00</t>
  </si>
  <si>
    <t>El faltante $2.300.000 es cruzado con sobrante contabilizado el día 04/03/2026 $1.170.000 y sobrante contabilizado el día 06/03/2026 $1.130.000 el cual es reversado por la seccion el día 13/03/2026</t>
  </si>
  <si>
    <t>10:46:00</t>
  </si>
  <si>
    <t>El faltante $2.949.950 es cruzado con sobrante contabilizado el día 03/03/2026 $10.000, 04/03/2026 $1.340.000 y  11/03/2026 $1.599.950 el cual es reversado por la seccion el día 13/03/2026</t>
  </si>
  <si>
    <t>13:28:00</t>
  </si>
  <si>
    <t>15:53:00</t>
  </si>
  <si>
    <t>10:42:00</t>
  </si>
  <si>
    <t>09:18:00</t>
  </si>
  <si>
    <t>15:09:00</t>
  </si>
  <si>
    <t>El faltante $5.270.000 es cruzado con sobrante contabilizado el día 10/03/2026 $1.920.000, sobrante contabilizado el día 11/03/2026 $1.150.000 y sobrante contabilizado el día 12/03/2026 $2.200.000 el cual es reversado por la seccion el día 13/03/2026</t>
  </si>
  <si>
    <t>09:07:40</t>
  </si>
  <si>
    <t>15:33:00</t>
  </si>
  <si>
    <t>16:19:00</t>
  </si>
  <si>
    <t>11:15:00</t>
  </si>
  <si>
    <t>11:16:00</t>
  </si>
  <si>
    <t>El faltante $379.950 es cruzado con sobrante contabilizado el día 04/03/2026 el cual es reversado por la seccion el día 13/03/2026</t>
  </si>
  <si>
    <t>09:27:40</t>
  </si>
  <si>
    <t>11:32:00</t>
  </si>
  <si>
    <t>13,905,000</t>
  </si>
  <si>
    <t>08:18:00</t>
  </si>
  <si>
    <t>El faltante $6.820.000 es cruzado con sobrante contabilizado el día 10/03/2026 $2.590.000, sobrante contabilizado el día 11/03/2026 $2.970.000 y sobrante contabilizado el día 12/03/2026 $1.260.000 el cual es reversado por la seccion el día 13/03/2026</t>
  </si>
  <si>
    <t>14:14:00</t>
  </si>
  <si>
    <t>El faltante $155.000 es cruzado con sobrante contabilizado el día 10/03/2026 $20.000  y sobrante contabilizado el día 11/03/2026 $135.000 el cual es reversado por la seccion el día 13/03/2026</t>
  </si>
  <si>
    <t>15:54:00</t>
  </si>
  <si>
    <t>11:07:38</t>
  </si>
  <si>
    <t>El faltante $797.000 es cruzado con sobrante contabilizado el día 04/03/2026 el cual es reversado por la seccion el día 13/03/2026</t>
  </si>
  <si>
    <t>ACLARAR DIFERENCIA Y REPETIR EL ARQUEO
El faltante $5.720.000 es cruzado con sobrante contabilizado el día 06/03/2026 $1.770.000, sobrante contabilizado el día 10/03/2026 $700.000, sobrante contabilizado el día 11/03/2026 $290.000 y sobrante contabilizado el día 12/03/2026 $1.770.000, el cual es reversado por la seccion el día 13/03/2026</t>
  </si>
  <si>
    <t>El faltante $1.124.000 es cruzado con sobrante contabilizado el día 06/03/2026 el cual es reversado por la seccion el día 13/03/2026</t>
  </si>
  <si>
    <t>14:40:24</t>
  </si>
  <si>
    <t>El faltante $13.715.000 es cruzado con sobrante contabilizado el día 10/03/2026 el cual es reversado por la seccion el día 13/03/2026</t>
  </si>
  <si>
    <t>13:45:00</t>
  </si>
  <si>
    <t>9,750,000</t>
  </si>
  <si>
    <t>El faltante $3.470.500 es cruzado con sobrante contabilizado el día 04/03/2026 $1.140.000 y sobrante contabilizado el día 10/03/2026 $2.330.500 el cual es reversado por la seccion el día 13/03/2026</t>
  </si>
  <si>
    <t>08:59:00</t>
  </si>
  <si>
    <t>El faltante $2.409.950 es cruzado con sobrante contabilizado el día 10/03/2026 $2.202.000 y sobrante contabilizado el día 12/03/2026 $207.950 el cual es reversado por la seccion el día 13/03/2026</t>
  </si>
  <si>
    <t>14:09:00</t>
  </si>
  <si>
    <t>10:30:00</t>
  </si>
  <si>
    <t>16:25:00</t>
  </si>
  <si>
    <t>16:13:00</t>
  </si>
  <si>
    <t>15:24:00</t>
  </si>
  <si>
    <t>El faltante $710.000 es cruzado con sobrante contabilizado el día 12/03/2026 el cual es reversado por la seccion el día 13/03/2026</t>
  </si>
  <si>
    <t>El faltante $3.180.000 es cruzado con sobrante contabilizado el día 12/03/2026 el cual es reversado por la seccion el día 13/03/2026</t>
  </si>
  <si>
    <t>12:49:00</t>
  </si>
  <si>
    <t>16:22:00</t>
  </si>
  <si>
    <t>15:36:00</t>
  </si>
  <si>
    <t>El faltante $610.000 es cruzado con sobrante contabilizado el día 13/03/2026 ($490.000), el día 11/03/2026 ($120.000) el cual es reversado por la seccion el día 16/03/2026</t>
  </si>
  <si>
    <t>12:46:00</t>
  </si>
  <si>
    <t>El faltante $220.000 es cruzado con sobrante contabilizado el día 11/03/2026 ($220.000) el cual es reversado por la seccion el día 16/03/2026</t>
  </si>
  <si>
    <t>11:38:00</t>
  </si>
  <si>
    <t>El faltante $170.000 es cruzado con sobrante contabilizado el día 13/03/2026 ($100.000), el día 11/03/2026 ($20.000), el día 10/03/2026 ($50.000) el cual es reversado por la seccion el día 16/03/2026</t>
  </si>
  <si>
    <t>13:51:00</t>
  </si>
  <si>
    <t>11:07:00</t>
  </si>
  <si>
    <t>Gestión manual - Revisar por el personal encargado</t>
  </si>
  <si>
    <t>09:59:00</t>
  </si>
  <si>
    <t>El faltante $1.798.000 es cruzado con sobrante contabilizado el día 13/03/2026 ($1.798.000) el cual es reversado por la seccion el día 16/03/2026</t>
  </si>
  <si>
    <t>10:32:00</t>
  </si>
  <si>
    <t>El faltante $15.150.000 es cruzado con sobrante contabilizado el día 04/03/2026 ($15.150.000) el cual es reversado por la seccion el día 16/03/2026</t>
  </si>
  <si>
    <t>08:09:00</t>
  </si>
  <si>
    <t>El faltante $3.917.500 es cruzado con sobrante contabilizado el día 10/03/2026 ($1.995.000), el día 06/03/2026 ($1.276.000), el día 05/03/2026 ($646.500) el cual es reversado por la seccion el día 16/03/2026</t>
  </si>
  <si>
    <t>10:08:00</t>
  </si>
  <si>
    <t>15:04:00</t>
  </si>
  <si>
    <t>El faltante $55.000 es cruzado con sobrante contabilizado el día 11/03/2026 ($50.000), el día 10/03/2026 ($3.600), el día 06/03/2026 ($1.400) el cual es reversado por la seccion el día 16/03/2026</t>
  </si>
  <si>
    <t>El faltante $12.815.000 es cruzado con sobrante contabilizado el día 11/03/2026 ($12.815.000) el cual es reversado por la seccion el día 16/03/2026</t>
  </si>
  <si>
    <t>10:38:00</t>
  </si>
  <si>
    <t>El faltante $1.180.000 es cruzado con sobrante contabilizado el día 13/03/2026 ($880.000), el día 12/03/2026 ($300.000) el cual es reversado por la seccion el día 16/03/2026</t>
  </si>
  <si>
    <t>16:08:00</t>
  </si>
  <si>
    <t>13:27:00</t>
  </si>
  <si>
    <t>12:05:00</t>
  </si>
  <si>
    <t>14:40:00</t>
  </si>
  <si>
    <t>14:55:00</t>
  </si>
  <si>
    <t>Cod Suc</t>
  </si>
  <si>
    <t>Cajero.1</t>
  </si>
  <si>
    <t xml:space="preserve">Sucursal </t>
  </si>
  <si>
    <t>Lider de servicio</t>
  </si>
  <si>
    <t>SUBGERENTE</t>
  </si>
  <si>
    <t>FECHA ARQUEO</t>
  </si>
  <si>
    <t>FECHA REPROGRAMACION</t>
  </si>
  <si>
    <t>FECHA PROGRAMADA</t>
  </si>
  <si>
    <t>OBSERVACIÓN</t>
  </si>
  <si>
    <t>Multifuncional</t>
  </si>
  <si>
    <t>SAN ANDRES</t>
  </si>
  <si>
    <t>Didi Alejandra Pareja Medina</t>
  </si>
  <si>
    <t>PPOLO</t>
  </si>
  <si>
    <t>Nuevo 31 Julio, Sin servicio</t>
  </si>
  <si>
    <t>SABANETA AVES MARIA</t>
  </si>
  <si>
    <t>Sandra Milena Cardona Franco</t>
  </si>
  <si>
    <t>LUCRAMIR</t>
  </si>
  <si>
    <t>ARKADIA</t>
  </si>
  <si>
    <t>Ana Maria Echavarria Gonzalez</t>
  </si>
  <si>
    <t>NDUQUE</t>
  </si>
  <si>
    <t>CENTRO COMERCIAL LA ESTACIÓN CALI</t>
  </si>
  <si>
    <t>Hector Mario Rendon Ocampo</t>
  </si>
  <si>
    <t>MOCANO</t>
  </si>
  <si>
    <t>09 de Sep inicia a ser de suc</t>
  </si>
  <si>
    <t>CENTRAL DE ABASTOS B/MANGA</t>
  </si>
  <si>
    <t>Yenis Meybi Fernandez Marin</t>
  </si>
  <si>
    <t>LMPINILL</t>
  </si>
  <si>
    <t>instalan cajero 20 de enero</t>
  </si>
  <si>
    <t>SOLEDAD</t>
  </si>
  <si>
    <t>German Alcides Hernandez Vivero</t>
  </si>
  <si>
    <t>VAESTRAD</t>
  </si>
  <si>
    <t>CAÑAVERAL</t>
  </si>
  <si>
    <t>CEAUARIA</t>
  </si>
  <si>
    <t>2 Días</t>
  </si>
  <si>
    <t>MALLPLAZA CALI</t>
  </si>
  <si>
    <t>MCORRALE</t>
  </si>
  <si>
    <t>AVENTURA CENTRO COMERCIAL</t>
  </si>
  <si>
    <t>Katherine Zapata Cano</t>
  </si>
  <si>
    <t>CAALJARA</t>
  </si>
  <si>
    <t>ALTO PRADO</t>
  </si>
  <si>
    <t>Maria Teresa Chaves Ahumada</t>
  </si>
  <si>
    <t>FLOZANO</t>
  </si>
  <si>
    <t>NUEVO, DESDE EL 7 DE ENERO</t>
  </si>
  <si>
    <t>VIVA VILLAVICENCIO</t>
  </si>
  <si>
    <t>Juan Felipe Russi Gamboa</t>
  </si>
  <si>
    <t>LJROMERO</t>
  </si>
  <si>
    <t>MERCANTIL</t>
  </si>
  <si>
    <t>Victoria Eugenia Guaqueta Murcia</t>
  </si>
  <si>
    <t>DICARDEN</t>
  </si>
  <si>
    <t>ANDES</t>
  </si>
  <si>
    <t>JOGRESTR</t>
  </si>
  <si>
    <t>CENTRO COMERCIAL SANTAFE</t>
  </si>
  <si>
    <t>Nidya Marcela Poveda Sanchez</t>
  </si>
  <si>
    <t>SBOHORQU</t>
  </si>
  <si>
    <t>9 Julio consola</t>
  </si>
  <si>
    <t>PLAZA DE LAS AMERICAS</t>
  </si>
  <si>
    <t>Samuel Alexander Mendez Suarez</t>
  </si>
  <si>
    <t>SMALVARA</t>
  </si>
  <si>
    <t>SAN GIL</t>
  </si>
  <si>
    <t>Frank William Castillo Leal</t>
  </si>
  <si>
    <t>CARLBALL</t>
  </si>
  <si>
    <t>LA FRONTERA</t>
  </si>
  <si>
    <t>Natalia Zuluaga Rodriguez</t>
  </si>
  <si>
    <t>MARIADAG</t>
  </si>
  <si>
    <t>Nuevo 24 Junio</t>
  </si>
  <si>
    <t>ATM MF SUCAVENIDA EL POBLADO 1</t>
  </si>
  <si>
    <t>PCVARGAS</t>
  </si>
  <si>
    <t>Nuevo 26 de agosto, Sin servicio</t>
  </si>
  <si>
    <t>PARQUE WASHINGTON</t>
  </si>
  <si>
    <t>FRICAURT</t>
  </si>
  <si>
    <t>Provisionar con 9 millones y el cajero no funcionó</t>
  </si>
  <si>
    <t>CARABOBO</t>
  </si>
  <si>
    <t>FLLOPEZ</t>
  </si>
  <si>
    <t>AVENIDA JUNIN</t>
  </si>
  <si>
    <t>DJMONTOY</t>
  </si>
  <si>
    <t>AVENIDA SANTANDER</t>
  </si>
  <si>
    <t>Sergio Arias Pelaez</t>
  </si>
  <si>
    <t>CVALASQU</t>
  </si>
  <si>
    <t>CENTRO DE PAGOS FONTIBON</t>
  </si>
  <si>
    <t>Fabio Orlando Bosa Poveda</t>
  </si>
  <si>
    <t>jaolarte</t>
  </si>
  <si>
    <t>BUENAVISTA SANTA MARTA</t>
  </si>
  <si>
    <t>Alicia Minerva Fontalvo Reales</t>
  </si>
  <si>
    <t>MAVERGAR</t>
  </si>
  <si>
    <t>LIBERTADORES</t>
  </si>
  <si>
    <t>Yury Yaquelin Daza Congo</t>
  </si>
  <si>
    <t>YPARRA</t>
  </si>
  <si>
    <t>CENTRO COMERCIAL MAYORCA</t>
  </si>
  <si>
    <t>LMCALZAT</t>
  </si>
  <si>
    <t>ASTROCENTRO</t>
  </si>
  <si>
    <t>JHAMAYA</t>
  </si>
  <si>
    <t>ANTIGUO COUNTRY</t>
  </si>
  <si>
    <t>Kirsys Nadyra Robelto Sanchez</t>
  </si>
  <si>
    <t>SANDGARC</t>
  </si>
  <si>
    <t>AVENIDA 82</t>
  </si>
  <si>
    <t>MARIMOSQ</t>
  </si>
  <si>
    <t>BOULEVAR ENVIGADO</t>
  </si>
  <si>
    <t>DIBLANDO</t>
  </si>
  <si>
    <t>AVENIDA KENNEDY</t>
  </si>
  <si>
    <t>JAMESA</t>
  </si>
  <si>
    <t>VENTURA PLAZA</t>
  </si>
  <si>
    <t>Adriana Maritza Angulo Mora</t>
  </si>
  <si>
    <t>MABAEZ</t>
  </si>
  <si>
    <t>CENTRO MAYOR</t>
  </si>
  <si>
    <t>JBOGOTA</t>
  </si>
  <si>
    <t>UNICENTRO ARMENIA</t>
  </si>
  <si>
    <t>John Didier Villegas Martinez</t>
  </si>
  <si>
    <t>DIOSPINA</t>
  </si>
  <si>
    <t>UNICENTRO PASTO</t>
  </si>
  <si>
    <t>Norma Constanza Barrera Pabon</t>
  </si>
  <si>
    <t>AGUEVARA</t>
  </si>
  <si>
    <t>PARQUE ARBOLEDA</t>
  </si>
  <si>
    <t>LECADAVI</t>
  </si>
  <si>
    <t>FUNDADORES MANIZALES</t>
  </si>
  <si>
    <t>ELIZLOND</t>
  </si>
  <si>
    <t>CAMPANARIO POPAYAN</t>
  </si>
  <si>
    <t>DLASSO</t>
  </si>
  <si>
    <t>CENTRO COMERCIAL FONTANAR</t>
  </si>
  <si>
    <t>ANMARODR</t>
  </si>
  <si>
    <t>VICTORIA PLAZA</t>
  </si>
  <si>
    <t>FJESPINO</t>
  </si>
  <si>
    <t>PORTAL DEL PRADO</t>
  </si>
  <si>
    <t>CAGUAS</t>
  </si>
  <si>
    <t>OCEAN MALL</t>
  </si>
  <si>
    <t>SDELOS</t>
  </si>
  <si>
    <t>EL RODADERO</t>
  </si>
  <si>
    <t>JFONTALV</t>
  </si>
  <si>
    <t>PRADO PLAZA</t>
  </si>
  <si>
    <t>ANACAMAC</t>
  </si>
  <si>
    <t>LOS MOLINOS</t>
  </si>
  <si>
    <t>PATOBONO</t>
  </si>
  <si>
    <t>LA DORADA</t>
  </si>
  <si>
    <t>Juan Fernando Alzate Valencia</t>
  </si>
  <si>
    <t>ADMMARRO</t>
  </si>
  <si>
    <t>RIONEGRO</t>
  </si>
  <si>
    <t>GCARMONA</t>
  </si>
  <si>
    <t>CENTRO INDUSTRIAL</t>
  </si>
  <si>
    <t>XNORTIZ</t>
  </si>
  <si>
    <t>CHICO 94</t>
  </si>
  <si>
    <t>OBARRERO</t>
  </si>
  <si>
    <t>CENTRO DE PAGOS UNICENTRO BOGOTA</t>
  </si>
  <si>
    <t>Camilo Andres Mila Jimenez</t>
  </si>
  <si>
    <t>MAMPENA</t>
  </si>
  <si>
    <t>ENVIGADO</t>
  </si>
  <si>
    <t>NILSIERR</t>
  </si>
  <si>
    <t>LA PLAYA</t>
  </si>
  <si>
    <t>OGUARDO</t>
  </si>
  <si>
    <t>CIRCUNVALAR PEREIRA</t>
  </si>
  <si>
    <t>LUAGIRAL</t>
  </si>
  <si>
    <t>SAN NICOLAS BARRANQUILLA</t>
  </si>
  <si>
    <t>JULOROZC</t>
  </si>
  <si>
    <t>El cajero esta fuera de servicio, la oficina estuvo siendo remodelada SIN SERVICIO FEB</t>
  </si>
  <si>
    <t>OLIMPICA</t>
  </si>
  <si>
    <t>ACUJIA</t>
  </si>
  <si>
    <t>VALLE DEL LILI</t>
  </si>
  <si>
    <t>MADHERNA</t>
  </si>
  <si>
    <t>GUATAPURI</t>
  </si>
  <si>
    <t>MCAMACHO</t>
  </si>
  <si>
    <t>AVENIDA 127</t>
  </si>
  <si>
    <t>AMSCABEZ</t>
  </si>
  <si>
    <t>GIRARDOT</t>
  </si>
  <si>
    <t>Edwin Andres Lievano Orjuela</t>
  </si>
  <si>
    <t>JCANTOR</t>
  </si>
  <si>
    <t>MAYALES PLAZA</t>
  </si>
  <si>
    <t>DVILLARR</t>
  </si>
  <si>
    <t>ZONA ROSA</t>
  </si>
  <si>
    <t>MARIROME</t>
  </si>
  <si>
    <t>NORTH POINT</t>
  </si>
  <si>
    <t>EMMARINO</t>
  </si>
  <si>
    <t>PEREIRA</t>
  </si>
  <si>
    <t>LUFSANCH</t>
  </si>
  <si>
    <t>CUCUTA</t>
  </si>
  <si>
    <t>DRAREVAL</t>
  </si>
  <si>
    <t>AVENIDA 19</t>
  </si>
  <si>
    <t>LFRAMIRE</t>
  </si>
  <si>
    <t>LAS PALMAS</t>
  </si>
  <si>
    <t>FVASQUEZ</t>
  </si>
  <si>
    <t>MODELO POPAYAN</t>
  </si>
  <si>
    <t>CAEDMART</t>
  </si>
  <si>
    <t>CENTRO DE LA CONFECCION</t>
  </si>
  <si>
    <t>CLFERNAN</t>
  </si>
  <si>
    <t>MANGA</t>
  </si>
  <si>
    <t>RVARELA</t>
  </si>
  <si>
    <t>PUNTO CLAVE</t>
  </si>
  <si>
    <t>MAAREIZA</t>
  </si>
  <si>
    <t>NEIVA</t>
  </si>
  <si>
    <t>Astrid Alexandra Quintero Arciniegas</t>
  </si>
  <si>
    <t>YENGONZA</t>
  </si>
  <si>
    <t>MULTIPLAZA DRIVE</t>
  </si>
  <si>
    <t>AGUTIERR</t>
  </si>
  <si>
    <t>TRINIDAD GALAN</t>
  </si>
  <si>
    <t>JBALLEN</t>
  </si>
  <si>
    <t>TERMINAL DE TRANSPORTE NORTE</t>
  </si>
  <si>
    <t>Julian Alejandro Rodriguez Escobar</t>
  </si>
  <si>
    <t>DCCARTAG</t>
  </si>
  <si>
    <t>IBAGUE</t>
  </si>
  <si>
    <t>REGUZMAN</t>
  </si>
  <si>
    <t>OCAÑA</t>
  </si>
  <si>
    <t>CYALVARE</t>
  </si>
  <si>
    <t>UNICENTRO CALI</t>
  </si>
  <si>
    <t>SMBEDOYA</t>
  </si>
  <si>
    <t>AUTOPISTA 98</t>
  </si>
  <si>
    <t>HDSANCHE</t>
  </si>
  <si>
    <t>CARRERA DECIMA</t>
  </si>
  <si>
    <t>IMARTINE</t>
  </si>
  <si>
    <t>CENTRO 93</t>
  </si>
  <si>
    <t>EPIRAGAU</t>
  </si>
  <si>
    <t>MOCOA</t>
  </si>
  <si>
    <t>DMOTTA</t>
  </si>
  <si>
    <t>CHIPICHAPE</t>
  </si>
  <si>
    <t>DRRAMIRE</t>
  </si>
  <si>
    <t>ITAGUI PARQUE</t>
  </si>
  <si>
    <t>LUDLOPEZ</t>
  </si>
  <si>
    <t>MONTERIA</t>
  </si>
  <si>
    <t>Magaly Del Socorro Cabrales Isaac</t>
  </si>
  <si>
    <t>DRDIAZ</t>
  </si>
  <si>
    <t>SOGAMOSO</t>
  </si>
  <si>
    <t>LILMARTI</t>
  </si>
  <si>
    <t>DUITAMA</t>
  </si>
  <si>
    <t>LMCASTAN</t>
  </si>
  <si>
    <t>TUNJA</t>
  </si>
  <si>
    <t>MIROMERO</t>
  </si>
  <si>
    <t>BAZAR ALSACIA</t>
  </si>
  <si>
    <t>JTRIANA</t>
  </si>
  <si>
    <t>AVENIDA ROOSEVELT</t>
  </si>
  <si>
    <t>EBUENO</t>
  </si>
  <si>
    <t>MANIZALES</t>
  </si>
  <si>
    <t>CARLGOME</t>
  </si>
  <si>
    <t>DOSQUEBRADAS</t>
  </si>
  <si>
    <t>JOLOAIZA</t>
  </si>
  <si>
    <t>VALVANERA</t>
  </si>
  <si>
    <t>ADIAZ</t>
  </si>
  <si>
    <t>YOPAL</t>
  </si>
  <si>
    <t>CAMARTIN</t>
  </si>
  <si>
    <t>CENTRO COMERCIAL HAYUELOS</t>
  </si>
  <si>
    <t>KRODRIGU</t>
  </si>
  <si>
    <t>QUEBRADA SECA</t>
  </si>
  <si>
    <t>LUDACEVE</t>
  </si>
  <si>
    <t>TEATRO AVENIDA</t>
  </si>
  <si>
    <t>DEBEDOYA</t>
  </si>
  <si>
    <t>PUERTA DEL NORTE</t>
  </si>
  <si>
    <t>ISALOPEZ</t>
  </si>
  <si>
    <t>CENTRO SUBA</t>
  </si>
  <si>
    <t>ECROJAS</t>
  </si>
  <si>
    <t>LA HERRADURA</t>
  </si>
  <si>
    <t>FGUEVARA</t>
  </si>
  <si>
    <t>ARMENIA NORTE</t>
  </si>
  <si>
    <t>MARMAGON</t>
  </si>
  <si>
    <t>CALDAS PARQUE</t>
  </si>
  <si>
    <t>NEGARCIC</t>
  </si>
  <si>
    <t>CALLE 79</t>
  </si>
  <si>
    <t>ADRIGARC</t>
  </si>
  <si>
    <t>CENTRO DE PAGOS CORABASTOS</t>
  </si>
  <si>
    <t>EESERRAT</t>
  </si>
  <si>
    <t>AVENIDA CAÑAS GORDAS</t>
  </si>
  <si>
    <t>NAMAFLA</t>
  </si>
  <si>
    <t>MADRID</t>
  </si>
  <si>
    <t>Pedro Javier Yazzo Moreno</t>
  </si>
  <si>
    <t>PBAUTIST</t>
  </si>
  <si>
    <t>TERMINAL DEL SUR</t>
  </si>
  <si>
    <t>CJQUINTE</t>
  </si>
  <si>
    <t>MODELIA</t>
  </si>
  <si>
    <t>MCJARAMI</t>
  </si>
  <si>
    <t>FLORESTA</t>
  </si>
  <si>
    <t>LJGOMEZ</t>
  </si>
  <si>
    <t>UNICENTRO TUNJA</t>
  </si>
  <si>
    <t>PAAMOREN</t>
  </si>
  <si>
    <t>TEQUENDAMA</t>
  </si>
  <si>
    <t>LIPATINO</t>
  </si>
  <si>
    <t>CALLE 10</t>
  </si>
  <si>
    <t>LRCACERE</t>
  </si>
  <si>
    <t>LAS CEIBAS</t>
  </si>
  <si>
    <t>AMMORA</t>
  </si>
  <si>
    <t>MONTEVIDEO</t>
  </si>
  <si>
    <t>EDWGONZA</t>
  </si>
  <si>
    <t>PROFESIONALES</t>
  </si>
  <si>
    <t>JNMANCER</t>
  </si>
  <si>
    <t>AEROPUERTO OLAYA</t>
  </si>
  <si>
    <t>DIFGARCI</t>
  </si>
  <si>
    <t>NEIVA LA NUEVA</t>
  </si>
  <si>
    <t>GINGARZO</t>
  </si>
  <si>
    <t>SOACHA</t>
  </si>
  <si>
    <t>JUAROJAS</t>
  </si>
  <si>
    <t>TOBERIN</t>
  </si>
  <si>
    <t>JABUSTOS</t>
  </si>
  <si>
    <t>SABANA NORTE CHIA</t>
  </si>
  <si>
    <t>OACHURY</t>
  </si>
  <si>
    <t>PASEO LA CASTELLANA</t>
  </si>
  <si>
    <t>DPUELLO</t>
  </si>
  <si>
    <t>GARZON</t>
  </si>
  <si>
    <t>DLROJAS</t>
  </si>
  <si>
    <t>QUINTA AVENIDA</t>
  </si>
  <si>
    <t>YCAVIEDE</t>
  </si>
  <si>
    <t>CARRERA 26</t>
  </si>
  <si>
    <t>Sin servicio durante el mes de diciembre</t>
  </si>
  <si>
    <t>BARRIO TRISTE</t>
  </si>
  <si>
    <t>CAMAVARG</t>
  </si>
  <si>
    <t>POPAYAN</t>
  </si>
  <si>
    <t>SVIDAL</t>
  </si>
  <si>
    <t>CENTRO COMERCIAL PALATINO</t>
  </si>
  <si>
    <t>GLORGIRA</t>
  </si>
  <si>
    <t>PRIMAVERA</t>
  </si>
  <si>
    <t>SPVARGAS</t>
  </si>
  <si>
    <t>CARRERA OCTAVA</t>
  </si>
  <si>
    <t>SHOYOS</t>
  </si>
  <si>
    <t>AVENIDA CERO</t>
  </si>
  <si>
    <t>RDMENDOZ</t>
  </si>
  <si>
    <t>HOTEL TEQUENDAMA</t>
  </si>
  <si>
    <t>AMRINCON</t>
  </si>
  <si>
    <t>CENTRO COMERCIAL PUNTO DE LA ORIENTAL</t>
  </si>
  <si>
    <t>VSANDOVA</t>
  </si>
  <si>
    <t>VISITACION</t>
  </si>
  <si>
    <t>EIJARAMI</t>
  </si>
  <si>
    <t>CALLE 122</t>
  </si>
  <si>
    <t>LMRAYRAN</t>
  </si>
  <si>
    <t>CONTADOR</t>
  </si>
  <si>
    <t>ALEXHERN</t>
  </si>
  <si>
    <t>PASTO</t>
  </si>
  <si>
    <t>JHCISNE</t>
  </si>
  <si>
    <t>CENTRO FINANCIERO</t>
  </si>
  <si>
    <t>CLLAZARO</t>
  </si>
  <si>
    <t>ÉXITO COLOMBIA</t>
  </si>
  <si>
    <t>YLLOZANO</t>
  </si>
  <si>
    <t>BARRIO RICAURTE</t>
  </si>
  <si>
    <t>DPRODRIG</t>
  </si>
  <si>
    <t>LA QUINTA</t>
  </si>
  <si>
    <t>CDOMINGU</t>
  </si>
  <si>
    <t>EL CACIQUE</t>
  </si>
  <si>
    <t>PCALDERO</t>
  </si>
  <si>
    <t>LA ESTACION IBAGUE</t>
  </si>
  <si>
    <t>GEBARRER</t>
  </si>
  <si>
    <t>GRANCENTRO</t>
  </si>
  <si>
    <t>GINSALAS</t>
  </si>
  <si>
    <t>CHIA</t>
  </si>
  <si>
    <t>DMPARADA</t>
  </si>
  <si>
    <t>VALLEDUPAR</t>
  </si>
  <si>
    <t>ANGMARTI</t>
  </si>
  <si>
    <t>CALLE ONCE</t>
  </si>
  <si>
    <t>CRALFONS</t>
  </si>
  <si>
    <t>PARQUE LA COLINA</t>
  </si>
  <si>
    <t>DERAMIRE</t>
  </si>
  <si>
    <t>EL TESORO</t>
  </si>
  <si>
    <t>ALEXASAN</t>
  </si>
  <si>
    <t>TUMACO</t>
  </si>
  <si>
    <t>DIARQUIN</t>
  </si>
  <si>
    <t>DORADO PLAZA</t>
  </si>
  <si>
    <t>EHUERFAN</t>
  </si>
  <si>
    <t>AVENIDA PEPE SIERRA</t>
  </si>
  <si>
    <t>LUISACOS</t>
  </si>
  <si>
    <t>ARAUCA</t>
  </si>
  <si>
    <t>VICARDEN</t>
  </si>
  <si>
    <t>CHIQUINQUIRA</t>
  </si>
  <si>
    <t>LAGAITAN</t>
  </si>
  <si>
    <t>MOSQUERA</t>
  </si>
  <si>
    <t>SAESCOBA</t>
  </si>
  <si>
    <t>LA AMERICA</t>
  </si>
  <si>
    <t>JGARCIAG</t>
  </si>
  <si>
    <t>JAMUNDI</t>
  </si>
  <si>
    <t>ACHACON</t>
  </si>
  <si>
    <t>CALLE SEGUNDA</t>
  </si>
  <si>
    <t>Yamileth Abella Bonilla</t>
  </si>
  <si>
    <t>CAGAVIRI</t>
  </si>
  <si>
    <t>CAUCASIA</t>
  </si>
  <si>
    <t>RYOLI</t>
  </si>
  <si>
    <t>MAICAO</t>
  </si>
  <si>
    <t>YBRITO</t>
  </si>
  <si>
    <t>Ipiales</t>
  </si>
  <si>
    <t>DIEFLORE</t>
  </si>
  <si>
    <t>Inicia 15 Agosto</t>
  </si>
  <si>
    <t>BUCARAMANGA</t>
  </si>
  <si>
    <t>TMARCELA</t>
  </si>
  <si>
    <t>CALIMA</t>
  </si>
  <si>
    <t>DIEGJARA</t>
  </si>
  <si>
    <t>GIRON</t>
  </si>
  <si>
    <t>ADCALA</t>
  </si>
  <si>
    <t>QUIBDO</t>
  </si>
  <si>
    <t>LCARRASC</t>
  </si>
  <si>
    <t>BELLA SUIZA</t>
  </si>
  <si>
    <t>YEGARCIA</t>
  </si>
  <si>
    <t>BARRANCABERMEJA</t>
  </si>
  <si>
    <t>ASAJONER</t>
  </si>
  <si>
    <t>PLAZA DEL RIO</t>
  </si>
  <si>
    <t>EPAEZ</t>
  </si>
  <si>
    <t>PLAZA DE MERCADO MONTERIA</t>
  </si>
  <si>
    <t>CARMENDO</t>
  </si>
  <si>
    <t>MAGANGUE</t>
  </si>
  <si>
    <t>FRSUAREZ</t>
  </si>
  <si>
    <t>SAHAGUN</t>
  </si>
  <si>
    <t>LCHAVEZ</t>
  </si>
  <si>
    <t>CENTRO DE PAGOS RIONEGRO</t>
  </si>
  <si>
    <t>VILLETA</t>
  </si>
  <si>
    <t>IFERRO</t>
  </si>
  <si>
    <t>BARRIO RESTREPO</t>
  </si>
  <si>
    <t>OPSANCHE</t>
  </si>
  <si>
    <t>SINCELEJO</t>
  </si>
  <si>
    <t>MEBARRIO</t>
  </si>
  <si>
    <t>BARBOSA</t>
  </si>
  <si>
    <t>ESTORRES</t>
  </si>
  <si>
    <t>MARIQUITA</t>
  </si>
  <si>
    <t>ETABARES</t>
  </si>
  <si>
    <t>PLAZA ESPAÑA</t>
  </si>
  <si>
    <t>SPANCHA</t>
  </si>
  <si>
    <t>BUGA</t>
  </si>
  <si>
    <t>CVRODRIG</t>
  </si>
  <si>
    <t>TELEPORT</t>
  </si>
  <si>
    <t>EPONCEQ</t>
  </si>
  <si>
    <t>ZIPAQUIRA</t>
  </si>
  <si>
    <t>ABFIGUER</t>
  </si>
  <si>
    <t>PAMPLONA</t>
  </si>
  <si>
    <t>ERMENDOZ</t>
  </si>
  <si>
    <t>CENTRAL DE ABASTOS MEDELLIN</t>
  </si>
  <si>
    <t>PAGALLEG</t>
  </si>
  <si>
    <t>ALAMEDAS DEL SINU</t>
  </si>
  <si>
    <t>GEVALVER</t>
  </si>
  <si>
    <t>CENTRO COMERCIAL SANTAFE MEDELLIN</t>
  </si>
  <si>
    <t>LVELEZOR</t>
  </si>
  <si>
    <t>PITALITO</t>
  </si>
  <si>
    <t>NSARRIA</t>
  </si>
  <si>
    <t xml:space="preserve">BUENAVISTA MONTERIA </t>
  </si>
  <si>
    <t>VICHINCA</t>
  </si>
  <si>
    <t>OESTE</t>
  </si>
  <si>
    <t>CDSALINA</t>
  </si>
  <si>
    <t>MALL PLAZA BUENAVISTA</t>
  </si>
  <si>
    <t>STNINO</t>
  </si>
  <si>
    <t>EDIFICIO 8111 ASESORIA</t>
  </si>
  <si>
    <t>NMPUERTO</t>
  </si>
  <si>
    <t>EL CARMEN DE VIBORAL</t>
  </si>
  <si>
    <t>ANMGIRAL</t>
  </si>
  <si>
    <t>EL BOSQUE</t>
  </si>
  <si>
    <t>GBUSTILL</t>
  </si>
  <si>
    <t>EDIFICIO 9211</t>
  </si>
  <si>
    <t>JOHNHERN</t>
  </si>
  <si>
    <t>ITAGUI</t>
  </si>
  <si>
    <t>CARARBOL</t>
  </si>
  <si>
    <t>CARTAGO</t>
  </si>
  <si>
    <t>NPABON</t>
  </si>
  <si>
    <t>LAURELES</t>
  </si>
  <si>
    <t>JOSORIO</t>
  </si>
  <si>
    <t>FLORIDA</t>
  </si>
  <si>
    <t>MAILOPEZ</t>
  </si>
  <si>
    <t>CALI</t>
  </si>
  <si>
    <t>MRAMIR</t>
  </si>
  <si>
    <t>CENTRO INTERNACIONAL</t>
  </si>
  <si>
    <t>JCCRIST</t>
  </si>
  <si>
    <t>TURBACO</t>
  </si>
  <si>
    <t>GREDONDO</t>
  </si>
  <si>
    <t>POLO CLUB</t>
  </si>
  <si>
    <t>ANRODRI</t>
  </si>
  <si>
    <t>MALL PLAZA NQS</t>
  </si>
  <si>
    <t>ZTCARDEN</t>
  </si>
  <si>
    <t>VIVA BARRANQUILLA</t>
  </si>
  <si>
    <t>LCPEREZ</t>
  </si>
  <si>
    <t>EL LAGO</t>
  </si>
  <si>
    <t>LUZMLOPE</t>
  </si>
  <si>
    <t>CENTRO COMERCIAL SERREZUELA</t>
  </si>
  <si>
    <t>YETORRES</t>
  </si>
  <si>
    <t>CENTRO COMERCIAL SAN PEDRO</t>
  </si>
  <si>
    <t>YPULIDO</t>
  </si>
  <si>
    <t>DIVER PLAZA</t>
  </si>
  <si>
    <t>FMILES</t>
  </si>
  <si>
    <t>LA PLATA</t>
  </si>
  <si>
    <t>ERMALDO</t>
  </si>
  <si>
    <t>TURBO</t>
  </si>
  <si>
    <t>JUVCANTI</t>
  </si>
  <si>
    <t>VIPASA</t>
  </si>
  <si>
    <t>EMONTOYA</t>
  </si>
  <si>
    <t>PUERTO ASIS</t>
  </si>
  <si>
    <t>VBURBANO</t>
  </si>
  <si>
    <t>CENTRO COMERCIAL PARQUE ALEGRA</t>
  </si>
  <si>
    <t>MCTRILL</t>
  </si>
  <si>
    <t>GRANADA META</t>
  </si>
  <si>
    <t>ADMAHECH</t>
  </si>
  <si>
    <t>ACACIAS</t>
  </si>
  <si>
    <t>ERPFRANC</t>
  </si>
  <si>
    <t>PASEO VILLA DEL RIO</t>
  </si>
  <si>
    <t>NGALVIS</t>
  </si>
  <si>
    <t>UNICENTRO MEDELLIN</t>
  </si>
  <si>
    <t>MARARAQU</t>
  </si>
  <si>
    <t>VILLA CAMPESTRE</t>
  </si>
  <si>
    <t>DGDONADO</t>
  </si>
  <si>
    <t>UNICENTRO VILLAVICENCIO</t>
  </si>
  <si>
    <t>YENMUNOZ</t>
  </si>
  <si>
    <t>SANTA MARTA</t>
  </si>
  <si>
    <t>MPINERES</t>
  </si>
  <si>
    <t>PARQUE FABRICATO</t>
  </si>
  <si>
    <t>TAMARIN</t>
  </si>
  <si>
    <t>FUSAGASUGA</t>
  </si>
  <si>
    <t>MJINFANT</t>
  </si>
  <si>
    <t>Desde el 12 de Junio cambia de TDV a Suc</t>
  </si>
  <si>
    <t>VILLAVICENCIO</t>
  </si>
  <si>
    <t>JHORINCO</t>
  </si>
  <si>
    <t>Nuevo 1 de Sept</t>
  </si>
  <si>
    <t>Cajero nuevo, sin movimiento</t>
  </si>
  <si>
    <t>ATM MF SUC GRAN MANZANA 1</t>
  </si>
  <si>
    <t>ADARCIA</t>
  </si>
  <si>
    <t>CAJERO SIN MOVIMIENTO</t>
  </si>
  <si>
    <t>ATM SUC MF LLANOGRAN PALMIR 1</t>
  </si>
  <si>
    <t>ALBARCE</t>
  </si>
  <si>
    <t>Unnamed: 0</t>
  </si>
  <si>
    <t>Unnamed: 1</t>
  </si>
  <si>
    <t>Unnamed: 2</t>
  </si>
  <si>
    <t>Unnamed: 3</t>
  </si>
  <si>
    <t>Unnamed: 4</t>
  </si>
  <si>
    <t>Unnamed: 5</t>
  </si>
  <si>
    <t>Unnamed: 6</t>
  </si>
  <si>
    <t>Pendiente de investigación por parte de la Sección Servicios Sucursales</t>
  </si>
  <si>
    <t>Pendiente de investigación por parte de la Sucursal</t>
  </si>
  <si>
    <t>ACLARAR DIFERENCIA Y REPETIR ARQUEO, por favor validar provisiones trocadas entre los cajeros 4517 y 4847, contactarme por teams una vez hayan encontrado el error para indicarles cómo proceder.</t>
  </si>
  <si>
    <t>Cajero cuadrado, sin observación por parte de la sucursal.</t>
  </si>
  <si>
    <t xml:space="preserve">Contabilizada por la sección en la cuenta de Faltantes 168710093 el 16/12/2022 - Faltante queda en investigación por parte de la Sección Serv. Sucursales. </t>
  </si>
  <si>
    <t>Contabilizada por la sección en la cuenta de Faltantes 168710093  el  27/12/2021 - REVERSAR</t>
  </si>
  <si>
    <t>Faltante originado por sobrante contabilizado el 08/12/2021 - Se reversa el 27/12/2021</t>
  </si>
  <si>
    <t>El sobrante es cruzado con faltante contabilizado el 26/01/2026 el cual es reversado por la Gerencia De Autoservicios y Efectivo el 12/02/2026</t>
  </si>
  <si>
    <t>Diferencia menor a 3.000 - No es necesario otro arqueo</t>
  </si>
  <si>
    <t>Faltante es reversado por la sección el 03 de abril, con sobrante contabilizado el día 20 de marzo</t>
  </si>
  <si>
    <t>Aclarar Diferencia. En caso de no aclarar por favor realizar un nuevo arqueo al cajero.</t>
  </si>
  <si>
    <t>El faltante  de $26.000 es cruzado con sobrante contabilizado el día 11/02/2026 el cual es reversado por la seccion el día 16/02/2026</t>
  </si>
  <si>
    <t>Aclarar Diferencia, realizar las validaciones indicadas en el correo de Faltantes. En caso de no aclarar por favor realizar un nuevo arqueo al cajero.</t>
  </si>
  <si>
    <t>El sobrante es cruzado con faltante contabilizado el día 28/09/2025 el cual es reversado por la seccion el día 11/09/2025, la diferencia es contabilizada por la sección en la cuenta 279510020 el día 11/09/2025</t>
  </si>
  <si>
    <t>REVERSAR</t>
  </si>
  <si>
    <t>El faltante $46.600 es cruzado con sobrante contabilizado el día 23/02/2026 el cual es reversado por la seccion el día 28/02/2026</t>
  </si>
  <si>
    <t xml:space="preserve">Cuadrado </t>
  </si>
  <si>
    <t>*CANCELACION FALTANTES CUENTA 168710093 POR PARTE DE LAS SUCURSALES*</t>
  </si>
  <si>
    <t xml:space="preserve">TRX MEDELLIN: 2492
Para cancelar (pagar) los faltantes que tengan contabilizados en la cuenta 168710093, realizan en Medellín la transacción 2492 con código cajero MF y la cédula del cajero a quien fue cargado el faltante en su momento.
Esta Trx les da cruce a caja con entrada de efectivo.
NOTA: Antes de realizar la cancelación por favor verificar siempre la cuenta 168710093.
</t>
  </si>
  <si>
    <t>CONTABILIDADES GOLF-WOLF SUCURSALES</t>
  </si>
  <si>
    <t>0041 - Provisión Cajero Wolf - Seleccionan la TX realizada y en recuadro abajo dan la opción "Reversar"</t>
  </si>
  <si>
    <t>0105 - Remanente Cajero Wolf - Sucursal</t>
  </si>
  <si>
    <t xml:space="preserve">0095 - Faltantes en Caja </t>
  </si>
  <si>
    <t>0097 - Sobrantes en Caja</t>
  </si>
  <si>
    <t>0096 - Reintegro Faltantes en Caja</t>
  </si>
  <si>
    <t>Deben reintegrar el sobrante de caja y meterlo físico al cajero XXX, al cajero NO se le hace nada contable, solo ingresarle de manera física el dinero y deben realizarle nuevamente arqueo al cajero y ya este se debe reflejar cuadrado con el ajuste realizado.</t>
  </si>
  <si>
    <t>billetes falsos en cajero mf belltech, deben de hacer arqueo sin tener en cuenta el billete primero porque puede que el cajero reciba el dinero pero no haga ninguna trx y no genere descuadre, si el cajero genera descuadre deben de sacar el billete como remanente, grabar faltante en caja, enviarnos un correo para reclasificarlo a faltantes cajero y llevarlo al pyg y enviar el billete a la sección</t>
  </si>
  <si>
    <t>CODIGO</t>
  </si>
  <si>
    <t>COD. SUC</t>
  </si>
  <si>
    <t>CODIGO.1</t>
  </si>
  <si>
    <t>Dispensador / Multifuncional</t>
  </si>
  <si>
    <t>ADMINISTRACIÓN</t>
  </si>
  <si>
    <t>MARCA</t>
  </si>
  <si>
    <t>SUC</t>
  </si>
  <si>
    <t>MULTIFUNCIONAL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</si>
</sst>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4"/>
  <sheetViews>
    <sheetView tabSelected="1" topLeftCell="A493" workbookViewId="0">
      <selection activeCell="A495" sqref="A495:XFD510"/>
    </sheetView>
  </sheetViews>
  <sheetFormatPr baseColWidth="10" defaultColWidth="8.7265625" defaultRowHeight="14.5" x14ac:dyDescent="0.35"/>
  <cols>
    <col min="5" max="5" width="20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4</v>
      </c>
      <c r="B2">
        <v>316</v>
      </c>
      <c r="C2" t="s">
        <v>16</v>
      </c>
      <c r="D2" t="s">
        <v>16</v>
      </c>
      <c r="E2" s="2">
        <v>46084</v>
      </c>
      <c r="F2" s="2">
        <v>46083</v>
      </c>
      <c r="G2" t="s">
        <v>17</v>
      </c>
      <c r="H2">
        <v>165401700</v>
      </c>
      <c r="I2">
        <v>152849650</v>
      </c>
      <c r="J2">
        <v>10330000</v>
      </c>
      <c r="K2">
        <v>30416000</v>
      </c>
      <c r="L2">
        <v>7270000</v>
      </c>
      <c r="M2">
        <f t="shared" ref="M2:M65" si="0">I2-(H2+J2-K2)- L2</f>
        <v>263950</v>
      </c>
      <c r="N2" t="str">
        <f t="shared" ref="N2:N65" si="1">IF(M2=0,"Cuadrado",IF(M2&gt;0,"Faltante","Sobrante"))</f>
        <v>Faltante</v>
      </c>
      <c r="O2" t="s">
        <v>18</v>
      </c>
      <c r="P2">
        <v>71278620</v>
      </c>
    </row>
    <row r="3" spans="1:16" x14ac:dyDescent="0.35">
      <c r="A3">
        <v>4</v>
      </c>
      <c r="B3">
        <v>8630</v>
      </c>
      <c r="C3" t="s">
        <v>16</v>
      </c>
      <c r="D3" t="s">
        <v>16</v>
      </c>
      <c r="E3" s="2">
        <v>46084</v>
      </c>
      <c r="F3" s="2">
        <v>46083</v>
      </c>
      <c r="G3" t="s">
        <v>19</v>
      </c>
      <c r="H3">
        <v>340986350</v>
      </c>
      <c r="I3">
        <v>309933350</v>
      </c>
      <c r="J3">
        <v>1640000</v>
      </c>
      <c r="K3">
        <v>32693000</v>
      </c>
      <c r="M3">
        <f t="shared" si="0"/>
        <v>0</v>
      </c>
      <c r="N3" t="str">
        <f t="shared" si="1"/>
        <v>Cuadrado</v>
      </c>
      <c r="O3" t="s">
        <v>20</v>
      </c>
      <c r="P3">
        <v>71278620</v>
      </c>
    </row>
    <row r="4" spans="1:16" x14ac:dyDescent="0.35">
      <c r="A4">
        <v>4</v>
      </c>
      <c r="B4">
        <v>8631</v>
      </c>
      <c r="C4" t="s">
        <v>16</v>
      </c>
      <c r="D4" t="s">
        <v>16</v>
      </c>
      <c r="E4" s="2">
        <v>46084</v>
      </c>
      <c r="F4" s="2">
        <v>46083</v>
      </c>
      <c r="G4" t="s">
        <v>21</v>
      </c>
      <c r="H4">
        <v>212123550</v>
      </c>
      <c r="I4">
        <v>170623550</v>
      </c>
      <c r="J4">
        <v>15550000</v>
      </c>
      <c r="K4">
        <v>57050000</v>
      </c>
      <c r="M4">
        <f t="shared" si="0"/>
        <v>0</v>
      </c>
      <c r="N4" t="str">
        <f t="shared" si="1"/>
        <v>Cuadrado</v>
      </c>
      <c r="O4" t="s">
        <v>20</v>
      </c>
      <c r="P4">
        <v>71278620</v>
      </c>
    </row>
    <row r="5" spans="1:16" x14ac:dyDescent="0.35">
      <c r="A5">
        <v>5</v>
      </c>
      <c r="B5">
        <v>4866</v>
      </c>
      <c r="C5" t="s">
        <v>22</v>
      </c>
      <c r="D5" t="s">
        <v>16</v>
      </c>
      <c r="E5" s="2">
        <v>46084</v>
      </c>
      <c r="F5" s="2">
        <v>46083</v>
      </c>
      <c r="G5" t="s">
        <v>23</v>
      </c>
      <c r="H5">
        <v>204655550</v>
      </c>
      <c r="I5">
        <v>144824400</v>
      </c>
      <c r="J5">
        <v>9970000</v>
      </c>
      <c r="K5">
        <v>69703150</v>
      </c>
      <c r="M5">
        <f t="shared" si="0"/>
        <v>-98000</v>
      </c>
      <c r="N5" t="str">
        <f t="shared" si="1"/>
        <v>Sobrante</v>
      </c>
      <c r="O5" t="s">
        <v>24</v>
      </c>
      <c r="P5">
        <v>43824478</v>
      </c>
    </row>
    <row r="6" spans="1:16" x14ac:dyDescent="0.35">
      <c r="A6">
        <v>7</v>
      </c>
      <c r="B6">
        <v>5059</v>
      </c>
      <c r="C6" t="s">
        <v>16</v>
      </c>
      <c r="D6" t="s">
        <v>16</v>
      </c>
      <c r="E6" s="2">
        <v>46084</v>
      </c>
      <c r="F6" s="2">
        <v>46083</v>
      </c>
      <c r="G6" t="s">
        <v>25</v>
      </c>
      <c r="H6">
        <v>198375050</v>
      </c>
      <c r="I6">
        <v>200485150</v>
      </c>
      <c r="J6">
        <v>7370000</v>
      </c>
      <c r="K6">
        <v>0</v>
      </c>
      <c r="M6">
        <f t="shared" si="0"/>
        <v>-5259900</v>
      </c>
      <c r="N6" t="str">
        <f t="shared" si="1"/>
        <v>Sobrante</v>
      </c>
      <c r="O6" t="s">
        <v>24</v>
      </c>
      <c r="P6">
        <v>1017155472</v>
      </c>
    </row>
    <row r="7" spans="1:16" x14ac:dyDescent="0.35">
      <c r="A7">
        <v>7</v>
      </c>
      <c r="B7">
        <v>7812</v>
      </c>
      <c r="C7" t="s">
        <v>22</v>
      </c>
      <c r="D7" t="s">
        <v>16</v>
      </c>
      <c r="E7" s="2">
        <v>46084</v>
      </c>
      <c r="F7" s="2">
        <v>46083</v>
      </c>
      <c r="G7" t="s">
        <v>26</v>
      </c>
      <c r="H7">
        <v>69564800</v>
      </c>
      <c r="I7">
        <v>77472800</v>
      </c>
      <c r="J7">
        <v>4500000</v>
      </c>
      <c r="K7">
        <v>4955000</v>
      </c>
      <c r="L7">
        <v>8363000</v>
      </c>
      <c r="M7">
        <f t="shared" si="0"/>
        <v>0</v>
      </c>
      <c r="N7" t="str">
        <f t="shared" si="1"/>
        <v>Cuadrado</v>
      </c>
      <c r="O7" t="s">
        <v>20</v>
      </c>
      <c r="P7">
        <v>1017155472</v>
      </c>
    </row>
    <row r="8" spans="1:16" x14ac:dyDescent="0.35">
      <c r="A8">
        <v>15</v>
      </c>
      <c r="B8">
        <v>8578</v>
      </c>
      <c r="C8" t="s">
        <v>16</v>
      </c>
      <c r="D8" t="s">
        <v>16</v>
      </c>
      <c r="E8" s="2">
        <v>46084</v>
      </c>
      <c r="F8" s="2">
        <v>46083</v>
      </c>
      <c r="G8" t="s">
        <v>27</v>
      </c>
      <c r="H8">
        <v>37305450</v>
      </c>
      <c r="I8">
        <v>53765450</v>
      </c>
      <c r="J8">
        <v>45750000</v>
      </c>
      <c r="K8">
        <v>28525000</v>
      </c>
      <c r="M8">
        <f t="shared" si="0"/>
        <v>-765000</v>
      </c>
      <c r="N8" t="str">
        <f t="shared" si="1"/>
        <v>Sobrante</v>
      </c>
      <c r="O8" t="s">
        <v>24</v>
      </c>
      <c r="P8">
        <v>1037325417</v>
      </c>
    </row>
    <row r="9" spans="1:16" x14ac:dyDescent="0.35">
      <c r="A9">
        <v>33</v>
      </c>
      <c r="B9">
        <v>8861</v>
      </c>
      <c r="C9" t="s">
        <v>16</v>
      </c>
      <c r="D9" t="s">
        <v>16</v>
      </c>
      <c r="E9" s="2">
        <v>46084</v>
      </c>
      <c r="F9" s="2">
        <v>46083</v>
      </c>
      <c r="G9" t="s">
        <v>28</v>
      </c>
      <c r="H9">
        <v>134901800</v>
      </c>
      <c r="I9">
        <v>168074400</v>
      </c>
      <c r="J9">
        <v>23520000</v>
      </c>
      <c r="K9">
        <v>11607400</v>
      </c>
      <c r="M9">
        <f t="shared" si="0"/>
        <v>21260000</v>
      </c>
      <c r="N9" t="str">
        <f t="shared" si="1"/>
        <v>Faltante</v>
      </c>
      <c r="O9" t="s">
        <v>29</v>
      </c>
      <c r="P9">
        <v>79659379</v>
      </c>
    </row>
    <row r="10" spans="1:16" x14ac:dyDescent="0.35">
      <c r="A10">
        <v>54</v>
      </c>
      <c r="B10">
        <v>6204</v>
      </c>
      <c r="C10" t="s">
        <v>16</v>
      </c>
      <c r="D10" t="s">
        <v>16</v>
      </c>
      <c r="E10" s="2">
        <v>46084</v>
      </c>
      <c r="F10" s="2">
        <v>46083</v>
      </c>
      <c r="G10" t="s">
        <v>30</v>
      </c>
      <c r="H10">
        <v>240573750</v>
      </c>
      <c r="I10">
        <v>241908750</v>
      </c>
      <c r="J10">
        <v>3880000</v>
      </c>
      <c r="K10">
        <v>0</v>
      </c>
      <c r="M10">
        <f t="shared" si="0"/>
        <v>-2545000</v>
      </c>
      <c r="N10" t="str">
        <f t="shared" si="1"/>
        <v>Sobrante</v>
      </c>
      <c r="O10" t="s">
        <v>24</v>
      </c>
      <c r="P10">
        <v>1019068822</v>
      </c>
    </row>
    <row r="11" spans="1:16" x14ac:dyDescent="0.35">
      <c r="A11">
        <v>60</v>
      </c>
      <c r="B11">
        <v>8729</v>
      </c>
      <c r="C11" t="s">
        <v>16</v>
      </c>
      <c r="D11" t="s">
        <v>16</v>
      </c>
      <c r="E11" s="2">
        <v>46084</v>
      </c>
      <c r="F11" s="2">
        <v>46083</v>
      </c>
      <c r="G11" t="s">
        <v>31</v>
      </c>
      <c r="H11">
        <v>43414250</v>
      </c>
      <c r="I11">
        <v>32468250</v>
      </c>
      <c r="J11">
        <v>18200000</v>
      </c>
      <c r="K11">
        <v>29196000</v>
      </c>
      <c r="L11">
        <v>50000</v>
      </c>
      <c r="M11">
        <f t="shared" si="0"/>
        <v>0</v>
      </c>
      <c r="N11" t="str">
        <f t="shared" si="1"/>
        <v>Cuadrado</v>
      </c>
      <c r="O11" t="s">
        <v>20</v>
      </c>
      <c r="P11">
        <v>14697128</v>
      </c>
    </row>
    <row r="12" spans="1:16" x14ac:dyDescent="0.35">
      <c r="A12">
        <v>61</v>
      </c>
      <c r="B12">
        <v>788</v>
      </c>
      <c r="C12" t="s">
        <v>16</v>
      </c>
      <c r="D12" t="s">
        <v>22</v>
      </c>
      <c r="E12" s="2">
        <v>46084</v>
      </c>
      <c r="F12" s="2">
        <v>46083</v>
      </c>
      <c r="G12" t="s">
        <v>32</v>
      </c>
      <c r="H12">
        <v>149527500</v>
      </c>
      <c r="I12">
        <v>155897500</v>
      </c>
      <c r="J12">
        <v>16070000</v>
      </c>
      <c r="K12">
        <v>9900000</v>
      </c>
      <c r="M12">
        <f t="shared" si="0"/>
        <v>200000</v>
      </c>
      <c r="N12" t="str">
        <f t="shared" si="1"/>
        <v>Faltante</v>
      </c>
      <c r="O12" t="s">
        <v>33</v>
      </c>
      <c r="P12">
        <v>16497924</v>
      </c>
    </row>
    <row r="13" spans="1:16" x14ac:dyDescent="0.35">
      <c r="A13">
        <v>77</v>
      </c>
      <c r="B13">
        <v>5204</v>
      </c>
      <c r="C13" t="s">
        <v>16</v>
      </c>
      <c r="D13" t="s">
        <v>22</v>
      </c>
      <c r="E13" s="2">
        <v>46084</v>
      </c>
      <c r="F13" s="2">
        <v>46080</v>
      </c>
      <c r="G13" t="s">
        <v>34</v>
      </c>
      <c r="H13">
        <v>125379500</v>
      </c>
      <c r="I13">
        <v>138577800</v>
      </c>
      <c r="J13">
        <v>31520000</v>
      </c>
      <c r="K13">
        <v>18321700</v>
      </c>
      <c r="M13">
        <f t="shared" si="0"/>
        <v>0</v>
      </c>
      <c r="N13" t="str">
        <f t="shared" si="1"/>
        <v>Cuadrado</v>
      </c>
      <c r="O13" t="s">
        <v>20</v>
      </c>
      <c r="P13">
        <v>94493031</v>
      </c>
    </row>
    <row r="14" spans="1:16" x14ac:dyDescent="0.35">
      <c r="A14">
        <v>115</v>
      </c>
      <c r="B14">
        <v>5080</v>
      </c>
      <c r="C14" t="s">
        <v>16</v>
      </c>
      <c r="D14" t="s">
        <v>16</v>
      </c>
      <c r="E14" s="2">
        <v>46084</v>
      </c>
      <c r="F14" s="2">
        <v>46083</v>
      </c>
      <c r="G14" t="s">
        <v>35</v>
      </c>
      <c r="H14">
        <v>117021700</v>
      </c>
      <c r="I14">
        <v>127700600</v>
      </c>
      <c r="J14">
        <v>13120000</v>
      </c>
      <c r="K14">
        <v>2441000</v>
      </c>
      <c r="M14">
        <f t="shared" si="0"/>
        <v>-100</v>
      </c>
      <c r="N14" t="str">
        <f t="shared" si="1"/>
        <v>Sobrante</v>
      </c>
      <c r="O14" t="s">
        <v>24</v>
      </c>
      <c r="P14">
        <v>42158306</v>
      </c>
    </row>
    <row r="15" spans="1:16" x14ac:dyDescent="0.35">
      <c r="A15">
        <v>185</v>
      </c>
      <c r="B15">
        <v>2208</v>
      </c>
      <c r="C15" t="s">
        <v>22</v>
      </c>
      <c r="D15" t="s">
        <v>16</v>
      </c>
      <c r="E15" s="2">
        <v>46084</v>
      </c>
      <c r="F15" s="2">
        <v>46083</v>
      </c>
      <c r="G15" t="s">
        <v>36</v>
      </c>
      <c r="H15">
        <v>72642500</v>
      </c>
      <c r="I15">
        <v>81285500</v>
      </c>
      <c r="J15">
        <v>60000</v>
      </c>
      <c r="K15">
        <v>1765000</v>
      </c>
      <c r="L15">
        <v>8823300</v>
      </c>
      <c r="M15">
        <f t="shared" si="0"/>
        <v>1524700</v>
      </c>
      <c r="N15" t="str">
        <f t="shared" si="1"/>
        <v>Faltante</v>
      </c>
      <c r="O15" t="s">
        <v>33</v>
      </c>
      <c r="P15">
        <v>66784636</v>
      </c>
    </row>
    <row r="16" spans="1:16" x14ac:dyDescent="0.35">
      <c r="A16">
        <v>191</v>
      </c>
      <c r="B16">
        <v>5112</v>
      </c>
      <c r="C16" t="s">
        <v>16</v>
      </c>
      <c r="D16" t="s">
        <v>16</v>
      </c>
      <c r="E16" s="2">
        <v>46084</v>
      </c>
      <c r="F16" s="2">
        <v>46081</v>
      </c>
      <c r="G16" t="s">
        <v>37</v>
      </c>
      <c r="H16">
        <v>293735350</v>
      </c>
      <c r="I16">
        <v>293735350</v>
      </c>
      <c r="J16">
        <v>0</v>
      </c>
      <c r="K16">
        <v>0</v>
      </c>
      <c r="M16">
        <f t="shared" si="0"/>
        <v>0</v>
      </c>
      <c r="N16" t="str">
        <f t="shared" si="1"/>
        <v>Cuadrado</v>
      </c>
      <c r="O16" t="s">
        <v>20</v>
      </c>
      <c r="P16">
        <v>80812756</v>
      </c>
    </row>
    <row r="17" spans="1:16" x14ac:dyDescent="0.35">
      <c r="A17">
        <v>221</v>
      </c>
      <c r="B17">
        <v>5221</v>
      </c>
      <c r="C17" t="s">
        <v>16</v>
      </c>
      <c r="D17" t="s">
        <v>16</v>
      </c>
      <c r="E17" s="2">
        <v>46084</v>
      </c>
      <c r="F17" s="2">
        <v>46081</v>
      </c>
      <c r="G17" t="s">
        <v>38</v>
      </c>
      <c r="H17">
        <v>110352600</v>
      </c>
      <c r="I17">
        <v>174772600</v>
      </c>
      <c r="J17">
        <v>64420000</v>
      </c>
      <c r="K17">
        <v>0</v>
      </c>
      <c r="M17">
        <f t="shared" si="0"/>
        <v>0</v>
      </c>
      <c r="N17" t="str">
        <f t="shared" si="1"/>
        <v>Cuadrado</v>
      </c>
      <c r="O17" t="s">
        <v>20</v>
      </c>
      <c r="P17">
        <v>52833254</v>
      </c>
    </row>
    <row r="18" spans="1:16" x14ac:dyDescent="0.35">
      <c r="A18">
        <v>231</v>
      </c>
      <c r="B18">
        <v>6243</v>
      </c>
      <c r="C18" t="s">
        <v>16</v>
      </c>
      <c r="D18" t="s">
        <v>16</v>
      </c>
      <c r="E18" s="2">
        <v>46084</v>
      </c>
      <c r="F18" s="2">
        <v>46083</v>
      </c>
      <c r="G18" t="s">
        <v>39</v>
      </c>
      <c r="H18">
        <v>140183150</v>
      </c>
      <c r="I18">
        <v>138868150</v>
      </c>
      <c r="J18">
        <v>0</v>
      </c>
      <c r="K18">
        <v>0</v>
      </c>
      <c r="M18">
        <f t="shared" si="0"/>
        <v>-1315000</v>
      </c>
      <c r="N18" t="str">
        <f t="shared" si="1"/>
        <v>Sobrante</v>
      </c>
      <c r="O18" t="s">
        <v>24</v>
      </c>
      <c r="P18">
        <v>52979634</v>
      </c>
    </row>
    <row r="19" spans="1:16" x14ac:dyDescent="0.35">
      <c r="A19">
        <v>236</v>
      </c>
      <c r="B19">
        <v>8497</v>
      </c>
      <c r="C19" t="s">
        <v>16</v>
      </c>
      <c r="D19" t="s">
        <v>16</v>
      </c>
      <c r="E19" s="2">
        <v>46084</v>
      </c>
      <c r="F19" s="2">
        <v>46083</v>
      </c>
      <c r="G19" t="s">
        <v>28</v>
      </c>
      <c r="H19">
        <v>91447850</v>
      </c>
      <c r="I19">
        <v>328503750</v>
      </c>
      <c r="J19">
        <v>25800000</v>
      </c>
      <c r="K19">
        <v>67128000</v>
      </c>
      <c r="L19">
        <v>281748000</v>
      </c>
      <c r="M19">
        <f t="shared" si="0"/>
        <v>-3364100</v>
      </c>
      <c r="N19" t="str">
        <f t="shared" si="1"/>
        <v>Sobrante</v>
      </c>
      <c r="O19" t="s">
        <v>24</v>
      </c>
      <c r="P19">
        <v>71369714</v>
      </c>
    </row>
    <row r="20" spans="1:16" x14ac:dyDescent="0.35">
      <c r="A20">
        <v>261</v>
      </c>
      <c r="B20">
        <v>5048</v>
      </c>
      <c r="C20" t="s">
        <v>16</v>
      </c>
      <c r="D20" t="s">
        <v>16</v>
      </c>
      <c r="E20" s="2">
        <v>46084</v>
      </c>
      <c r="F20" s="2">
        <v>46083</v>
      </c>
      <c r="G20" t="s">
        <v>40</v>
      </c>
      <c r="H20">
        <v>289683850</v>
      </c>
      <c r="I20">
        <v>234003350</v>
      </c>
      <c r="J20">
        <v>12930000</v>
      </c>
      <c r="K20">
        <v>54614950</v>
      </c>
      <c r="M20">
        <f t="shared" si="0"/>
        <v>-13995550</v>
      </c>
      <c r="N20" t="str">
        <f t="shared" si="1"/>
        <v>Sobrante</v>
      </c>
      <c r="O20" t="s">
        <v>33</v>
      </c>
      <c r="P20">
        <v>34327627</v>
      </c>
    </row>
    <row r="21" spans="1:16" x14ac:dyDescent="0.35">
      <c r="A21">
        <v>262</v>
      </c>
      <c r="B21">
        <v>5153</v>
      </c>
      <c r="C21" t="s">
        <v>16</v>
      </c>
      <c r="D21" t="s">
        <v>16</v>
      </c>
      <c r="E21" s="2">
        <v>46084</v>
      </c>
      <c r="F21" s="2">
        <v>46083</v>
      </c>
      <c r="G21" t="s">
        <v>41</v>
      </c>
      <c r="H21">
        <v>41691750</v>
      </c>
      <c r="I21">
        <v>75511750</v>
      </c>
      <c r="J21">
        <v>35520000</v>
      </c>
      <c r="K21">
        <v>1700000</v>
      </c>
      <c r="M21">
        <f t="shared" si="0"/>
        <v>0</v>
      </c>
      <c r="N21" t="str">
        <f t="shared" si="1"/>
        <v>Cuadrado</v>
      </c>
      <c r="O21" t="s">
        <v>20</v>
      </c>
      <c r="P21">
        <v>1052378530</v>
      </c>
    </row>
    <row r="22" spans="1:16" x14ac:dyDescent="0.35">
      <c r="A22">
        <v>264</v>
      </c>
      <c r="B22">
        <v>9906</v>
      </c>
      <c r="C22" t="s">
        <v>16</v>
      </c>
      <c r="D22" t="s">
        <v>16</v>
      </c>
      <c r="E22" s="2">
        <v>46084</v>
      </c>
      <c r="F22" s="2">
        <v>46083</v>
      </c>
      <c r="G22" t="s">
        <v>42</v>
      </c>
      <c r="H22">
        <v>61182800</v>
      </c>
      <c r="I22">
        <v>63445750</v>
      </c>
      <c r="J22">
        <v>23250000</v>
      </c>
      <c r="K22">
        <v>20837000</v>
      </c>
      <c r="M22">
        <f t="shared" si="0"/>
        <v>-150050</v>
      </c>
      <c r="N22" t="str">
        <f t="shared" si="1"/>
        <v>Sobrante</v>
      </c>
      <c r="O22" t="s">
        <v>24</v>
      </c>
      <c r="P22">
        <v>1069722520</v>
      </c>
    </row>
    <row r="23" spans="1:16" x14ac:dyDescent="0.35">
      <c r="A23">
        <v>291</v>
      </c>
      <c r="B23">
        <v>5114</v>
      </c>
      <c r="C23" t="s">
        <v>16</v>
      </c>
      <c r="D23" t="s">
        <v>16</v>
      </c>
      <c r="E23" s="2">
        <v>46084</v>
      </c>
      <c r="F23" s="2">
        <v>46080</v>
      </c>
      <c r="G23" t="s">
        <v>43</v>
      </c>
      <c r="H23">
        <v>129953250</v>
      </c>
      <c r="I23">
        <v>145821250</v>
      </c>
      <c r="J23">
        <v>29550000</v>
      </c>
      <c r="K23">
        <v>13682000</v>
      </c>
      <c r="M23">
        <f t="shared" si="0"/>
        <v>0</v>
      </c>
      <c r="N23" t="str">
        <f t="shared" si="1"/>
        <v>Cuadrado</v>
      </c>
      <c r="O23" t="s">
        <v>20</v>
      </c>
      <c r="P23">
        <v>1095930956</v>
      </c>
    </row>
    <row r="24" spans="1:16" x14ac:dyDescent="0.35">
      <c r="A24">
        <v>291</v>
      </c>
      <c r="B24">
        <v>5114</v>
      </c>
      <c r="C24" t="s">
        <v>16</v>
      </c>
      <c r="D24" t="s">
        <v>16</v>
      </c>
      <c r="E24" s="2">
        <v>46084</v>
      </c>
      <c r="F24" s="2">
        <v>46083</v>
      </c>
      <c r="G24" t="s">
        <v>44</v>
      </c>
      <c r="H24">
        <v>201253250</v>
      </c>
      <c r="I24">
        <v>207333250</v>
      </c>
      <c r="J24">
        <v>17450000</v>
      </c>
      <c r="K24">
        <v>11190000</v>
      </c>
      <c r="M24">
        <f t="shared" si="0"/>
        <v>-180000</v>
      </c>
      <c r="N24" t="str">
        <f t="shared" si="1"/>
        <v>Sobrante</v>
      </c>
      <c r="O24" t="s">
        <v>24</v>
      </c>
      <c r="P24">
        <v>1095930956</v>
      </c>
    </row>
    <row r="25" spans="1:16" x14ac:dyDescent="0.35">
      <c r="A25">
        <v>318</v>
      </c>
      <c r="B25">
        <v>5136</v>
      </c>
      <c r="C25" t="s">
        <v>16</v>
      </c>
      <c r="D25" t="s">
        <v>22</v>
      </c>
      <c r="E25" s="2">
        <v>46084</v>
      </c>
      <c r="F25" s="2">
        <v>46083</v>
      </c>
      <c r="G25" t="s">
        <v>45</v>
      </c>
      <c r="H25">
        <v>107378550</v>
      </c>
      <c r="I25">
        <v>98473550</v>
      </c>
      <c r="J25">
        <v>2870000</v>
      </c>
      <c r="K25">
        <v>11300000</v>
      </c>
      <c r="M25">
        <f t="shared" si="0"/>
        <v>-475000</v>
      </c>
      <c r="N25" t="str">
        <f t="shared" si="1"/>
        <v>Sobrante</v>
      </c>
      <c r="O25" t="s">
        <v>24</v>
      </c>
      <c r="P25">
        <v>1065862494</v>
      </c>
    </row>
    <row r="26" spans="1:16" x14ac:dyDescent="0.35">
      <c r="A26">
        <v>318</v>
      </c>
      <c r="B26">
        <v>7680</v>
      </c>
      <c r="C26" t="s">
        <v>16</v>
      </c>
      <c r="D26" t="s">
        <v>16</v>
      </c>
      <c r="E26" s="2">
        <v>46084</v>
      </c>
      <c r="F26" s="2">
        <v>46083</v>
      </c>
      <c r="G26" t="s">
        <v>46</v>
      </c>
      <c r="H26">
        <v>77044000</v>
      </c>
      <c r="I26">
        <v>69364000</v>
      </c>
      <c r="J26">
        <v>450000</v>
      </c>
      <c r="K26">
        <v>6400000</v>
      </c>
      <c r="M26">
        <f t="shared" si="0"/>
        <v>-1730000</v>
      </c>
      <c r="N26" t="str">
        <f t="shared" si="1"/>
        <v>Sobrante</v>
      </c>
      <c r="O26" t="s">
        <v>24</v>
      </c>
      <c r="P26">
        <v>1065862494</v>
      </c>
    </row>
    <row r="27" spans="1:16" x14ac:dyDescent="0.35">
      <c r="A27">
        <v>322</v>
      </c>
      <c r="B27">
        <v>2444</v>
      </c>
      <c r="C27" t="s">
        <v>16</v>
      </c>
      <c r="D27" t="s">
        <v>16</v>
      </c>
      <c r="E27" s="2">
        <v>46084</v>
      </c>
      <c r="F27" s="2">
        <v>46083</v>
      </c>
      <c r="G27" t="s">
        <v>47</v>
      </c>
      <c r="H27">
        <v>239919900</v>
      </c>
      <c r="I27">
        <v>257059900</v>
      </c>
      <c r="J27">
        <v>0</v>
      </c>
      <c r="K27">
        <v>0</v>
      </c>
      <c r="M27">
        <f t="shared" si="0"/>
        <v>17140000</v>
      </c>
      <c r="N27" t="str">
        <f t="shared" si="1"/>
        <v>Faltante</v>
      </c>
      <c r="O27" t="s">
        <v>33</v>
      </c>
      <c r="P27">
        <v>1101320155</v>
      </c>
    </row>
    <row r="28" spans="1:16" x14ac:dyDescent="0.35">
      <c r="A28">
        <v>332</v>
      </c>
      <c r="B28">
        <v>7569</v>
      </c>
      <c r="C28" t="s">
        <v>16</v>
      </c>
      <c r="D28" t="s">
        <v>16</v>
      </c>
      <c r="E28" s="2">
        <v>46084</v>
      </c>
      <c r="F28" s="2">
        <v>46083</v>
      </c>
      <c r="G28" t="s">
        <v>48</v>
      </c>
      <c r="H28">
        <v>15708350</v>
      </c>
      <c r="I28">
        <v>216513950</v>
      </c>
      <c r="J28">
        <v>0</v>
      </c>
      <c r="K28">
        <v>7804400</v>
      </c>
      <c r="L28">
        <v>111822000</v>
      </c>
      <c r="M28">
        <f t="shared" si="0"/>
        <v>96788000</v>
      </c>
      <c r="N28" t="str">
        <f t="shared" si="1"/>
        <v>Faltante</v>
      </c>
      <c r="O28" t="s">
        <v>33</v>
      </c>
      <c r="P28">
        <v>80541675</v>
      </c>
    </row>
    <row r="29" spans="1:16" x14ac:dyDescent="0.35">
      <c r="A29">
        <v>348</v>
      </c>
      <c r="B29">
        <v>6724</v>
      </c>
      <c r="C29" t="s">
        <v>22</v>
      </c>
      <c r="D29" t="s">
        <v>16</v>
      </c>
      <c r="E29" s="2">
        <v>46084</v>
      </c>
      <c r="F29" s="2">
        <v>46083</v>
      </c>
      <c r="G29" t="s">
        <v>49</v>
      </c>
      <c r="H29">
        <v>65431400</v>
      </c>
      <c r="I29">
        <v>105169800</v>
      </c>
      <c r="J29">
        <v>21090000</v>
      </c>
      <c r="K29">
        <v>82702000</v>
      </c>
      <c r="L29">
        <v>105446000</v>
      </c>
      <c r="M29">
        <f t="shared" si="0"/>
        <v>-4095600</v>
      </c>
      <c r="N29" t="str">
        <f t="shared" si="1"/>
        <v>Sobrante</v>
      </c>
      <c r="O29" t="s">
        <v>24</v>
      </c>
      <c r="P29">
        <v>1123633014</v>
      </c>
    </row>
    <row r="30" spans="1:16" x14ac:dyDescent="0.35">
      <c r="A30">
        <v>383</v>
      </c>
      <c r="B30">
        <v>5194</v>
      </c>
      <c r="C30" t="s">
        <v>16</v>
      </c>
      <c r="D30" t="s">
        <v>16</v>
      </c>
      <c r="E30" s="2">
        <v>46084</v>
      </c>
      <c r="F30" s="2">
        <v>46083</v>
      </c>
      <c r="G30" t="s">
        <v>50</v>
      </c>
      <c r="H30">
        <v>76097750</v>
      </c>
      <c r="I30">
        <v>197826150</v>
      </c>
      <c r="J30">
        <v>30200000</v>
      </c>
      <c r="K30">
        <v>24594000</v>
      </c>
      <c r="M30">
        <f t="shared" si="0"/>
        <v>116122400</v>
      </c>
      <c r="N30" t="str">
        <f t="shared" si="1"/>
        <v>Faltante</v>
      </c>
      <c r="O30" t="s">
        <v>29</v>
      </c>
      <c r="P30">
        <v>1073160492</v>
      </c>
    </row>
    <row r="31" spans="1:16" x14ac:dyDescent="0.35">
      <c r="A31">
        <v>395</v>
      </c>
      <c r="B31">
        <v>1529</v>
      </c>
      <c r="C31" t="s">
        <v>16</v>
      </c>
      <c r="D31" t="s">
        <v>16</v>
      </c>
      <c r="E31" s="2">
        <v>46084</v>
      </c>
      <c r="F31" s="2">
        <v>46083</v>
      </c>
      <c r="G31" t="s">
        <v>51</v>
      </c>
      <c r="H31">
        <v>352278500</v>
      </c>
      <c r="I31">
        <v>350070350</v>
      </c>
      <c r="J31">
        <v>7850000</v>
      </c>
      <c r="K31">
        <v>0</v>
      </c>
      <c r="M31">
        <f t="shared" si="0"/>
        <v>-10058150</v>
      </c>
      <c r="N31" t="str">
        <f t="shared" si="1"/>
        <v>Sobrante</v>
      </c>
      <c r="O31" t="s">
        <v>24</v>
      </c>
      <c r="P31">
        <v>1121857901</v>
      </c>
    </row>
    <row r="32" spans="1:16" x14ac:dyDescent="0.35">
      <c r="A32">
        <v>453</v>
      </c>
      <c r="B32">
        <v>8018</v>
      </c>
      <c r="C32" t="s">
        <v>16</v>
      </c>
      <c r="D32" t="s">
        <v>16</v>
      </c>
      <c r="E32" s="2">
        <v>46084</v>
      </c>
      <c r="F32" s="2">
        <v>46083</v>
      </c>
      <c r="G32" t="s">
        <v>52</v>
      </c>
      <c r="H32">
        <v>116554650</v>
      </c>
      <c r="I32">
        <v>83609650</v>
      </c>
      <c r="J32">
        <v>5880000</v>
      </c>
      <c r="K32">
        <v>24532000</v>
      </c>
      <c r="M32">
        <f t="shared" si="0"/>
        <v>-14293000</v>
      </c>
      <c r="N32" t="str">
        <f t="shared" si="1"/>
        <v>Sobrante</v>
      </c>
      <c r="O32" t="s">
        <v>33</v>
      </c>
      <c r="P32">
        <v>1083897578</v>
      </c>
    </row>
    <row r="33" spans="1:16" x14ac:dyDescent="0.35">
      <c r="A33">
        <v>455</v>
      </c>
      <c r="B33">
        <v>5206</v>
      </c>
      <c r="C33" t="s">
        <v>16</v>
      </c>
      <c r="D33" t="s">
        <v>16</v>
      </c>
      <c r="E33" s="2">
        <v>46084</v>
      </c>
      <c r="F33" s="2">
        <v>46083</v>
      </c>
      <c r="G33" t="s">
        <v>53</v>
      </c>
      <c r="H33">
        <v>369152000</v>
      </c>
      <c r="I33">
        <v>319262200</v>
      </c>
      <c r="J33">
        <v>6650000</v>
      </c>
      <c r="K33">
        <v>56539800</v>
      </c>
      <c r="M33">
        <f t="shared" si="0"/>
        <v>0</v>
      </c>
      <c r="N33" t="str">
        <f t="shared" si="1"/>
        <v>Cuadrado</v>
      </c>
      <c r="O33" t="s">
        <v>20</v>
      </c>
      <c r="P33">
        <v>1083896352</v>
      </c>
    </row>
    <row r="34" spans="1:16" x14ac:dyDescent="0.35">
      <c r="A34">
        <v>457</v>
      </c>
      <c r="B34">
        <v>9004</v>
      </c>
      <c r="C34" t="s">
        <v>16</v>
      </c>
      <c r="D34" t="s">
        <v>22</v>
      </c>
      <c r="E34" s="2">
        <v>46084</v>
      </c>
      <c r="F34" s="2">
        <v>46083</v>
      </c>
      <c r="G34" t="s">
        <v>54</v>
      </c>
      <c r="H34">
        <v>292223700</v>
      </c>
      <c r="I34">
        <v>232471100</v>
      </c>
      <c r="J34">
        <v>7900000</v>
      </c>
      <c r="K34">
        <v>59495000</v>
      </c>
      <c r="M34">
        <f t="shared" si="0"/>
        <v>-8157600</v>
      </c>
      <c r="N34" t="str">
        <f t="shared" si="1"/>
        <v>Sobrante</v>
      </c>
      <c r="O34" t="s">
        <v>24</v>
      </c>
      <c r="P34">
        <v>33750644</v>
      </c>
    </row>
    <row r="35" spans="1:16" x14ac:dyDescent="0.35">
      <c r="A35">
        <v>523</v>
      </c>
      <c r="B35">
        <v>5082</v>
      </c>
      <c r="C35" t="s">
        <v>16</v>
      </c>
      <c r="D35" t="s">
        <v>16</v>
      </c>
      <c r="E35" s="2">
        <v>46084</v>
      </c>
      <c r="F35" s="2">
        <v>46083</v>
      </c>
      <c r="G35" t="s">
        <v>55</v>
      </c>
      <c r="H35">
        <v>199521050</v>
      </c>
      <c r="I35">
        <v>200075050</v>
      </c>
      <c r="J35">
        <v>1660000</v>
      </c>
      <c r="K35">
        <v>1100000</v>
      </c>
      <c r="M35">
        <f t="shared" si="0"/>
        <v>-6000</v>
      </c>
      <c r="N35" t="str">
        <f t="shared" si="1"/>
        <v>Sobrante</v>
      </c>
      <c r="O35" t="s">
        <v>24</v>
      </c>
      <c r="P35">
        <v>1065609766</v>
      </c>
    </row>
    <row r="36" spans="1:16" x14ac:dyDescent="0.35">
      <c r="A36">
        <v>554</v>
      </c>
      <c r="B36">
        <v>8294</v>
      </c>
      <c r="C36" t="s">
        <v>16</v>
      </c>
      <c r="D36" t="s">
        <v>16</v>
      </c>
      <c r="E36" s="2">
        <v>46084</v>
      </c>
      <c r="F36" s="2">
        <v>46083</v>
      </c>
      <c r="G36" t="s">
        <v>56</v>
      </c>
      <c r="H36">
        <v>209347850</v>
      </c>
      <c r="I36">
        <v>219907850</v>
      </c>
      <c r="J36">
        <v>10560000</v>
      </c>
      <c r="K36">
        <v>0</v>
      </c>
      <c r="M36">
        <f t="shared" si="0"/>
        <v>0</v>
      </c>
      <c r="N36" t="str">
        <f t="shared" si="1"/>
        <v>Cuadrado</v>
      </c>
      <c r="O36" t="s">
        <v>20</v>
      </c>
      <c r="P36">
        <v>1010130794</v>
      </c>
    </row>
    <row r="37" spans="1:16" x14ac:dyDescent="0.35">
      <c r="A37">
        <v>554</v>
      </c>
      <c r="B37">
        <v>8295</v>
      </c>
      <c r="C37" t="s">
        <v>16</v>
      </c>
      <c r="D37" t="s">
        <v>16</v>
      </c>
      <c r="E37" s="2">
        <v>46084</v>
      </c>
      <c r="F37" s="2">
        <v>46083</v>
      </c>
      <c r="G37" t="s">
        <v>57</v>
      </c>
      <c r="H37">
        <v>160173050</v>
      </c>
      <c r="I37">
        <v>135761900</v>
      </c>
      <c r="J37">
        <v>1000000</v>
      </c>
      <c r="K37">
        <v>16603000</v>
      </c>
      <c r="M37">
        <f t="shared" si="0"/>
        <v>-8808150</v>
      </c>
      <c r="N37" t="str">
        <f t="shared" si="1"/>
        <v>Sobrante</v>
      </c>
      <c r="O37" t="s">
        <v>24</v>
      </c>
      <c r="P37">
        <v>1010130794</v>
      </c>
    </row>
    <row r="38" spans="1:16" x14ac:dyDescent="0.35">
      <c r="A38">
        <v>556</v>
      </c>
      <c r="B38">
        <v>8333</v>
      </c>
      <c r="C38" t="s">
        <v>16</v>
      </c>
      <c r="D38" t="s">
        <v>16</v>
      </c>
      <c r="E38" s="2">
        <v>46084</v>
      </c>
      <c r="F38" s="2">
        <v>46081</v>
      </c>
      <c r="G38" t="s">
        <v>58</v>
      </c>
      <c r="H38">
        <v>232437400</v>
      </c>
      <c r="I38">
        <v>252363900</v>
      </c>
      <c r="J38">
        <v>31530000</v>
      </c>
      <c r="K38">
        <v>11603500</v>
      </c>
      <c r="M38">
        <f t="shared" si="0"/>
        <v>0</v>
      </c>
      <c r="N38" t="str">
        <f t="shared" si="1"/>
        <v>Cuadrado</v>
      </c>
      <c r="O38" t="s">
        <v>20</v>
      </c>
      <c r="P38">
        <v>39450196</v>
      </c>
    </row>
    <row r="39" spans="1:16" x14ac:dyDescent="0.35">
      <c r="A39">
        <v>613</v>
      </c>
      <c r="B39">
        <v>6713</v>
      </c>
      <c r="C39" t="s">
        <v>22</v>
      </c>
      <c r="D39" t="s">
        <v>16</v>
      </c>
      <c r="E39" s="2">
        <v>46084</v>
      </c>
      <c r="F39" s="2">
        <v>46083</v>
      </c>
      <c r="G39" t="s">
        <v>30</v>
      </c>
      <c r="H39">
        <v>113270800</v>
      </c>
      <c r="I39">
        <v>110824100</v>
      </c>
      <c r="J39">
        <v>14050000</v>
      </c>
      <c r="K39">
        <v>16111300</v>
      </c>
      <c r="M39">
        <f t="shared" si="0"/>
        <v>-385400</v>
      </c>
      <c r="N39" t="str">
        <f t="shared" si="1"/>
        <v>Sobrante</v>
      </c>
      <c r="O39" t="s">
        <v>24</v>
      </c>
      <c r="P39">
        <v>32106943</v>
      </c>
    </row>
    <row r="40" spans="1:16" x14ac:dyDescent="0.35">
      <c r="A40">
        <v>634</v>
      </c>
      <c r="B40">
        <v>5087</v>
      </c>
      <c r="C40" t="s">
        <v>16</v>
      </c>
      <c r="D40" t="s">
        <v>16</v>
      </c>
      <c r="E40" s="2">
        <v>46084</v>
      </c>
      <c r="F40" s="2">
        <v>46083</v>
      </c>
      <c r="G40" t="s">
        <v>59</v>
      </c>
      <c r="H40">
        <v>242530800</v>
      </c>
      <c r="I40">
        <v>254556300</v>
      </c>
      <c r="J40">
        <v>12040000</v>
      </c>
      <c r="K40">
        <v>0</v>
      </c>
      <c r="M40">
        <f t="shared" si="0"/>
        <v>-14500</v>
      </c>
      <c r="N40" t="str">
        <f t="shared" si="1"/>
        <v>Sobrante</v>
      </c>
      <c r="O40" t="s">
        <v>24</v>
      </c>
      <c r="P40">
        <v>1032424944</v>
      </c>
    </row>
    <row r="41" spans="1:16" x14ac:dyDescent="0.35">
      <c r="A41">
        <v>651</v>
      </c>
      <c r="B41">
        <v>7318</v>
      </c>
      <c r="C41" t="s">
        <v>22</v>
      </c>
      <c r="D41" t="s">
        <v>16</v>
      </c>
      <c r="E41" s="2">
        <v>46084</v>
      </c>
      <c r="F41" s="2">
        <v>46080</v>
      </c>
      <c r="G41" t="s">
        <v>60</v>
      </c>
      <c r="H41">
        <v>72889300</v>
      </c>
      <c r="I41">
        <v>101307300</v>
      </c>
      <c r="J41">
        <v>43670000</v>
      </c>
      <c r="K41">
        <v>15252000</v>
      </c>
      <c r="M41">
        <f t="shared" si="0"/>
        <v>0</v>
      </c>
      <c r="N41" t="str">
        <f t="shared" si="1"/>
        <v>Cuadrado</v>
      </c>
      <c r="O41" t="s">
        <v>20</v>
      </c>
      <c r="P41">
        <v>70136398</v>
      </c>
    </row>
    <row r="42" spans="1:16" x14ac:dyDescent="0.35">
      <c r="A42">
        <v>659</v>
      </c>
      <c r="B42">
        <v>5102</v>
      </c>
      <c r="C42" t="s">
        <v>16</v>
      </c>
      <c r="D42" t="s">
        <v>16</v>
      </c>
      <c r="E42" s="2">
        <v>46084</v>
      </c>
      <c r="F42" s="2">
        <v>46083</v>
      </c>
      <c r="G42" t="s">
        <v>61</v>
      </c>
      <c r="H42">
        <v>147494150</v>
      </c>
      <c r="I42">
        <v>162044150</v>
      </c>
      <c r="J42">
        <v>18760000</v>
      </c>
      <c r="K42">
        <v>4240000</v>
      </c>
      <c r="M42">
        <f t="shared" si="0"/>
        <v>30000</v>
      </c>
      <c r="N42" t="str">
        <f t="shared" si="1"/>
        <v>Faltante</v>
      </c>
      <c r="O42" t="s">
        <v>33</v>
      </c>
      <c r="P42">
        <v>1110555222</v>
      </c>
    </row>
    <row r="43" spans="1:16" x14ac:dyDescent="0.35">
      <c r="A43">
        <v>667</v>
      </c>
      <c r="B43">
        <v>5167</v>
      </c>
      <c r="C43" t="s">
        <v>16</v>
      </c>
      <c r="D43" t="s">
        <v>16</v>
      </c>
      <c r="E43" s="2">
        <v>46084</v>
      </c>
      <c r="F43" s="2">
        <v>46083</v>
      </c>
      <c r="G43" t="s">
        <v>62</v>
      </c>
      <c r="H43">
        <v>137263550</v>
      </c>
      <c r="I43">
        <v>137654200</v>
      </c>
      <c r="J43">
        <v>500000</v>
      </c>
      <c r="K43">
        <v>0</v>
      </c>
      <c r="M43">
        <f t="shared" si="0"/>
        <v>-109350</v>
      </c>
      <c r="N43" t="str">
        <f t="shared" si="1"/>
        <v>Sobrante</v>
      </c>
      <c r="O43" t="s">
        <v>24</v>
      </c>
      <c r="P43">
        <v>79953058</v>
      </c>
    </row>
    <row r="44" spans="1:16" x14ac:dyDescent="0.35">
      <c r="A44">
        <v>682</v>
      </c>
      <c r="B44">
        <v>5049</v>
      </c>
      <c r="C44" t="s">
        <v>16</v>
      </c>
      <c r="D44" t="s">
        <v>16</v>
      </c>
      <c r="E44" s="2">
        <v>46084</v>
      </c>
      <c r="F44" s="2">
        <v>46083</v>
      </c>
      <c r="G44" t="s">
        <v>63</v>
      </c>
      <c r="H44">
        <v>207673400</v>
      </c>
      <c r="I44">
        <v>169164800</v>
      </c>
      <c r="J44">
        <v>40760000</v>
      </c>
      <c r="K44">
        <v>161877000</v>
      </c>
      <c r="L44">
        <v>82621000</v>
      </c>
      <c r="M44">
        <f t="shared" si="0"/>
        <v>-12600</v>
      </c>
      <c r="N44" t="str">
        <f t="shared" si="1"/>
        <v>Sobrante</v>
      </c>
      <c r="O44" t="s">
        <v>24</v>
      </c>
      <c r="P44">
        <v>1018447800</v>
      </c>
    </row>
    <row r="45" spans="1:16" x14ac:dyDescent="0.35">
      <c r="A45">
        <v>698</v>
      </c>
      <c r="B45">
        <v>5187</v>
      </c>
      <c r="C45" t="s">
        <v>16</v>
      </c>
      <c r="D45" t="s">
        <v>16</v>
      </c>
      <c r="E45" s="2">
        <v>46084</v>
      </c>
      <c r="F45" s="2">
        <v>46080</v>
      </c>
      <c r="G45" t="s">
        <v>64</v>
      </c>
      <c r="H45">
        <v>255606100</v>
      </c>
      <c r="I45">
        <v>232013900</v>
      </c>
      <c r="J45">
        <v>25720000</v>
      </c>
      <c r="K45">
        <v>49312200</v>
      </c>
      <c r="M45">
        <f t="shared" si="0"/>
        <v>0</v>
      </c>
      <c r="N45" t="str">
        <f t="shared" si="1"/>
        <v>Cuadrado</v>
      </c>
      <c r="O45" t="s">
        <v>20</v>
      </c>
      <c r="P45">
        <v>1019065205</v>
      </c>
    </row>
    <row r="46" spans="1:16" x14ac:dyDescent="0.35">
      <c r="A46">
        <v>723</v>
      </c>
      <c r="B46">
        <v>5046</v>
      </c>
      <c r="C46" t="s">
        <v>16</v>
      </c>
      <c r="D46" t="s">
        <v>16</v>
      </c>
      <c r="E46" s="2">
        <v>46084</v>
      </c>
      <c r="F46" s="2">
        <v>46083</v>
      </c>
      <c r="G46" t="s">
        <v>65</v>
      </c>
      <c r="H46">
        <v>252009000</v>
      </c>
      <c r="I46">
        <v>273030000</v>
      </c>
      <c r="J46">
        <v>0</v>
      </c>
      <c r="K46">
        <v>0</v>
      </c>
      <c r="L46">
        <v>21021000</v>
      </c>
      <c r="M46">
        <f t="shared" si="0"/>
        <v>0</v>
      </c>
      <c r="N46" t="str">
        <f t="shared" si="1"/>
        <v>Cuadrado</v>
      </c>
      <c r="O46" t="s">
        <v>20</v>
      </c>
      <c r="P46">
        <v>1088310723</v>
      </c>
    </row>
    <row r="47" spans="1:16" x14ac:dyDescent="0.35">
      <c r="A47">
        <v>725</v>
      </c>
      <c r="B47">
        <v>8090</v>
      </c>
      <c r="C47" t="s">
        <v>16</v>
      </c>
      <c r="D47" t="s">
        <v>16</v>
      </c>
      <c r="E47" s="2">
        <v>46084</v>
      </c>
      <c r="F47" s="2">
        <v>46080</v>
      </c>
      <c r="G47" t="s">
        <v>66</v>
      </c>
      <c r="H47">
        <v>75762300</v>
      </c>
      <c r="I47">
        <v>86092300</v>
      </c>
      <c r="J47">
        <v>10550000</v>
      </c>
      <c r="K47">
        <v>220000</v>
      </c>
      <c r="M47">
        <f t="shared" si="0"/>
        <v>0</v>
      </c>
      <c r="N47" t="str">
        <f t="shared" si="1"/>
        <v>Cuadrado</v>
      </c>
      <c r="O47" t="s">
        <v>20</v>
      </c>
      <c r="P47">
        <v>1088032608</v>
      </c>
    </row>
    <row r="48" spans="1:16" x14ac:dyDescent="0.35">
      <c r="A48">
        <v>728</v>
      </c>
      <c r="B48">
        <v>8586</v>
      </c>
      <c r="C48" t="s">
        <v>16</v>
      </c>
      <c r="D48" t="s">
        <v>16</v>
      </c>
      <c r="E48" s="2">
        <v>46084</v>
      </c>
      <c r="F48" s="2">
        <v>46083</v>
      </c>
      <c r="G48" t="s">
        <v>67</v>
      </c>
      <c r="H48">
        <v>21395000</v>
      </c>
      <c r="I48">
        <v>57395000</v>
      </c>
      <c r="J48">
        <v>41600000</v>
      </c>
      <c r="K48">
        <v>2248500</v>
      </c>
      <c r="M48">
        <f t="shared" si="0"/>
        <v>-3351500</v>
      </c>
      <c r="N48" t="str">
        <f t="shared" si="1"/>
        <v>Sobrante</v>
      </c>
      <c r="O48" t="s">
        <v>24</v>
      </c>
      <c r="P48">
        <v>1112783690</v>
      </c>
    </row>
    <row r="49" spans="1:16" x14ac:dyDescent="0.35">
      <c r="A49">
        <v>728</v>
      </c>
      <c r="B49">
        <v>8587</v>
      </c>
      <c r="C49" t="s">
        <v>16</v>
      </c>
      <c r="D49" t="s">
        <v>16</v>
      </c>
      <c r="E49" s="2">
        <v>46084</v>
      </c>
      <c r="F49" s="2">
        <v>46083</v>
      </c>
      <c r="G49" t="s">
        <v>68</v>
      </c>
      <c r="H49">
        <v>53145600</v>
      </c>
      <c r="I49">
        <v>43795600</v>
      </c>
      <c r="J49">
        <v>1350000</v>
      </c>
      <c r="K49">
        <v>10700000</v>
      </c>
      <c r="M49">
        <f t="shared" si="0"/>
        <v>0</v>
      </c>
      <c r="N49" t="str">
        <f t="shared" si="1"/>
        <v>Cuadrado</v>
      </c>
      <c r="O49" t="s">
        <v>20</v>
      </c>
      <c r="P49">
        <v>1112783690</v>
      </c>
    </row>
    <row r="50" spans="1:16" x14ac:dyDescent="0.35">
      <c r="A50">
        <v>781</v>
      </c>
      <c r="B50">
        <v>5057</v>
      </c>
      <c r="C50" t="s">
        <v>16</v>
      </c>
      <c r="D50" t="s">
        <v>16</v>
      </c>
      <c r="E50" s="2">
        <v>46084</v>
      </c>
      <c r="F50" s="2">
        <v>46083</v>
      </c>
      <c r="G50" t="s">
        <v>69</v>
      </c>
      <c r="H50">
        <v>510283800</v>
      </c>
      <c r="I50">
        <v>488188150</v>
      </c>
      <c r="J50">
        <v>240000</v>
      </c>
      <c r="K50">
        <v>3169000</v>
      </c>
      <c r="M50">
        <f t="shared" si="0"/>
        <v>-19166650</v>
      </c>
      <c r="N50" t="str">
        <f t="shared" si="1"/>
        <v>Sobrante</v>
      </c>
      <c r="O50" t="s">
        <v>33</v>
      </c>
      <c r="P50">
        <v>1082848167</v>
      </c>
    </row>
    <row r="51" spans="1:16" x14ac:dyDescent="0.35">
      <c r="A51">
        <v>796</v>
      </c>
      <c r="B51">
        <v>6911</v>
      </c>
      <c r="C51" t="s">
        <v>16</v>
      </c>
      <c r="D51" t="s">
        <v>16</v>
      </c>
      <c r="E51" s="2">
        <v>46084</v>
      </c>
      <c r="F51" s="2">
        <v>46083</v>
      </c>
      <c r="G51" t="s">
        <v>70</v>
      </c>
      <c r="H51">
        <v>225619500</v>
      </c>
      <c r="I51">
        <v>146645500</v>
      </c>
      <c r="J51">
        <v>51030000</v>
      </c>
      <c r="K51">
        <v>114049800</v>
      </c>
      <c r="M51">
        <f t="shared" si="0"/>
        <v>-15954200</v>
      </c>
      <c r="N51" t="str">
        <f t="shared" si="1"/>
        <v>Sobrante</v>
      </c>
      <c r="O51" t="s">
        <v>33</v>
      </c>
      <c r="P51">
        <v>1095802301</v>
      </c>
    </row>
    <row r="52" spans="1:16" x14ac:dyDescent="0.35">
      <c r="A52">
        <v>849</v>
      </c>
      <c r="B52">
        <v>9724</v>
      </c>
      <c r="C52" t="s">
        <v>16</v>
      </c>
      <c r="D52" t="s">
        <v>16</v>
      </c>
      <c r="E52" s="2">
        <v>46084</v>
      </c>
      <c r="F52" s="2">
        <v>46083</v>
      </c>
      <c r="G52" t="s">
        <v>71</v>
      </c>
      <c r="H52">
        <v>179585400</v>
      </c>
      <c r="I52">
        <v>169885400</v>
      </c>
      <c r="J52">
        <v>0</v>
      </c>
      <c r="K52">
        <v>0</v>
      </c>
      <c r="M52">
        <f t="shared" si="0"/>
        <v>-9700000</v>
      </c>
      <c r="N52" t="str">
        <f t="shared" si="1"/>
        <v>Sobrante</v>
      </c>
      <c r="O52" t="s">
        <v>24</v>
      </c>
      <c r="P52">
        <v>86063461</v>
      </c>
    </row>
    <row r="53" spans="1:16" x14ac:dyDescent="0.35">
      <c r="A53">
        <v>849</v>
      </c>
      <c r="B53">
        <v>9725</v>
      </c>
      <c r="C53" t="s">
        <v>16</v>
      </c>
      <c r="D53" t="s">
        <v>16</v>
      </c>
      <c r="E53" s="2">
        <v>46084</v>
      </c>
      <c r="F53" s="2">
        <v>46083</v>
      </c>
      <c r="G53" t="s">
        <v>71</v>
      </c>
      <c r="H53">
        <v>180547300</v>
      </c>
      <c r="I53">
        <v>214545300</v>
      </c>
      <c r="J53">
        <v>0</v>
      </c>
      <c r="K53">
        <v>0</v>
      </c>
      <c r="M53">
        <f t="shared" si="0"/>
        <v>33998000</v>
      </c>
      <c r="N53" t="str">
        <f t="shared" si="1"/>
        <v>Faltante</v>
      </c>
      <c r="O53" t="s">
        <v>29</v>
      </c>
      <c r="P53">
        <v>86063461</v>
      </c>
    </row>
    <row r="54" spans="1:16" x14ac:dyDescent="0.35">
      <c r="A54">
        <v>852</v>
      </c>
      <c r="B54">
        <v>5050</v>
      </c>
      <c r="C54" t="s">
        <v>16</v>
      </c>
      <c r="D54" t="s">
        <v>16</v>
      </c>
      <c r="E54" s="2">
        <v>46084</v>
      </c>
      <c r="F54" s="2">
        <v>46083</v>
      </c>
      <c r="G54" t="s">
        <v>72</v>
      </c>
      <c r="H54">
        <v>266592150</v>
      </c>
      <c r="I54">
        <v>277422150</v>
      </c>
      <c r="J54">
        <v>17390000</v>
      </c>
      <c r="K54">
        <v>6560000</v>
      </c>
      <c r="M54">
        <f t="shared" si="0"/>
        <v>0</v>
      </c>
      <c r="N54" t="str">
        <f t="shared" si="1"/>
        <v>Cuadrado</v>
      </c>
      <c r="O54" t="s">
        <v>20</v>
      </c>
      <c r="P54">
        <v>1088251245</v>
      </c>
    </row>
    <row r="55" spans="1:16" x14ac:dyDescent="0.35">
      <c r="A55">
        <v>866</v>
      </c>
      <c r="B55">
        <v>8662</v>
      </c>
      <c r="C55" t="s">
        <v>16</v>
      </c>
      <c r="D55" t="s">
        <v>16</v>
      </c>
      <c r="E55" s="2">
        <v>46084</v>
      </c>
      <c r="F55" s="2">
        <v>46083</v>
      </c>
      <c r="G55" t="s">
        <v>73</v>
      </c>
      <c r="H55">
        <v>63045450</v>
      </c>
      <c r="I55">
        <v>74845450</v>
      </c>
      <c r="J55">
        <v>11400000</v>
      </c>
      <c r="K55">
        <v>0</v>
      </c>
      <c r="M55">
        <f t="shared" si="0"/>
        <v>400000</v>
      </c>
      <c r="N55" t="str">
        <f t="shared" si="1"/>
        <v>Faltante</v>
      </c>
      <c r="O55" t="s">
        <v>33</v>
      </c>
      <c r="P55">
        <v>1113674245</v>
      </c>
    </row>
    <row r="56" spans="1:16" x14ac:dyDescent="0.35">
      <c r="A56">
        <v>876</v>
      </c>
      <c r="B56">
        <v>9682</v>
      </c>
      <c r="C56" t="s">
        <v>16</v>
      </c>
      <c r="D56" t="s">
        <v>16</v>
      </c>
      <c r="E56" s="2">
        <v>46084</v>
      </c>
      <c r="F56" s="2">
        <v>46083</v>
      </c>
      <c r="G56" t="s">
        <v>74</v>
      </c>
      <c r="H56">
        <v>504195450</v>
      </c>
      <c r="I56">
        <v>382634450</v>
      </c>
      <c r="J56">
        <v>7520000</v>
      </c>
      <c r="K56">
        <v>131620000</v>
      </c>
      <c r="L56">
        <v>2539000</v>
      </c>
      <c r="M56">
        <f t="shared" si="0"/>
        <v>0</v>
      </c>
      <c r="N56" t="str">
        <f t="shared" si="1"/>
        <v>Cuadrado</v>
      </c>
      <c r="O56" t="s">
        <v>75</v>
      </c>
      <c r="P56">
        <v>1002032451</v>
      </c>
    </row>
    <row r="57" spans="1:16" x14ac:dyDescent="0.35">
      <c r="A57">
        <v>888</v>
      </c>
      <c r="B57">
        <v>6818</v>
      </c>
      <c r="C57" t="s">
        <v>16</v>
      </c>
      <c r="D57" t="s">
        <v>16</v>
      </c>
      <c r="E57" s="2">
        <v>46084</v>
      </c>
      <c r="F57" s="2">
        <v>46083</v>
      </c>
      <c r="G57" t="s">
        <v>76</v>
      </c>
      <c r="H57">
        <v>125980200</v>
      </c>
      <c r="I57">
        <v>123180200</v>
      </c>
      <c r="J57">
        <v>0</v>
      </c>
      <c r="K57">
        <v>0</v>
      </c>
      <c r="M57">
        <f t="shared" si="0"/>
        <v>-2800000</v>
      </c>
      <c r="N57" t="str">
        <f t="shared" si="1"/>
        <v>Sobrante</v>
      </c>
      <c r="O57" t="s">
        <v>24</v>
      </c>
      <c r="P57">
        <v>1085921765</v>
      </c>
    </row>
    <row r="58" spans="1:16" x14ac:dyDescent="0.35">
      <c r="A58">
        <v>907</v>
      </c>
      <c r="B58">
        <v>4830</v>
      </c>
      <c r="C58" t="s">
        <v>16</v>
      </c>
      <c r="D58" t="s">
        <v>16</v>
      </c>
      <c r="E58" s="2">
        <v>46084</v>
      </c>
      <c r="F58" s="2">
        <v>46083</v>
      </c>
      <c r="G58" t="s">
        <v>30</v>
      </c>
      <c r="H58">
        <v>260035950</v>
      </c>
      <c r="I58">
        <v>259735950</v>
      </c>
      <c r="J58">
        <v>0</v>
      </c>
      <c r="K58">
        <v>0</v>
      </c>
      <c r="M58">
        <f t="shared" si="0"/>
        <v>-300000</v>
      </c>
      <c r="N58" t="str">
        <f t="shared" si="1"/>
        <v>Sobrante</v>
      </c>
      <c r="O58" t="s">
        <v>24</v>
      </c>
      <c r="P58">
        <v>71339401</v>
      </c>
    </row>
    <row r="59" spans="1:16" x14ac:dyDescent="0.35">
      <c r="A59">
        <v>907</v>
      </c>
      <c r="B59">
        <v>5019</v>
      </c>
      <c r="C59" t="s">
        <v>16</v>
      </c>
      <c r="D59" t="s">
        <v>16</v>
      </c>
      <c r="E59" s="2">
        <v>46084</v>
      </c>
      <c r="F59" s="2">
        <v>46083</v>
      </c>
      <c r="G59" t="s">
        <v>77</v>
      </c>
      <c r="H59">
        <v>259784700</v>
      </c>
      <c r="I59">
        <v>274754700</v>
      </c>
      <c r="J59">
        <v>15000000</v>
      </c>
      <c r="K59">
        <v>0</v>
      </c>
      <c r="M59">
        <f t="shared" si="0"/>
        <v>-30000</v>
      </c>
      <c r="N59" t="str">
        <f t="shared" si="1"/>
        <v>Sobrante</v>
      </c>
      <c r="O59" t="s">
        <v>24</v>
      </c>
      <c r="P59">
        <v>71339401</v>
      </c>
    </row>
    <row r="60" spans="1:16" x14ac:dyDescent="0.35">
      <c r="A60">
        <v>946</v>
      </c>
      <c r="B60">
        <v>5225</v>
      </c>
      <c r="C60" t="s">
        <v>16</v>
      </c>
      <c r="D60" t="s">
        <v>16</v>
      </c>
      <c r="E60" s="2">
        <v>46084</v>
      </c>
      <c r="F60" s="2">
        <v>46080</v>
      </c>
      <c r="G60" t="s">
        <v>78</v>
      </c>
      <c r="H60">
        <v>203942750</v>
      </c>
      <c r="I60">
        <v>246926750</v>
      </c>
      <c r="J60">
        <v>47380000</v>
      </c>
      <c r="K60">
        <v>4396000</v>
      </c>
      <c r="M60">
        <f t="shared" si="0"/>
        <v>0</v>
      </c>
      <c r="N60" t="str">
        <f t="shared" si="1"/>
        <v>Cuadrado</v>
      </c>
      <c r="O60" t="s">
        <v>20</v>
      </c>
      <c r="P60">
        <v>20500181</v>
      </c>
    </row>
    <row r="61" spans="1:16" x14ac:dyDescent="0.35">
      <c r="A61">
        <v>1</v>
      </c>
      <c r="B61">
        <v>5000</v>
      </c>
      <c r="C61" t="s">
        <v>16</v>
      </c>
      <c r="D61" t="s">
        <v>16</v>
      </c>
      <c r="E61" s="2">
        <v>46085</v>
      </c>
      <c r="F61" s="2">
        <v>46084</v>
      </c>
      <c r="G61" t="s">
        <v>49</v>
      </c>
      <c r="H61">
        <v>196112400</v>
      </c>
      <c r="I61">
        <v>246926400</v>
      </c>
      <c r="J61">
        <v>75910000</v>
      </c>
      <c r="K61">
        <v>24702000</v>
      </c>
      <c r="M61">
        <f t="shared" si="0"/>
        <v>-394000</v>
      </c>
      <c r="N61" t="str">
        <f t="shared" si="1"/>
        <v>Sobrante</v>
      </c>
      <c r="O61" t="s">
        <v>79</v>
      </c>
      <c r="P61">
        <v>1017128064</v>
      </c>
    </row>
    <row r="62" spans="1:16" x14ac:dyDescent="0.35">
      <c r="A62">
        <v>93</v>
      </c>
      <c r="B62">
        <v>7126</v>
      </c>
      <c r="C62" t="s">
        <v>16</v>
      </c>
      <c r="D62" t="s">
        <v>16</v>
      </c>
      <c r="E62" s="2">
        <v>46085</v>
      </c>
      <c r="F62" s="2">
        <v>46084</v>
      </c>
      <c r="G62" t="s">
        <v>80</v>
      </c>
      <c r="H62">
        <v>141650850</v>
      </c>
      <c r="I62">
        <v>150308850</v>
      </c>
      <c r="J62">
        <v>19680000</v>
      </c>
      <c r="K62">
        <v>11022000</v>
      </c>
      <c r="M62">
        <f t="shared" si="0"/>
        <v>0</v>
      </c>
      <c r="N62" t="str">
        <f t="shared" si="1"/>
        <v>Cuadrado</v>
      </c>
      <c r="O62" t="s">
        <v>20</v>
      </c>
      <c r="P62">
        <v>1067931735</v>
      </c>
    </row>
    <row r="63" spans="1:16" x14ac:dyDescent="0.35">
      <c r="A63">
        <v>166</v>
      </c>
      <c r="B63">
        <v>7940</v>
      </c>
      <c r="C63" t="s">
        <v>16</v>
      </c>
      <c r="D63" t="s">
        <v>22</v>
      </c>
      <c r="E63" s="2">
        <v>46085</v>
      </c>
      <c r="F63" s="2">
        <v>46084</v>
      </c>
      <c r="G63" t="s">
        <v>81</v>
      </c>
      <c r="H63">
        <v>337097000</v>
      </c>
      <c r="I63">
        <v>204376600</v>
      </c>
      <c r="J63">
        <v>40230000</v>
      </c>
      <c r="K63">
        <v>169096500</v>
      </c>
      <c r="M63">
        <f t="shared" si="0"/>
        <v>-3853900</v>
      </c>
      <c r="N63" t="str">
        <f t="shared" si="1"/>
        <v>Sobrante</v>
      </c>
      <c r="O63" t="s">
        <v>79</v>
      </c>
      <c r="P63">
        <v>50938822</v>
      </c>
    </row>
    <row r="64" spans="1:16" x14ac:dyDescent="0.35">
      <c r="A64">
        <v>185</v>
      </c>
      <c r="B64">
        <v>2208</v>
      </c>
      <c r="C64" t="s">
        <v>22</v>
      </c>
      <c r="D64" t="s">
        <v>16</v>
      </c>
      <c r="E64" s="2">
        <v>46085</v>
      </c>
      <c r="F64" s="2">
        <v>46084</v>
      </c>
      <c r="G64" t="s">
        <v>82</v>
      </c>
      <c r="H64">
        <v>45108500</v>
      </c>
      <c r="I64">
        <v>44373200</v>
      </c>
      <c r="J64">
        <v>2850000</v>
      </c>
      <c r="K64">
        <v>5110000</v>
      </c>
      <c r="M64">
        <f t="shared" si="0"/>
        <v>1524700</v>
      </c>
      <c r="N64" t="str">
        <f t="shared" si="1"/>
        <v>Faltante</v>
      </c>
      <c r="O64" t="s">
        <v>83</v>
      </c>
      <c r="P64">
        <v>66784636</v>
      </c>
    </row>
    <row r="65" spans="1:16" x14ac:dyDescent="0.35">
      <c r="A65">
        <v>233</v>
      </c>
      <c r="B65">
        <v>7212</v>
      </c>
      <c r="C65" t="s">
        <v>16</v>
      </c>
      <c r="D65" t="s">
        <v>22</v>
      </c>
      <c r="E65" s="2">
        <v>46085</v>
      </c>
      <c r="F65" s="2">
        <v>46084</v>
      </c>
      <c r="G65" t="s">
        <v>84</v>
      </c>
      <c r="H65">
        <v>233874400</v>
      </c>
      <c r="I65">
        <v>238254400</v>
      </c>
      <c r="J65">
        <v>2100000</v>
      </c>
      <c r="K65">
        <v>220000</v>
      </c>
      <c r="M65">
        <f t="shared" si="0"/>
        <v>2500000</v>
      </c>
      <c r="N65" t="str">
        <f t="shared" si="1"/>
        <v>Faltante</v>
      </c>
      <c r="O65" t="s">
        <v>33</v>
      </c>
      <c r="P65">
        <v>80271480</v>
      </c>
    </row>
    <row r="66" spans="1:16" x14ac:dyDescent="0.35">
      <c r="A66">
        <v>291</v>
      </c>
      <c r="B66">
        <v>8139</v>
      </c>
      <c r="C66" t="s">
        <v>22</v>
      </c>
      <c r="D66" t="s">
        <v>16</v>
      </c>
      <c r="E66" s="2">
        <v>46085</v>
      </c>
      <c r="F66" s="2">
        <v>46084</v>
      </c>
      <c r="G66" t="s">
        <v>85</v>
      </c>
      <c r="H66">
        <v>98387300</v>
      </c>
      <c r="I66">
        <v>111026600</v>
      </c>
      <c r="J66">
        <v>16070000</v>
      </c>
      <c r="K66">
        <v>3450000</v>
      </c>
      <c r="L66">
        <v>19300</v>
      </c>
      <c r="M66">
        <f t="shared" ref="M66:M129" si="2">I66-(H66+J66-K66)- L66</f>
        <v>0</v>
      </c>
      <c r="N66" t="str">
        <f t="shared" ref="N66:N129" si="3">IF(M66=0,"Cuadrado",IF(M66&gt;0,"Faltante","Sobrante"))</f>
        <v>Cuadrado</v>
      </c>
      <c r="O66" t="s">
        <v>86</v>
      </c>
      <c r="P66">
        <v>1095930956</v>
      </c>
    </row>
    <row r="67" spans="1:16" x14ac:dyDescent="0.35">
      <c r="A67">
        <v>331</v>
      </c>
      <c r="B67">
        <v>574</v>
      </c>
      <c r="C67" t="s">
        <v>16</v>
      </c>
      <c r="D67" t="s">
        <v>16</v>
      </c>
      <c r="E67" s="2">
        <v>46085</v>
      </c>
      <c r="F67" s="2">
        <v>46084</v>
      </c>
      <c r="G67" t="s">
        <v>87</v>
      </c>
      <c r="H67">
        <v>110266600</v>
      </c>
      <c r="I67">
        <v>419768750</v>
      </c>
      <c r="J67">
        <v>27370000</v>
      </c>
      <c r="K67">
        <v>175978850</v>
      </c>
      <c r="L67">
        <v>266636000</v>
      </c>
      <c r="M67">
        <f t="shared" si="2"/>
        <v>191475000</v>
      </c>
      <c r="N67" t="str">
        <f t="shared" si="3"/>
        <v>Faltante</v>
      </c>
      <c r="O67" t="s">
        <v>33</v>
      </c>
      <c r="P67">
        <v>32244978</v>
      </c>
    </row>
    <row r="68" spans="1:16" x14ac:dyDescent="0.35">
      <c r="A68">
        <v>392</v>
      </c>
      <c r="B68">
        <v>5064</v>
      </c>
      <c r="C68" t="s">
        <v>16</v>
      </c>
      <c r="D68" t="s">
        <v>16</v>
      </c>
      <c r="E68" s="2">
        <v>46085</v>
      </c>
      <c r="F68" s="2">
        <v>46084</v>
      </c>
      <c r="G68" t="s">
        <v>88</v>
      </c>
      <c r="H68">
        <v>156577650</v>
      </c>
      <c r="I68">
        <v>158719650</v>
      </c>
      <c r="J68">
        <v>45650000</v>
      </c>
      <c r="K68">
        <v>44635000</v>
      </c>
      <c r="L68">
        <v>1127000</v>
      </c>
      <c r="M68">
        <f t="shared" si="2"/>
        <v>0</v>
      </c>
      <c r="N68" t="str">
        <f t="shared" si="3"/>
        <v>Cuadrado</v>
      </c>
      <c r="O68" t="s">
        <v>89</v>
      </c>
      <c r="P68">
        <v>1054547012</v>
      </c>
    </row>
    <row r="69" spans="1:16" x14ac:dyDescent="0.35">
      <c r="A69">
        <v>430</v>
      </c>
      <c r="B69">
        <v>5104</v>
      </c>
      <c r="C69" t="s">
        <v>16</v>
      </c>
      <c r="D69" t="s">
        <v>16</v>
      </c>
      <c r="E69" s="2">
        <v>46085</v>
      </c>
      <c r="F69" s="2">
        <v>46084</v>
      </c>
      <c r="G69" t="s">
        <v>90</v>
      </c>
      <c r="H69">
        <v>336412000</v>
      </c>
      <c r="I69">
        <v>303428650</v>
      </c>
      <c r="J69">
        <v>15920000</v>
      </c>
      <c r="K69">
        <v>49488000</v>
      </c>
      <c r="M69">
        <f t="shared" si="2"/>
        <v>584650</v>
      </c>
      <c r="N69" t="str">
        <f t="shared" si="3"/>
        <v>Faltante</v>
      </c>
      <c r="O69" t="s">
        <v>33</v>
      </c>
      <c r="P69">
        <v>1035234232</v>
      </c>
    </row>
    <row r="70" spans="1:16" x14ac:dyDescent="0.35">
      <c r="A70">
        <v>453</v>
      </c>
      <c r="B70">
        <v>8018</v>
      </c>
      <c r="C70" t="s">
        <v>16</v>
      </c>
      <c r="D70" t="s">
        <v>16</v>
      </c>
      <c r="E70" s="2">
        <v>46085</v>
      </c>
      <c r="F70" s="2">
        <v>46084</v>
      </c>
      <c r="G70" t="s">
        <v>91</v>
      </c>
      <c r="H70">
        <v>317539300</v>
      </c>
      <c r="I70">
        <v>276186300</v>
      </c>
      <c r="J70">
        <v>4780000</v>
      </c>
      <c r="K70">
        <v>18220000</v>
      </c>
      <c r="M70">
        <f t="shared" si="2"/>
        <v>-27913000</v>
      </c>
      <c r="N70" t="str">
        <f t="shared" si="3"/>
        <v>Sobrante</v>
      </c>
      <c r="O70" t="s">
        <v>79</v>
      </c>
      <c r="P70">
        <v>1083897578</v>
      </c>
    </row>
    <row r="71" spans="1:16" x14ac:dyDescent="0.35">
      <c r="A71">
        <v>453</v>
      </c>
      <c r="B71">
        <v>8019</v>
      </c>
      <c r="C71" t="s">
        <v>16</v>
      </c>
      <c r="D71" t="s">
        <v>16</v>
      </c>
      <c r="E71" s="2">
        <v>46085</v>
      </c>
      <c r="F71" s="2">
        <v>46084</v>
      </c>
      <c r="G71" t="s">
        <v>92</v>
      </c>
      <c r="H71">
        <v>290564100</v>
      </c>
      <c r="I71">
        <v>260374100</v>
      </c>
      <c r="J71">
        <v>7170000</v>
      </c>
      <c r="K71">
        <v>34750000</v>
      </c>
      <c r="M71">
        <f t="shared" si="2"/>
        <v>-2610000</v>
      </c>
      <c r="N71" t="str">
        <f t="shared" si="3"/>
        <v>Sobrante</v>
      </c>
      <c r="O71" t="s">
        <v>79</v>
      </c>
      <c r="P71">
        <v>1083897578</v>
      </c>
    </row>
    <row r="72" spans="1:16" x14ac:dyDescent="0.35">
      <c r="A72">
        <v>509</v>
      </c>
      <c r="B72">
        <v>8835</v>
      </c>
      <c r="C72" t="s">
        <v>16</v>
      </c>
      <c r="D72" t="s">
        <v>16</v>
      </c>
      <c r="E72" s="2">
        <v>46085</v>
      </c>
      <c r="F72" s="2">
        <v>46084</v>
      </c>
      <c r="G72" t="s">
        <v>93</v>
      </c>
      <c r="H72">
        <v>289365350</v>
      </c>
      <c r="I72">
        <v>230723250</v>
      </c>
      <c r="J72">
        <v>4280000</v>
      </c>
      <c r="K72">
        <v>64171700</v>
      </c>
      <c r="M72">
        <f t="shared" si="2"/>
        <v>1249600</v>
      </c>
      <c r="N72" t="str">
        <f t="shared" si="3"/>
        <v>Faltante</v>
      </c>
      <c r="O72" t="s">
        <v>83</v>
      </c>
      <c r="P72">
        <v>1143370364</v>
      </c>
    </row>
    <row r="73" spans="1:16" x14ac:dyDescent="0.35">
      <c r="A73">
        <v>524</v>
      </c>
      <c r="B73">
        <v>6336</v>
      </c>
      <c r="C73" t="s">
        <v>16</v>
      </c>
      <c r="D73" t="s">
        <v>16</v>
      </c>
      <c r="E73" s="2">
        <v>46085</v>
      </c>
      <c r="F73" s="2">
        <v>46084</v>
      </c>
      <c r="G73" t="s">
        <v>94</v>
      </c>
      <c r="H73">
        <v>260115300</v>
      </c>
      <c r="I73">
        <v>260773100</v>
      </c>
      <c r="J73">
        <v>660000</v>
      </c>
      <c r="K73">
        <v>0</v>
      </c>
      <c r="M73">
        <f t="shared" si="2"/>
        <v>-2200</v>
      </c>
      <c r="N73" t="str">
        <f t="shared" si="3"/>
        <v>Sobrante</v>
      </c>
      <c r="O73" t="s">
        <v>79</v>
      </c>
      <c r="P73">
        <v>1004211532</v>
      </c>
    </row>
    <row r="74" spans="1:16" x14ac:dyDescent="0.35">
      <c r="A74">
        <v>551</v>
      </c>
      <c r="B74">
        <v>9644</v>
      </c>
      <c r="C74" t="s">
        <v>16</v>
      </c>
      <c r="D74" t="s">
        <v>16</v>
      </c>
      <c r="E74" s="2">
        <v>46085</v>
      </c>
      <c r="F74" s="2">
        <v>46084</v>
      </c>
      <c r="G74" t="s">
        <v>95</v>
      </c>
      <c r="H74">
        <v>389260600</v>
      </c>
      <c r="I74">
        <v>295698550</v>
      </c>
      <c r="J74">
        <v>54650000</v>
      </c>
      <c r="K74">
        <v>133333050</v>
      </c>
      <c r="M74">
        <f t="shared" si="2"/>
        <v>-14879000</v>
      </c>
      <c r="N74" t="str">
        <f t="shared" si="3"/>
        <v>Sobrante</v>
      </c>
      <c r="O74" t="s">
        <v>33</v>
      </c>
      <c r="P74">
        <v>1152213498</v>
      </c>
    </row>
    <row r="75" spans="1:16" x14ac:dyDescent="0.35">
      <c r="A75">
        <v>571</v>
      </c>
      <c r="B75">
        <v>6150</v>
      </c>
      <c r="C75" t="s">
        <v>16</v>
      </c>
      <c r="D75" t="s">
        <v>16</v>
      </c>
      <c r="E75" s="2">
        <v>46085</v>
      </c>
      <c r="F75" s="2">
        <v>46084</v>
      </c>
      <c r="G75" t="s">
        <v>96</v>
      </c>
      <c r="H75">
        <v>81955300</v>
      </c>
      <c r="I75">
        <v>67953850</v>
      </c>
      <c r="J75">
        <v>61680000</v>
      </c>
      <c r="K75">
        <v>75648900</v>
      </c>
      <c r="M75">
        <f t="shared" si="2"/>
        <v>-32550</v>
      </c>
      <c r="N75" t="str">
        <f t="shared" si="3"/>
        <v>Sobrante</v>
      </c>
      <c r="O75" t="s">
        <v>79</v>
      </c>
      <c r="P75">
        <v>1019116828</v>
      </c>
    </row>
    <row r="76" spans="1:16" x14ac:dyDescent="0.35">
      <c r="A76">
        <v>623</v>
      </c>
      <c r="B76">
        <v>5047</v>
      </c>
      <c r="C76" t="s">
        <v>16</v>
      </c>
      <c r="D76" t="s">
        <v>16</v>
      </c>
      <c r="E76" s="2">
        <v>46085</v>
      </c>
      <c r="F76" s="2">
        <v>46084</v>
      </c>
      <c r="G76" t="s">
        <v>97</v>
      </c>
      <c r="H76">
        <v>212035800</v>
      </c>
      <c r="I76">
        <v>221845800</v>
      </c>
      <c r="J76">
        <v>10260000</v>
      </c>
      <c r="K76">
        <v>0</v>
      </c>
      <c r="M76">
        <f t="shared" si="2"/>
        <v>-450000</v>
      </c>
      <c r="N76" t="str">
        <f t="shared" si="3"/>
        <v>Sobrante</v>
      </c>
      <c r="O76" t="s">
        <v>79</v>
      </c>
      <c r="P76">
        <v>1060651791</v>
      </c>
    </row>
    <row r="77" spans="1:16" x14ac:dyDescent="0.35">
      <c r="A77">
        <v>674</v>
      </c>
      <c r="B77">
        <v>5200</v>
      </c>
      <c r="C77" t="s">
        <v>16</v>
      </c>
      <c r="D77" t="s">
        <v>16</v>
      </c>
      <c r="E77" s="2">
        <v>46085</v>
      </c>
      <c r="F77" s="2">
        <v>46084</v>
      </c>
      <c r="G77" t="s">
        <v>98</v>
      </c>
      <c r="H77">
        <v>71893250</v>
      </c>
      <c r="I77">
        <v>28043300</v>
      </c>
      <c r="J77">
        <v>19150000</v>
      </c>
      <c r="K77">
        <v>0</v>
      </c>
      <c r="L77">
        <v>-62999950</v>
      </c>
      <c r="M77">
        <f t="shared" si="2"/>
        <v>0</v>
      </c>
      <c r="N77" t="str">
        <f t="shared" si="3"/>
        <v>Cuadrado</v>
      </c>
      <c r="O77" t="s">
        <v>99</v>
      </c>
      <c r="P77">
        <v>79813088</v>
      </c>
    </row>
    <row r="78" spans="1:16" x14ac:dyDescent="0.35">
      <c r="A78">
        <v>678</v>
      </c>
      <c r="B78">
        <v>5227</v>
      </c>
      <c r="C78" t="s">
        <v>16</v>
      </c>
      <c r="D78" t="s">
        <v>16</v>
      </c>
      <c r="E78" s="2">
        <v>46085</v>
      </c>
      <c r="F78" s="2">
        <v>46084</v>
      </c>
      <c r="G78" t="s">
        <v>100</v>
      </c>
      <c r="H78">
        <v>79082350</v>
      </c>
      <c r="I78">
        <v>86475000</v>
      </c>
      <c r="J78">
        <v>34900000</v>
      </c>
      <c r="K78">
        <v>22427350</v>
      </c>
      <c r="M78">
        <f t="shared" si="2"/>
        <v>-5080000</v>
      </c>
      <c r="N78" t="str">
        <f t="shared" si="3"/>
        <v>Sobrante</v>
      </c>
      <c r="O78" t="s">
        <v>79</v>
      </c>
      <c r="P78">
        <v>1102586250</v>
      </c>
    </row>
    <row r="79" spans="1:16" x14ac:dyDescent="0.35">
      <c r="A79">
        <v>692</v>
      </c>
      <c r="B79">
        <v>1515</v>
      </c>
      <c r="C79" t="s">
        <v>16</v>
      </c>
      <c r="D79" t="s">
        <v>16</v>
      </c>
      <c r="E79" s="2">
        <v>46085</v>
      </c>
      <c r="F79" s="2">
        <v>46084</v>
      </c>
      <c r="G79" t="s">
        <v>96</v>
      </c>
      <c r="H79">
        <v>327365550</v>
      </c>
      <c r="I79">
        <v>200057550</v>
      </c>
      <c r="J79">
        <v>33500000</v>
      </c>
      <c r="K79">
        <v>158964850</v>
      </c>
      <c r="M79">
        <f t="shared" si="2"/>
        <v>-1843150</v>
      </c>
      <c r="N79" t="str">
        <f t="shared" si="3"/>
        <v>Sobrante</v>
      </c>
      <c r="O79" t="s">
        <v>79</v>
      </c>
      <c r="P79">
        <v>30840635</v>
      </c>
    </row>
    <row r="80" spans="1:16" x14ac:dyDescent="0.35">
      <c r="A80">
        <v>728</v>
      </c>
      <c r="B80">
        <v>8586</v>
      </c>
      <c r="C80" t="s">
        <v>16</v>
      </c>
      <c r="D80" t="s">
        <v>16</v>
      </c>
      <c r="E80" s="2">
        <v>46085</v>
      </c>
      <c r="F80" s="2">
        <v>46084</v>
      </c>
      <c r="G80" t="s">
        <v>101</v>
      </c>
      <c r="H80">
        <v>124069800</v>
      </c>
      <c r="I80">
        <v>43355300</v>
      </c>
      <c r="J80">
        <v>24450000</v>
      </c>
      <c r="K80">
        <v>103924000</v>
      </c>
      <c r="L80">
        <v>-1240500</v>
      </c>
      <c r="M80">
        <f t="shared" si="2"/>
        <v>0</v>
      </c>
      <c r="N80" t="str">
        <f t="shared" si="3"/>
        <v>Cuadrado</v>
      </c>
      <c r="O80" t="s">
        <v>20</v>
      </c>
      <c r="P80">
        <v>1112783690</v>
      </c>
    </row>
    <row r="81" spans="1:16" x14ac:dyDescent="0.35">
      <c r="A81">
        <v>728</v>
      </c>
      <c r="B81">
        <v>8587</v>
      </c>
      <c r="C81" t="s">
        <v>16</v>
      </c>
      <c r="D81" t="s">
        <v>16</v>
      </c>
      <c r="E81" s="2">
        <v>46085</v>
      </c>
      <c r="F81" s="2">
        <v>46084</v>
      </c>
      <c r="G81" t="s">
        <v>102</v>
      </c>
      <c r="H81">
        <v>117107850</v>
      </c>
      <c r="I81">
        <v>87763850</v>
      </c>
      <c r="J81">
        <v>4320000</v>
      </c>
      <c r="K81">
        <v>33684000</v>
      </c>
      <c r="L81">
        <v>20000</v>
      </c>
      <c r="M81">
        <f t="shared" si="2"/>
        <v>0</v>
      </c>
      <c r="N81" t="str">
        <f t="shared" si="3"/>
        <v>Cuadrado</v>
      </c>
      <c r="O81" t="s">
        <v>20</v>
      </c>
      <c r="P81">
        <v>1112783690</v>
      </c>
    </row>
    <row r="82" spans="1:16" x14ac:dyDescent="0.35">
      <c r="A82">
        <v>741</v>
      </c>
      <c r="B82">
        <v>6843</v>
      </c>
      <c r="C82" t="s">
        <v>22</v>
      </c>
      <c r="D82" t="s">
        <v>16</v>
      </c>
      <c r="E82" s="2">
        <v>46085</v>
      </c>
      <c r="F82" s="2">
        <v>46084</v>
      </c>
      <c r="G82" t="s">
        <v>103</v>
      </c>
      <c r="H82">
        <v>159080350</v>
      </c>
      <c r="I82">
        <v>187116200</v>
      </c>
      <c r="J82">
        <v>47230000</v>
      </c>
      <c r="K82">
        <v>58009000</v>
      </c>
      <c r="M82">
        <f t="shared" si="2"/>
        <v>38814850</v>
      </c>
      <c r="N82" t="str">
        <f t="shared" si="3"/>
        <v>Faltante</v>
      </c>
      <c r="O82" t="s">
        <v>33</v>
      </c>
      <c r="P82">
        <v>1130637714</v>
      </c>
    </row>
    <row r="83" spans="1:16" x14ac:dyDescent="0.35">
      <c r="A83">
        <v>779</v>
      </c>
      <c r="B83">
        <v>5013</v>
      </c>
      <c r="C83" t="s">
        <v>16</v>
      </c>
      <c r="D83" t="s">
        <v>16</v>
      </c>
      <c r="E83" s="2">
        <v>46085</v>
      </c>
      <c r="F83" s="2">
        <v>46084</v>
      </c>
      <c r="G83" t="s">
        <v>97</v>
      </c>
      <c r="H83">
        <v>44427800</v>
      </c>
      <c r="I83">
        <v>208299800</v>
      </c>
      <c r="J83">
        <v>9000000</v>
      </c>
      <c r="K83">
        <v>51762000</v>
      </c>
      <c r="L83">
        <v>216761000</v>
      </c>
      <c r="M83">
        <f t="shared" si="2"/>
        <v>-10127000</v>
      </c>
      <c r="N83" t="str">
        <f t="shared" si="3"/>
        <v>Sobrante</v>
      </c>
      <c r="O83" t="s">
        <v>79</v>
      </c>
      <c r="P83">
        <v>1082858126</v>
      </c>
    </row>
    <row r="84" spans="1:16" x14ac:dyDescent="0.35">
      <c r="A84">
        <v>779</v>
      </c>
      <c r="B84">
        <v>8685</v>
      </c>
      <c r="C84" t="s">
        <v>16</v>
      </c>
      <c r="D84" t="s">
        <v>16</v>
      </c>
      <c r="E84" s="2">
        <v>46085</v>
      </c>
      <c r="F84" s="2">
        <v>46084</v>
      </c>
      <c r="G84" t="s">
        <v>104</v>
      </c>
      <c r="H84">
        <v>72923450</v>
      </c>
      <c r="I84">
        <v>62434550</v>
      </c>
      <c r="J84">
        <v>6450000</v>
      </c>
      <c r="K84">
        <v>12427000</v>
      </c>
      <c r="M84">
        <f t="shared" si="2"/>
        <v>-4511900</v>
      </c>
      <c r="N84" t="str">
        <f t="shared" si="3"/>
        <v>Sobrante</v>
      </c>
      <c r="O84" t="s">
        <v>79</v>
      </c>
      <c r="P84">
        <v>1082858126</v>
      </c>
    </row>
    <row r="85" spans="1:16" x14ac:dyDescent="0.35">
      <c r="A85">
        <v>795</v>
      </c>
      <c r="B85">
        <v>1027</v>
      </c>
      <c r="C85" t="s">
        <v>16</v>
      </c>
      <c r="D85" t="s">
        <v>16</v>
      </c>
      <c r="E85" s="2">
        <v>46085</v>
      </c>
      <c r="F85" s="2">
        <v>46084</v>
      </c>
      <c r="G85" t="s">
        <v>105</v>
      </c>
      <c r="H85">
        <v>213479350</v>
      </c>
      <c r="I85">
        <v>211855750</v>
      </c>
      <c r="J85">
        <v>5580000</v>
      </c>
      <c r="K85">
        <v>6230000</v>
      </c>
      <c r="M85">
        <f t="shared" si="2"/>
        <v>-973600</v>
      </c>
      <c r="N85" t="str">
        <f t="shared" si="3"/>
        <v>Sobrante</v>
      </c>
      <c r="O85" t="s">
        <v>79</v>
      </c>
      <c r="P85">
        <v>91274094</v>
      </c>
    </row>
    <row r="86" spans="1:16" x14ac:dyDescent="0.35">
      <c r="A86">
        <v>849</v>
      </c>
      <c r="B86">
        <v>9725</v>
      </c>
      <c r="C86" t="s">
        <v>16</v>
      </c>
      <c r="D86" t="s">
        <v>16</v>
      </c>
      <c r="E86" s="2">
        <v>46085</v>
      </c>
      <c r="F86" s="2">
        <v>46084</v>
      </c>
      <c r="G86" t="s">
        <v>106</v>
      </c>
      <c r="H86">
        <v>236004250</v>
      </c>
      <c r="I86">
        <v>371192950</v>
      </c>
      <c r="J86">
        <v>52030000</v>
      </c>
      <c r="K86">
        <v>258989300</v>
      </c>
      <c r="L86">
        <v>342274000</v>
      </c>
      <c r="M86">
        <f t="shared" si="2"/>
        <v>-126000</v>
      </c>
      <c r="N86" t="str">
        <f t="shared" si="3"/>
        <v>Sobrante</v>
      </c>
      <c r="O86" t="s">
        <v>79</v>
      </c>
      <c r="P86">
        <v>86063461</v>
      </c>
    </row>
    <row r="87" spans="1:16" x14ac:dyDescent="0.35">
      <c r="A87">
        <v>882</v>
      </c>
      <c r="B87">
        <v>5020</v>
      </c>
      <c r="C87" t="s">
        <v>16</v>
      </c>
      <c r="D87" t="s">
        <v>22</v>
      </c>
      <c r="E87" s="2">
        <v>46085</v>
      </c>
      <c r="F87" s="2">
        <v>46084</v>
      </c>
      <c r="G87" t="s">
        <v>107</v>
      </c>
      <c r="H87">
        <v>188154500</v>
      </c>
      <c r="I87">
        <v>138132800</v>
      </c>
      <c r="J87">
        <v>23370000</v>
      </c>
      <c r="K87">
        <v>75053700</v>
      </c>
      <c r="M87">
        <f t="shared" si="2"/>
        <v>1662000</v>
      </c>
      <c r="N87" t="str">
        <f t="shared" si="3"/>
        <v>Faltante</v>
      </c>
      <c r="O87" t="s">
        <v>83</v>
      </c>
      <c r="P87">
        <v>33369487</v>
      </c>
    </row>
    <row r="88" spans="1:16" x14ac:dyDescent="0.35">
      <c r="A88">
        <v>927</v>
      </c>
      <c r="B88">
        <v>5143</v>
      </c>
      <c r="C88" t="s">
        <v>16</v>
      </c>
      <c r="D88" t="s">
        <v>16</v>
      </c>
      <c r="E88" s="2">
        <v>46085</v>
      </c>
      <c r="F88" s="2">
        <v>46084</v>
      </c>
      <c r="G88" t="s">
        <v>108</v>
      </c>
      <c r="H88">
        <v>235905950</v>
      </c>
      <c r="I88">
        <v>118917350</v>
      </c>
      <c r="J88">
        <v>53080000</v>
      </c>
      <c r="K88">
        <v>160828000</v>
      </c>
      <c r="M88">
        <f t="shared" si="2"/>
        <v>-9240600</v>
      </c>
      <c r="N88" t="str">
        <f t="shared" si="3"/>
        <v>Sobrante</v>
      </c>
      <c r="O88" t="s">
        <v>79</v>
      </c>
      <c r="P88">
        <v>1124849676</v>
      </c>
    </row>
    <row r="89" spans="1:16" x14ac:dyDescent="0.35">
      <c r="A89">
        <v>937</v>
      </c>
      <c r="B89">
        <v>5115</v>
      </c>
      <c r="C89" t="s">
        <v>16</v>
      </c>
      <c r="D89" t="s">
        <v>22</v>
      </c>
      <c r="E89" s="2">
        <v>46085</v>
      </c>
      <c r="F89" s="2">
        <v>46084</v>
      </c>
      <c r="G89" t="s">
        <v>109</v>
      </c>
      <c r="H89">
        <v>108987600</v>
      </c>
      <c r="I89">
        <v>109516500</v>
      </c>
      <c r="J89">
        <v>2310000</v>
      </c>
      <c r="K89">
        <v>1750000</v>
      </c>
      <c r="M89">
        <f t="shared" si="2"/>
        <v>-31100</v>
      </c>
      <c r="N89" t="str">
        <f t="shared" si="3"/>
        <v>Sobrante</v>
      </c>
      <c r="O89" t="s">
        <v>79</v>
      </c>
      <c r="P89">
        <v>1061702364</v>
      </c>
    </row>
    <row r="90" spans="1:16" x14ac:dyDescent="0.35">
      <c r="A90">
        <v>941</v>
      </c>
      <c r="B90">
        <v>5220</v>
      </c>
      <c r="C90" t="s">
        <v>16</v>
      </c>
      <c r="D90" t="s">
        <v>16</v>
      </c>
      <c r="E90" s="2">
        <v>46085</v>
      </c>
      <c r="F90" s="2">
        <v>46084</v>
      </c>
      <c r="G90" t="s">
        <v>110</v>
      </c>
      <c r="H90">
        <v>175224750</v>
      </c>
      <c r="I90">
        <v>202854800</v>
      </c>
      <c r="J90">
        <v>15720000</v>
      </c>
      <c r="K90">
        <v>283115900</v>
      </c>
      <c r="L90">
        <v>294909000</v>
      </c>
      <c r="M90">
        <f t="shared" si="2"/>
        <v>116950</v>
      </c>
      <c r="N90" t="str">
        <f t="shared" si="3"/>
        <v>Faltante</v>
      </c>
      <c r="O90" t="s">
        <v>33</v>
      </c>
      <c r="P90">
        <v>1075228904</v>
      </c>
    </row>
    <row r="91" spans="1:16" x14ac:dyDescent="0.35">
      <c r="A91">
        <v>946</v>
      </c>
      <c r="B91">
        <v>5225</v>
      </c>
      <c r="C91" t="s">
        <v>16</v>
      </c>
      <c r="D91" t="s">
        <v>16</v>
      </c>
      <c r="E91" s="2">
        <v>46085</v>
      </c>
      <c r="F91" s="2">
        <v>46084</v>
      </c>
      <c r="G91" t="s">
        <v>111</v>
      </c>
      <c r="H91">
        <v>279513950</v>
      </c>
      <c r="I91">
        <v>285863950</v>
      </c>
      <c r="J91">
        <v>10920000</v>
      </c>
      <c r="K91">
        <v>4570000</v>
      </c>
      <c r="M91">
        <f t="shared" si="2"/>
        <v>0</v>
      </c>
      <c r="N91" t="str">
        <f t="shared" si="3"/>
        <v>Cuadrado</v>
      </c>
      <c r="O91" t="s">
        <v>20</v>
      </c>
      <c r="P91">
        <v>20500181</v>
      </c>
    </row>
    <row r="92" spans="1:16" x14ac:dyDescent="0.35">
      <c r="A92">
        <v>33</v>
      </c>
      <c r="B92">
        <v>8861</v>
      </c>
      <c r="C92" t="s">
        <v>16</v>
      </c>
      <c r="D92" t="s">
        <v>16</v>
      </c>
      <c r="E92" s="2">
        <v>46086</v>
      </c>
      <c r="F92" s="2">
        <v>46085</v>
      </c>
      <c r="G92" t="s">
        <v>52</v>
      </c>
      <c r="H92">
        <v>150096000</v>
      </c>
      <c r="I92">
        <v>165586000</v>
      </c>
      <c r="J92">
        <v>15490000</v>
      </c>
      <c r="K92">
        <v>0</v>
      </c>
      <c r="M92">
        <f t="shared" si="2"/>
        <v>0</v>
      </c>
      <c r="N92" t="str">
        <f t="shared" si="3"/>
        <v>Cuadrado</v>
      </c>
      <c r="O92" t="s">
        <v>20</v>
      </c>
      <c r="P92">
        <v>79659379</v>
      </c>
    </row>
    <row r="93" spans="1:16" x14ac:dyDescent="0.35">
      <c r="A93">
        <v>61</v>
      </c>
      <c r="B93">
        <v>788</v>
      </c>
      <c r="C93" t="s">
        <v>16</v>
      </c>
      <c r="D93" t="s">
        <v>16</v>
      </c>
      <c r="E93" s="2">
        <v>46086</v>
      </c>
      <c r="F93" s="2">
        <v>46085</v>
      </c>
      <c r="G93" t="s">
        <v>53</v>
      </c>
      <c r="H93">
        <v>386695450</v>
      </c>
      <c r="I93">
        <v>390715450</v>
      </c>
      <c r="J93">
        <v>6560000</v>
      </c>
      <c r="K93">
        <v>700000</v>
      </c>
      <c r="M93">
        <f t="shared" si="2"/>
        <v>-1840000</v>
      </c>
      <c r="N93" t="str">
        <f t="shared" si="3"/>
        <v>Sobrante</v>
      </c>
      <c r="O93" t="s">
        <v>112</v>
      </c>
      <c r="P93">
        <v>1144070638</v>
      </c>
    </row>
    <row r="94" spans="1:16" x14ac:dyDescent="0.35">
      <c r="A94">
        <v>70</v>
      </c>
      <c r="B94">
        <v>5164</v>
      </c>
      <c r="C94" t="s">
        <v>16</v>
      </c>
      <c r="D94" t="s">
        <v>16</v>
      </c>
      <c r="E94" s="2">
        <v>46086</v>
      </c>
      <c r="F94" s="2">
        <v>46085</v>
      </c>
      <c r="G94" t="s">
        <v>113</v>
      </c>
      <c r="H94">
        <v>254910900</v>
      </c>
      <c r="I94">
        <v>236263200</v>
      </c>
      <c r="J94">
        <v>7010000</v>
      </c>
      <c r="K94">
        <v>17266000</v>
      </c>
      <c r="M94">
        <f t="shared" si="2"/>
        <v>-8391700</v>
      </c>
      <c r="N94" t="str">
        <f t="shared" si="3"/>
        <v>Sobrante</v>
      </c>
      <c r="O94" t="s">
        <v>112</v>
      </c>
      <c r="P94">
        <v>30231139</v>
      </c>
    </row>
    <row r="95" spans="1:16" x14ac:dyDescent="0.35">
      <c r="A95">
        <v>73</v>
      </c>
      <c r="B95">
        <v>5108</v>
      </c>
      <c r="C95" t="s">
        <v>16</v>
      </c>
      <c r="D95" t="s">
        <v>16</v>
      </c>
      <c r="E95" s="2">
        <v>46086</v>
      </c>
      <c r="F95" s="2">
        <v>46085</v>
      </c>
      <c r="G95" t="s">
        <v>114</v>
      </c>
      <c r="H95">
        <v>161090900</v>
      </c>
      <c r="I95">
        <v>161415900</v>
      </c>
      <c r="J95">
        <v>1680000</v>
      </c>
      <c r="K95">
        <v>1324950</v>
      </c>
      <c r="L95">
        <v>-30000</v>
      </c>
      <c r="M95">
        <f t="shared" si="2"/>
        <v>-50</v>
      </c>
      <c r="N95" t="str">
        <f t="shared" si="3"/>
        <v>Sobrante</v>
      </c>
      <c r="O95" t="s">
        <v>112</v>
      </c>
      <c r="P95">
        <v>42157515</v>
      </c>
    </row>
    <row r="96" spans="1:16" x14ac:dyDescent="0.35">
      <c r="A96">
        <v>74</v>
      </c>
      <c r="B96">
        <v>6215</v>
      </c>
      <c r="C96" t="s">
        <v>22</v>
      </c>
      <c r="D96" t="s">
        <v>16</v>
      </c>
      <c r="E96" s="2">
        <v>46086</v>
      </c>
      <c r="F96" s="2">
        <v>46085</v>
      </c>
      <c r="G96" t="s">
        <v>115</v>
      </c>
      <c r="H96">
        <v>268116700</v>
      </c>
      <c r="I96">
        <v>128726700</v>
      </c>
      <c r="J96">
        <v>11480000</v>
      </c>
      <c r="K96">
        <v>145198000</v>
      </c>
      <c r="L96">
        <v>-1938000</v>
      </c>
      <c r="M96">
        <f t="shared" si="2"/>
        <v>-3734000</v>
      </c>
      <c r="N96" t="str">
        <f t="shared" si="3"/>
        <v>Sobrante</v>
      </c>
      <c r="O96" t="s">
        <v>112</v>
      </c>
      <c r="P96">
        <v>59314706</v>
      </c>
    </row>
    <row r="97" spans="1:16" x14ac:dyDescent="0.35">
      <c r="A97">
        <v>85</v>
      </c>
      <c r="B97">
        <v>8974</v>
      </c>
      <c r="C97" t="s">
        <v>16</v>
      </c>
      <c r="D97" t="s">
        <v>16</v>
      </c>
      <c r="E97" s="2">
        <v>46086</v>
      </c>
      <c r="F97" s="2">
        <v>46085</v>
      </c>
      <c r="G97" t="s">
        <v>116</v>
      </c>
      <c r="H97">
        <v>197096700</v>
      </c>
      <c r="I97">
        <v>81733000</v>
      </c>
      <c r="J97">
        <v>14640000</v>
      </c>
      <c r="K97">
        <v>130025800</v>
      </c>
      <c r="M97">
        <f t="shared" si="2"/>
        <v>22100</v>
      </c>
      <c r="N97" t="str">
        <f t="shared" si="3"/>
        <v>Faltante</v>
      </c>
      <c r="O97" t="s">
        <v>33</v>
      </c>
      <c r="P97">
        <v>1047413788</v>
      </c>
    </row>
    <row r="98" spans="1:16" x14ac:dyDescent="0.35">
      <c r="A98">
        <v>91</v>
      </c>
      <c r="B98">
        <v>5148</v>
      </c>
      <c r="C98" t="s">
        <v>16</v>
      </c>
      <c r="D98" t="s">
        <v>16</v>
      </c>
      <c r="E98" s="2">
        <v>46086</v>
      </c>
      <c r="F98" s="2">
        <v>46085</v>
      </c>
      <c r="G98" t="s">
        <v>117</v>
      </c>
      <c r="H98">
        <v>254880550</v>
      </c>
      <c r="I98">
        <v>221930400</v>
      </c>
      <c r="J98">
        <v>4180000</v>
      </c>
      <c r="K98">
        <v>26257000</v>
      </c>
      <c r="M98">
        <f t="shared" si="2"/>
        <v>-10873150</v>
      </c>
      <c r="N98" t="str">
        <f t="shared" si="3"/>
        <v>Sobrante</v>
      </c>
      <c r="O98" t="s">
        <v>33</v>
      </c>
      <c r="P98">
        <v>1067844638</v>
      </c>
    </row>
    <row r="99" spans="1:16" x14ac:dyDescent="0.35">
      <c r="A99">
        <v>108</v>
      </c>
      <c r="B99">
        <v>2254</v>
      </c>
      <c r="C99" t="s">
        <v>22</v>
      </c>
      <c r="D99" t="s">
        <v>16</v>
      </c>
      <c r="E99" s="2">
        <v>46086</v>
      </c>
      <c r="F99" s="2">
        <v>46085</v>
      </c>
      <c r="G99" t="s">
        <v>118</v>
      </c>
      <c r="H99">
        <v>179018600</v>
      </c>
      <c r="I99">
        <v>176742800</v>
      </c>
      <c r="J99">
        <v>1530000</v>
      </c>
      <c r="K99">
        <v>2120000</v>
      </c>
      <c r="M99">
        <f t="shared" si="2"/>
        <v>-1685800</v>
      </c>
      <c r="N99" t="str">
        <f t="shared" si="3"/>
        <v>Sobrante</v>
      </c>
      <c r="O99" t="s">
        <v>112</v>
      </c>
      <c r="P99">
        <v>80206469</v>
      </c>
    </row>
    <row r="100" spans="1:16" x14ac:dyDescent="0.35">
      <c r="A100">
        <v>167</v>
      </c>
      <c r="B100">
        <v>5030</v>
      </c>
      <c r="C100" t="s">
        <v>16</v>
      </c>
      <c r="D100" t="s">
        <v>16</v>
      </c>
      <c r="E100" s="2">
        <v>46086</v>
      </c>
      <c r="F100" s="2">
        <v>46085</v>
      </c>
      <c r="G100" t="s">
        <v>119</v>
      </c>
      <c r="H100">
        <v>355239350</v>
      </c>
      <c r="I100">
        <v>354189150</v>
      </c>
      <c r="J100">
        <v>110000</v>
      </c>
      <c r="K100">
        <v>525000</v>
      </c>
      <c r="M100">
        <f t="shared" si="2"/>
        <v>-635200</v>
      </c>
      <c r="N100" t="str">
        <f t="shared" si="3"/>
        <v>Sobrante</v>
      </c>
      <c r="O100" t="s">
        <v>112</v>
      </c>
      <c r="P100">
        <v>80076538</v>
      </c>
    </row>
    <row r="101" spans="1:16" x14ac:dyDescent="0.35">
      <c r="A101">
        <v>197</v>
      </c>
      <c r="B101">
        <v>5084</v>
      </c>
      <c r="C101" t="s">
        <v>16</v>
      </c>
      <c r="D101" t="s">
        <v>16</v>
      </c>
      <c r="E101" s="2">
        <v>46086</v>
      </c>
      <c r="F101" s="2">
        <v>46084</v>
      </c>
      <c r="G101" t="s">
        <v>120</v>
      </c>
      <c r="H101">
        <v>547184600</v>
      </c>
      <c r="I101">
        <v>547479600</v>
      </c>
      <c r="J101">
        <v>0</v>
      </c>
      <c r="K101">
        <v>0</v>
      </c>
      <c r="M101">
        <f t="shared" si="2"/>
        <v>295000</v>
      </c>
      <c r="N101" t="str">
        <f t="shared" si="3"/>
        <v>Faltante</v>
      </c>
      <c r="O101" t="s">
        <v>33</v>
      </c>
      <c r="P101">
        <v>1065607404</v>
      </c>
    </row>
    <row r="102" spans="1:16" x14ac:dyDescent="0.35">
      <c r="A102">
        <v>261</v>
      </c>
      <c r="B102">
        <v>5048</v>
      </c>
      <c r="C102" t="s">
        <v>16</v>
      </c>
      <c r="D102" t="s">
        <v>16</v>
      </c>
      <c r="E102" s="2">
        <v>46086</v>
      </c>
      <c r="F102" s="2">
        <v>46085</v>
      </c>
      <c r="G102" t="s">
        <v>121</v>
      </c>
      <c r="H102">
        <v>424951150</v>
      </c>
      <c r="I102">
        <v>193329350</v>
      </c>
      <c r="J102">
        <v>15540000</v>
      </c>
      <c r="K102">
        <v>233166250</v>
      </c>
      <c r="M102">
        <f t="shared" si="2"/>
        <v>-13995550</v>
      </c>
      <c r="N102" t="str">
        <f t="shared" si="3"/>
        <v>Sobrante</v>
      </c>
      <c r="O102" t="s">
        <v>112</v>
      </c>
      <c r="P102">
        <v>34327627</v>
      </c>
    </row>
    <row r="103" spans="1:16" x14ac:dyDescent="0.35">
      <c r="A103">
        <v>279</v>
      </c>
      <c r="B103">
        <v>5147</v>
      </c>
      <c r="C103" t="s">
        <v>16</v>
      </c>
      <c r="D103" t="s">
        <v>16</v>
      </c>
      <c r="E103" s="2">
        <v>46086</v>
      </c>
      <c r="F103" s="2">
        <v>46084</v>
      </c>
      <c r="G103" t="s">
        <v>122</v>
      </c>
      <c r="H103">
        <v>144642850</v>
      </c>
      <c r="I103">
        <v>108730700</v>
      </c>
      <c r="J103">
        <v>32610000</v>
      </c>
      <c r="K103">
        <v>68305150</v>
      </c>
      <c r="M103">
        <f t="shared" si="2"/>
        <v>-217000</v>
      </c>
      <c r="N103" t="str">
        <f t="shared" si="3"/>
        <v>Sobrante</v>
      </c>
      <c r="O103" t="s">
        <v>112</v>
      </c>
      <c r="P103">
        <v>42826913</v>
      </c>
    </row>
    <row r="104" spans="1:16" x14ac:dyDescent="0.35">
      <c r="A104">
        <v>291</v>
      </c>
      <c r="B104">
        <v>5114</v>
      </c>
      <c r="C104" t="s">
        <v>16</v>
      </c>
      <c r="D104" t="s">
        <v>16</v>
      </c>
      <c r="E104" s="2">
        <v>46086</v>
      </c>
      <c r="F104" s="2">
        <v>46085</v>
      </c>
      <c r="G104" t="s">
        <v>123</v>
      </c>
      <c r="H104">
        <v>269360100</v>
      </c>
      <c r="I104">
        <v>267510800</v>
      </c>
      <c r="J104">
        <v>3700000</v>
      </c>
      <c r="K104">
        <v>3989300</v>
      </c>
      <c r="M104">
        <f t="shared" si="2"/>
        <v>-1560000</v>
      </c>
      <c r="N104" t="str">
        <f t="shared" si="3"/>
        <v>Sobrante</v>
      </c>
      <c r="O104" t="s">
        <v>112</v>
      </c>
      <c r="P104">
        <v>1095930956</v>
      </c>
    </row>
    <row r="105" spans="1:16" x14ac:dyDescent="0.35">
      <c r="A105">
        <v>322</v>
      </c>
      <c r="B105">
        <v>2444</v>
      </c>
      <c r="C105" t="s">
        <v>16</v>
      </c>
      <c r="D105" t="s">
        <v>16</v>
      </c>
      <c r="E105" s="2">
        <v>46086</v>
      </c>
      <c r="F105" s="2">
        <v>46085</v>
      </c>
      <c r="G105" t="s">
        <v>46</v>
      </c>
      <c r="H105">
        <v>83943900</v>
      </c>
      <c r="I105">
        <v>96291900</v>
      </c>
      <c r="J105">
        <v>10900000</v>
      </c>
      <c r="K105">
        <v>15552000</v>
      </c>
      <c r="M105">
        <f t="shared" si="2"/>
        <v>17000000</v>
      </c>
      <c r="N105" t="str">
        <f t="shared" si="3"/>
        <v>Faltante</v>
      </c>
      <c r="O105" t="s">
        <v>124</v>
      </c>
      <c r="P105">
        <v>1101320155</v>
      </c>
    </row>
    <row r="106" spans="1:16" x14ac:dyDescent="0.35">
      <c r="A106">
        <v>332</v>
      </c>
      <c r="B106">
        <v>7569</v>
      </c>
      <c r="C106" t="s">
        <v>16</v>
      </c>
      <c r="D106" t="s">
        <v>22</v>
      </c>
      <c r="E106" s="2">
        <v>46086</v>
      </c>
      <c r="F106" s="2">
        <v>46085</v>
      </c>
      <c r="G106" t="s">
        <v>125</v>
      </c>
      <c r="H106">
        <v>132013300</v>
      </c>
      <c r="I106">
        <v>189455350</v>
      </c>
      <c r="J106">
        <v>26080000</v>
      </c>
      <c r="K106">
        <v>66447950</v>
      </c>
      <c r="M106">
        <f t="shared" si="2"/>
        <v>97810000</v>
      </c>
      <c r="N106" t="str">
        <f t="shared" si="3"/>
        <v>Faltante</v>
      </c>
      <c r="O106" t="s">
        <v>124</v>
      </c>
      <c r="P106">
        <v>80541675</v>
      </c>
    </row>
    <row r="107" spans="1:16" x14ac:dyDescent="0.35">
      <c r="A107">
        <v>395</v>
      </c>
      <c r="B107">
        <v>1528</v>
      </c>
      <c r="C107" t="s">
        <v>16</v>
      </c>
      <c r="D107" t="s">
        <v>16</v>
      </c>
      <c r="E107" s="2">
        <v>46086</v>
      </c>
      <c r="F107" s="2">
        <v>46085</v>
      </c>
      <c r="G107" t="s">
        <v>72</v>
      </c>
      <c r="H107">
        <v>337842050</v>
      </c>
      <c r="I107">
        <v>292232750</v>
      </c>
      <c r="J107">
        <v>2390000</v>
      </c>
      <c r="K107">
        <v>20940000</v>
      </c>
      <c r="M107">
        <f t="shared" si="2"/>
        <v>-27059300</v>
      </c>
      <c r="N107" t="str">
        <f t="shared" si="3"/>
        <v>Sobrante</v>
      </c>
      <c r="O107" t="s">
        <v>33</v>
      </c>
      <c r="P107">
        <v>1121857901</v>
      </c>
    </row>
    <row r="108" spans="1:16" x14ac:dyDescent="0.35">
      <c r="A108">
        <v>395</v>
      </c>
      <c r="B108">
        <v>1529</v>
      </c>
      <c r="C108" t="s">
        <v>16</v>
      </c>
      <c r="D108" t="s">
        <v>16</v>
      </c>
      <c r="E108" s="2">
        <v>46086</v>
      </c>
      <c r="F108" s="2">
        <v>46085</v>
      </c>
      <c r="G108" t="s">
        <v>126</v>
      </c>
      <c r="H108">
        <v>238215450</v>
      </c>
      <c r="I108">
        <v>231770450</v>
      </c>
      <c r="J108">
        <v>11880000</v>
      </c>
      <c r="K108">
        <v>21925000</v>
      </c>
      <c r="L108">
        <v>3600000</v>
      </c>
      <c r="M108">
        <f t="shared" si="2"/>
        <v>0</v>
      </c>
      <c r="N108" t="str">
        <f t="shared" si="3"/>
        <v>Cuadrado</v>
      </c>
      <c r="O108" t="s">
        <v>127</v>
      </c>
      <c r="P108">
        <v>1121857901</v>
      </c>
    </row>
    <row r="109" spans="1:16" x14ac:dyDescent="0.35">
      <c r="A109">
        <v>451</v>
      </c>
      <c r="B109">
        <v>9434</v>
      </c>
      <c r="C109" t="s">
        <v>16</v>
      </c>
      <c r="D109" t="s">
        <v>16</v>
      </c>
      <c r="E109" s="2">
        <v>46086</v>
      </c>
      <c r="F109" s="2">
        <v>46084</v>
      </c>
      <c r="G109" t="s">
        <v>128</v>
      </c>
      <c r="H109">
        <v>140519800</v>
      </c>
      <c r="I109">
        <v>-274620200</v>
      </c>
      <c r="J109">
        <v>67360000</v>
      </c>
      <c r="K109">
        <v>27500000</v>
      </c>
      <c r="L109">
        <v>-142757000</v>
      </c>
      <c r="M109">
        <f t="shared" si="2"/>
        <v>-312243000</v>
      </c>
      <c r="N109" t="str">
        <f t="shared" si="3"/>
        <v>Sobrante</v>
      </c>
      <c r="O109" t="s">
        <v>33</v>
      </c>
      <c r="P109">
        <v>1123206969</v>
      </c>
    </row>
    <row r="110" spans="1:16" x14ac:dyDescent="0.35">
      <c r="A110">
        <v>453</v>
      </c>
      <c r="B110">
        <v>8019</v>
      </c>
      <c r="C110" t="s">
        <v>16</v>
      </c>
      <c r="D110" t="s">
        <v>16</v>
      </c>
      <c r="E110" s="2">
        <v>46086</v>
      </c>
      <c r="F110" s="2">
        <v>46085</v>
      </c>
      <c r="G110" t="s">
        <v>129</v>
      </c>
      <c r="H110">
        <v>335517100</v>
      </c>
      <c r="I110">
        <v>327457100</v>
      </c>
      <c r="J110">
        <v>0</v>
      </c>
      <c r="K110">
        <v>0</v>
      </c>
      <c r="L110">
        <v>-2610000</v>
      </c>
      <c r="M110">
        <f t="shared" si="2"/>
        <v>-5450000</v>
      </c>
      <c r="N110" t="str">
        <f t="shared" si="3"/>
        <v>Sobrante</v>
      </c>
      <c r="O110" t="s">
        <v>112</v>
      </c>
      <c r="P110">
        <v>1083897578</v>
      </c>
    </row>
    <row r="111" spans="1:16" x14ac:dyDescent="0.35">
      <c r="A111">
        <v>499</v>
      </c>
      <c r="B111">
        <v>9811</v>
      </c>
      <c r="C111" t="s">
        <v>16</v>
      </c>
      <c r="D111" t="s">
        <v>16</v>
      </c>
      <c r="E111" s="2">
        <v>46086</v>
      </c>
      <c r="F111" s="2">
        <v>46084</v>
      </c>
      <c r="G111" t="s">
        <v>130</v>
      </c>
      <c r="H111">
        <v>145895100</v>
      </c>
      <c r="I111">
        <v>552062600</v>
      </c>
      <c r="J111">
        <v>24230000</v>
      </c>
      <c r="K111">
        <v>146733500</v>
      </c>
      <c r="L111">
        <v>221143000</v>
      </c>
      <c r="M111">
        <f t="shared" si="2"/>
        <v>307528000</v>
      </c>
      <c r="N111" t="str">
        <f t="shared" si="3"/>
        <v>Faltante</v>
      </c>
      <c r="O111" t="s">
        <v>131</v>
      </c>
      <c r="P111">
        <v>71337474</v>
      </c>
    </row>
    <row r="112" spans="1:16" x14ac:dyDescent="0.35">
      <c r="A112">
        <v>516</v>
      </c>
      <c r="B112">
        <v>9729</v>
      </c>
      <c r="C112" t="s">
        <v>16</v>
      </c>
      <c r="D112" t="s">
        <v>16</v>
      </c>
      <c r="E112" s="2">
        <v>46086</v>
      </c>
      <c r="F112" s="2">
        <v>46085</v>
      </c>
      <c r="G112" t="s">
        <v>132</v>
      </c>
      <c r="H112">
        <v>178070650</v>
      </c>
      <c r="I112">
        <v>168006650</v>
      </c>
      <c r="J112">
        <v>7300000</v>
      </c>
      <c r="K112">
        <v>12364000</v>
      </c>
      <c r="M112">
        <f t="shared" si="2"/>
        <v>-5000000</v>
      </c>
      <c r="N112" t="str">
        <f t="shared" si="3"/>
        <v>Sobrante</v>
      </c>
      <c r="O112" t="s">
        <v>112</v>
      </c>
      <c r="P112">
        <v>57292451</v>
      </c>
    </row>
    <row r="113" spans="1:16" x14ac:dyDescent="0.35">
      <c r="A113">
        <v>523</v>
      </c>
      <c r="B113">
        <v>5082</v>
      </c>
      <c r="C113" t="s">
        <v>16</v>
      </c>
      <c r="D113" t="s">
        <v>16</v>
      </c>
      <c r="E113" s="2">
        <v>46086</v>
      </c>
      <c r="F113" s="2">
        <v>46085</v>
      </c>
      <c r="G113" t="s">
        <v>133</v>
      </c>
      <c r="H113">
        <v>45435650</v>
      </c>
      <c r="I113">
        <v>426664400</v>
      </c>
      <c r="J113">
        <v>0</v>
      </c>
      <c r="K113">
        <v>0</v>
      </c>
      <c r="M113">
        <f t="shared" si="2"/>
        <v>381228750</v>
      </c>
      <c r="N113" t="str">
        <f t="shared" si="3"/>
        <v>Faltante</v>
      </c>
      <c r="O113" t="s">
        <v>33</v>
      </c>
      <c r="P113">
        <v>39491642</v>
      </c>
    </row>
    <row r="114" spans="1:16" x14ac:dyDescent="0.35">
      <c r="A114">
        <v>536</v>
      </c>
      <c r="B114">
        <v>8988</v>
      </c>
      <c r="C114" t="s">
        <v>22</v>
      </c>
      <c r="D114" t="s">
        <v>16</v>
      </c>
      <c r="E114" s="2">
        <v>46086</v>
      </c>
      <c r="F114" s="2">
        <v>46085</v>
      </c>
      <c r="G114" t="s">
        <v>134</v>
      </c>
      <c r="H114">
        <v>101561150</v>
      </c>
      <c r="I114">
        <v>308446400</v>
      </c>
      <c r="J114">
        <v>65600000</v>
      </c>
      <c r="K114">
        <v>144462150</v>
      </c>
      <c r="L114">
        <v>295000000</v>
      </c>
      <c r="M114">
        <f t="shared" si="2"/>
        <v>-9252600</v>
      </c>
      <c r="N114" t="str">
        <f t="shared" si="3"/>
        <v>Sobrante</v>
      </c>
      <c r="O114" t="s">
        <v>112</v>
      </c>
      <c r="P114">
        <v>35891536</v>
      </c>
    </row>
    <row r="115" spans="1:16" x14ac:dyDescent="0.35">
      <c r="A115">
        <v>609</v>
      </c>
      <c r="B115">
        <v>7875</v>
      </c>
      <c r="C115" t="s">
        <v>16</v>
      </c>
      <c r="D115" t="s">
        <v>16</v>
      </c>
      <c r="E115" s="2">
        <v>46086</v>
      </c>
      <c r="F115" s="2">
        <v>46085</v>
      </c>
      <c r="G115" t="s">
        <v>44</v>
      </c>
      <c r="H115">
        <v>191573750</v>
      </c>
      <c r="I115">
        <v>79680750</v>
      </c>
      <c r="J115">
        <v>23450000</v>
      </c>
      <c r="K115">
        <v>14450000</v>
      </c>
      <c r="M115">
        <f t="shared" si="2"/>
        <v>-120893000</v>
      </c>
      <c r="N115" t="str">
        <f t="shared" si="3"/>
        <v>Sobrante</v>
      </c>
      <c r="O115" t="s">
        <v>112</v>
      </c>
      <c r="P115">
        <v>98695047</v>
      </c>
    </row>
    <row r="116" spans="1:16" x14ac:dyDescent="0.35">
      <c r="A116">
        <v>609</v>
      </c>
      <c r="B116">
        <v>7888</v>
      </c>
      <c r="C116" t="s">
        <v>16</v>
      </c>
      <c r="D116" t="s">
        <v>16</v>
      </c>
      <c r="E116" s="2">
        <v>46086</v>
      </c>
      <c r="F116" s="2">
        <v>46085</v>
      </c>
      <c r="G116" t="s">
        <v>135</v>
      </c>
      <c r="H116">
        <v>139026500</v>
      </c>
      <c r="I116">
        <v>157952150</v>
      </c>
      <c r="J116">
        <v>49090000</v>
      </c>
      <c r="K116">
        <v>14070000</v>
      </c>
      <c r="M116">
        <f t="shared" si="2"/>
        <v>-16094350</v>
      </c>
      <c r="N116" t="str">
        <f t="shared" si="3"/>
        <v>Sobrante</v>
      </c>
      <c r="O116" t="s">
        <v>33</v>
      </c>
      <c r="P116">
        <v>98695047</v>
      </c>
    </row>
    <row r="117" spans="1:16" x14ac:dyDescent="0.35">
      <c r="A117">
        <v>623</v>
      </c>
      <c r="B117">
        <v>7375</v>
      </c>
      <c r="C117" t="s">
        <v>16</v>
      </c>
      <c r="D117" t="s">
        <v>16</v>
      </c>
      <c r="E117" s="2">
        <v>46086</v>
      </c>
      <c r="F117" s="2">
        <v>46085</v>
      </c>
      <c r="G117" t="s">
        <v>136</v>
      </c>
      <c r="H117">
        <v>266162450</v>
      </c>
      <c r="I117">
        <v>219601050</v>
      </c>
      <c r="J117">
        <v>22340000</v>
      </c>
      <c r="K117">
        <v>68885800</v>
      </c>
      <c r="L117">
        <v>0</v>
      </c>
      <c r="M117">
        <f t="shared" si="2"/>
        <v>-15600</v>
      </c>
      <c r="N117" t="str">
        <f t="shared" si="3"/>
        <v>Sobrante</v>
      </c>
      <c r="O117" t="s">
        <v>112</v>
      </c>
      <c r="P117">
        <v>1060651791</v>
      </c>
    </row>
    <row r="118" spans="1:16" x14ac:dyDescent="0.35">
      <c r="A118">
        <v>667</v>
      </c>
      <c r="B118">
        <v>5167</v>
      </c>
      <c r="C118" t="s">
        <v>16</v>
      </c>
      <c r="D118" t="s">
        <v>16</v>
      </c>
      <c r="E118" s="2">
        <v>46086</v>
      </c>
      <c r="F118" s="2">
        <v>46085</v>
      </c>
      <c r="G118" t="s">
        <v>123</v>
      </c>
      <c r="H118">
        <v>314483250</v>
      </c>
      <c r="I118">
        <v>325793150</v>
      </c>
      <c r="J118">
        <v>11220000</v>
      </c>
      <c r="K118">
        <v>0</v>
      </c>
      <c r="L118">
        <v>89900</v>
      </c>
      <c r="M118">
        <f t="shared" si="2"/>
        <v>0</v>
      </c>
      <c r="N118" t="str">
        <f t="shared" si="3"/>
        <v>Cuadrado</v>
      </c>
      <c r="O118" t="s">
        <v>137</v>
      </c>
      <c r="P118">
        <v>79953058</v>
      </c>
    </row>
    <row r="119" spans="1:16" x14ac:dyDescent="0.35">
      <c r="A119">
        <v>698</v>
      </c>
      <c r="B119">
        <v>5187</v>
      </c>
      <c r="C119" t="s">
        <v>16</v>
      </c>
      <c r="D119" t="s">
        <v>16</v>
      </c>
      <c r="E119" s="2">
        <v>46086</v>
      </c>
      <c r="F119" s="2">
        <v>46085</v>
      </c>
      <c r="G119" t="s">
        <v>55</v>
      </c>
      <c r="H119">
        <v>236650300</v>
      </c>
      <c r="I119">
        <v>236650300</v>
      </c>
      <c r="J119">
        <v>0</v>
      </c>
      <c r="K119">
        <v>0</v>
      </c>
      <c r="M119">
        <f t="shared" si="2"/>
        <v>0</v>
      </c>
      <c r="N119" t="str">
        <f t="shared" si="3"/>
        <v>Cuadrado</v>
      </c>
      <c r="O119" t="s">
        <v>20</v>
      </c>
      <c r="P119">
        <v>80177355</v>
      </c>
    </row>
    <row r="120" spans="1:16" x14ac:dyDescent="0.35">
      <c r="A120">
        <v>750</v>
      </c>
      <c r="B120">
        <v>5157</v>
      </c>
      <c r="C120" t="s">
        <v>16</v>
      </c>
      <c r="D120" t="s">
        <v>16</v>
      </c>
      <c r="E120" s="2">
        <v>46086</v>
      </c>
      <c r="F120" s="2">
        <v>46085</v>
      </c>
      <c r="G120" t="s">
        <v>138</v>
      </c>
      <c r="H120">
        <v>302661050</v>
      </c>
      <c r="I120">
        <v>294514350</v>
      </c>
      <c r="J120">
        <v>5670000</v>
      </c>
      <c r="K120">
        <v>18017700</v>
      </c>
      <c r="L120">
        <v>1041000</v>
      </c>
      <c r="M120">
        <f t="shared" si="2"/>
        <v>3160000</v>
      </c>
      <c r="N120" t="str">
        <f t="shared" si="3"/>
        <v>Faltante</v>
      </c>
      <c r="O120" t="s">
        <v>33</v>
      </c>
      <c r="P120">
        <v>31529631</v>
      </c>
    </row>
    <row r="121" spans="1:16" x14ac:dyDescent="0.35">
      <c r="A121">
        <v>762</v>
      </c>
      <c r="B121">
        <v>5181</v>
      </c>
      <c r="C121" t="s">
        <v>16</v>
      </c>
      <c r="D121" t="s">
        <v>16</v>
      </c>
      <c r="E121" s="2">
        <v>46086</v>
      </c>
      <c r="F121" s="2">
        <v>46085</v>
      </c>
      <c r="G121" t="s">
        <v>139</v>
      </c>
      <c r="H121">
        <v>164054250</v>
      </c>
      <c r="I121">
        <v>161524250</v>
      </c>
      <c r="J121">
        <v>0</v>
      </c>
      <c r="K121">
        <v>0</v>
      </c>
      <c r="M121">
        <f t="shared" si="2"/>
        <v>-2530000</v>
      </c>
      <c r="N121" t="str">
        <f t="shared" si="3"/>
        <v>Sobrante</v>
      </c>
      <c r="O121" t="s">
        <v>112</v>
      </c>
      <c r="P121">
        <v>94364510</v>
      </c>
    </row>
    <row r="122" spans="1:16" x14ac:dyDescent="0.35">
      <c r="A122">
        <v>781</v>
      </c>
      <c r="B122">
        <v>5057</v>
      </c>
      <c r="C122" t="s">
        <v>16</v>
      </c>
      <c r="D122" t="s">
        <v>16</v>
      </c>
      <c r="E122" s="2">
        <v>46086</v>
      </c>
      <c r="F122" s="2">
        <v>46085</v>
      </c>
      <c r="G122" t="s">
        <v>140</v>
      </c>
      <c r="H122">
        <v>394854350</v>
      </c>
      <c r="I122">
        <v>361021550</v>
      </c>
      <c r="J122">
        <v>14990000</v>
      </c>
      <c r="K122">
        <v>29653000</v>
      </c>
      <c r="M122">
        <f t="shared" si="2"/>
        <v>-19169800</v>
      </c>
      <c r="N122" t="str">
        <f t="shared" si="3"/>
        <v>Sobrante</v>
      </c>
      <c r="O122" t="s">
        <v>112</v>
      </c>
      <c r="P122">
        <v>1082848167</v>
      </c>
    </row>
    <row r="123" spans="1:16" x14ac:dyDescent="0.35">
      <c r="A123">
        <v>795</v>
      </c>
      <c r="B123">
        <v>1029</v>
      </c>
      <c r="C123" t="s">
        <v>16</v>
      </c>
      <c r="D123" t="s">
        <v>16</v>
      </c>
      <c r="E123" s="2">
        <v>46086</v>
      </c>
      <c r="F123" s="2">
        <v>46085</v>
      </c>
      <c r="G123" t="s">
        <v>141</v>
      </c>
      <c r="H123">
        <v>223953000</v>
      </c>
      <c r="I123">
        <v>170468000</v>
      </c>
      <c r="J123">
        <v>17780000</v>
      </c>
      <c r="K123">
        <v>64095000</v>
      </c>
      <c r="M123">
        <f t="shared" si="2"/>
        <v>-7170000</v>
      </c>
      <c r="N123" t="str">
        <f t="shared" si="3"/>
        <v>Sobrante</v>
      </c>
      <c r="O123" t="s">
        <v>112</v>
      </c>
      <c r="P123">
        <v>91274094</v>
      </c>
    </row>
    <row r="124" spans="1:16" x14ac:dyDescent="0.35">
      <c r="A124">
        <v>796</v>
      </c>
      <c r="B124">
        <v>6911</v>
      </c>
      <c r="C124" t="s">
        <v>16</v>
      </c>
      <c r="D124" t="s">
        <v>16</v>
      </c>
      <c r="E124" s="2">
        <v>46086</v>
      </c>
      <c r="F124" s="2">
        <v>46085</v>
      </c>
      <c r="G124" t="s">
        <v>142</v>
      </c>
      <c r="H124">
        <v>177799250</v>
      </c>
      <c r="I124">
        <v>133528050</v>
      </c>
      <c r="J124">
        <v>22080000</v>
      </c>
      <c r="K124">
        <v>50397000</v>
      </c>
      <c r="M124">
        <f t="shared" si="2"/>
        <v>-15954200</v>
      </c>
      <c r="N124" t="str">
        <f t="shared" si="3"/>
        <v>Sobrante</v>
      </c>
      <c r="O124" t="s">
        <v>112</v>
      </c>
      <c r="P124">
        <v>1095802301</v>
      </c>
    </row>
    <row r="125" spans="1:16" x14ac:dyDescent="0.35">
      <c r="A125">
        <v>844</v>
      </c>
      <c r="B125">
        <v>6169</v>
      </c>
      <c r="C125" t="s">
        <v>16</v>
      </c>
      <c r="D125" t="s">
        <v>16</v>
      </c>
      <c r="E125" s="2">
        <v>46086</v>
      </c>
      <c r="F125" s="2">
        <v>46085</v>
      </c>
      <c r="G125" t="s">
        <v>135</v>
      </c>
      <c r="H125">
        <v>254272600</v>
      </c>
      <c r="I125">
        <v>468338000</v>
      </c>
      <c r="J125">
        <v>1120000</v>
      </c>
      <c r="K125">
        <v>0</v>
      </c>
      <c r="M125">
        <f t="shared" si="2"/>
        <v>212945400</v>
      </c>
      <c r="N125" t="str">
        <f t="shared" si="3"/>
        <v>Faltante</v>
      </c>
      <c r="O125" t="s">
        <v>33</v>
      </c>
      <c r="P125">
        <v>86058432</v>
      </c>
    </row>
    <row r="126" spans="1:16" x14ac:dyDescent="0.35">
      <c r="A126">
        <v>849</v>
      </c>
      <c r="B126">
        <v>9724</v>
      </c>
      <c r="C126" t="s">
        <v>16</v>
      </c>
      <c r="D126" t="s">
        <v>16</v>
      </c>
      <c r="E126" s="2">
        <v>46086</v>
      </c>
      <c r="F126" s="2">
        <v>46085</v>
      </c>
      <c r="G126" t="s">
        <v>106</v>
      </c>
      <c r="H126">
        <v>224399300</v>
      </c>
      <c r="I126">
        <v>271496200</v>
      </c>
      <c r="J126">
        <v>53220000</v>
      </c>
      <c r="K126">
        <v>239372100</v>
      </c>
      <c r="L126">
        <v>245249000</v>
      </c>
      <c r="M126">
        <f t="shared" si="2"/>
        <v>-12000000</v>
      </c>
      <c r="N126" t="str">
        <f t="shared" si="3"/>
        <v>Sobrante</v>
      </c>
      <c r="O126" t="s">
        <v>112</v>
      </c>
      <c r="P126">
        <v>86063461</v>
      </c>
    </row>
    <row r="127" spans="1:16" x14ac:dyDescent="0.35">
      <c r="A127">
        <v>849</v>
      </c>
      <c r="B127">
        <v>9725</v>
      </c>
      <c r="C127" t="s">
        <v>16</v>
      </c>
      <c r="D127" t="s">
        <v>22</v>
      </c>
      <c r="E127" s="2">
        <v>46086</v>
      </c>
      <c r="F127" s="2">
        <v>46084</v>
      </c>
      <c r="G127" t="s">
        <v>106</v>
      </c>
      <c r="H127">
        <v>236004250</v>
      </c>
      <c r="I127">
        <v>371192950</v>
      </c>
      <c r="J127">
        <v>52030000</v>
      </c>
      <c r="K127">
        <v>258989300</v>
      </c>
      <c r="L127">
        <v>342274000</v>
      </c>
      <c r="M127">
        <f t="shared" si="2"/>
        <v>-126000</v>
      </c>
      <c r="N127" t="str">
        <f t="shared" si="3"/>
        <v>Sobrante</v>
      </c>
      <c r="O127" t="s">
        <v>112</v>
      </c>
      <c r="P127">
        <v>86063461</v>
      </c>
    </row>
    <row r="128" spans="1:16" x14ac:dyDescent="0.35">
      <c r="A128">
        <v>866</v>
      </c>
      <c r="B128">
        <v>8662</v>
      </c>
      <c r="C128" t="s">
        <v>16</v>
      </c>
      <c r="D128" t="s">
        <v>16</v>
      </c>
      <c r="E128" s="2">
        <v>46086</v>
      </c>
      <c r="F128" s="2">
        <v>46085</v>
      </c>
      <c r="G128" t="s">
        <v>143</v>
      </c>
      <c r="H128">
        <v>66818450</v>
      </c>
      <c r="I128">
        <v>93518450</v>
      </c>
      <c r="J128">
        <v>36890000</v>
      </c>
      <c r="K128">
        <v>10190000</v>
      </c>
      <c r="M128">
        <f t="shared" si="2"/>
        <v>0</v>
      </c>
      <c r="N128" t="str">
        <f t="shared" si="3"/>
        <v>Cuadrado</v>
      </c>
      <c r="O128" t="s">
        <v>20</v>
      </c>
      <c r="P128">
        <v>1113674245</v>
      </c>
    </row>
    <row r="129" spans="1:16" x14ac:dyDescent="0.35">
      <c r="A129">
        <v>890</v>
      </c>
      <c r="B129">
        <v>9584</v>
      </c>
      <c r="C129" t="s">
        <v>16</v>
      </c>
      <c r="D129" t="s">
        <v>16</v>
      </c>
      <c r="E129" s="2">
        <v>46086</v>
      </c>
      <c r="F129" s="2">
        <v>46085</v>
      </c>
      <c r="G129" t="s">
        <v>144</v>
      </c>
      <c r="H129">
        <v>238430950</v>
      </c>
      <c r="I129">
        <v>249230950</v>
      </c>
      <c r="J129">
        <v>14200000</v>
      </c>
      <c r="K129">
        <v>3400000</v>
      </c>
      <c r="M129">
        <f t="shared" si="2"/>
        <v>0</v>
      </c>
      <c r="N129" t="str">
        <f t="shared" si="3"/>
        <v>Cuadrado</v>
      </c>
      <c r="O129" t="s">
        <v>20</v>
      </c>
      <c r="P129">
        <v>1053835867</v>
      </c>
    </row>
    <row r="130" spans="1:16" x14ac:dyDescent="0.35">
      <c r="A130">
        <v>915</v>
      </c>
      <c r="B130">
        <v>8313</v>
      </c>
      <c r="C130" t="s">
        <v>16</v>
      </c>
      <c r="D130" t="s">
        <v>22</v>
      </c>
      <c r="E130" s="2">
        <v>46086</v>
      </c>
      <c r="F130" s="2">
        <v>46085</v>
      </c>
      <c r="G130" t="s">
        <v>141</v>
      </c>
      <c r="H130">
        <v>382047100</v>
      </c>
      <c r="I130">
        <v>365612100</v>
      </c>
      <c r="J130">
        <v>3270000</v>
      </c>
      <c r="K130">
        <v>6705000</v>
      </c>
      <c r="M130">
        <f t="shared" ref="M130:M193" si="4">I130-(H130+J130-K130)- L130</f>
        <v>-13000000</v>
      </c>
      <c r="N130" t="str">
        <f t="shared" ref="N130:N193" si="5">IF(M130=0,"Cuadrado",IF(M130&gt;0,"Faltante","Sobrante"))</f>
        <v>Sobrante</v>
      </c>
      <c r="O130" t="s">
        <v>33</v>
      </c>
      <c r="P130">
        <v>52279779</v>
      </c>
    </row>
    <row r="131" spans="1:16" x14ac:dyDescent="0.35">
      <c r="A131">
        <v>915</v>
      </c>
      <c r="B131">
        <v>8314</v>
      </c>
      <c r="C131" t="s">
        <v>16</v>
      </c>
      <c r="D131" t="s">
        <v>16</v>
      </c>
      <c r="E131" s="2">
        <v>46086</v>
      </c>
      <c r="F131" s="2">
        <v>46085</v>
      </c>
      <c r="G131" t="s">
        <v>145</v>
      </c>
      <c r="H131">
        <v>349886600</v>
      </c>
      <c r="I131">
        <v>358370200</v>
      </c>
      <c r="J131">
        <v>8430000</v>
      </c>
      <c r="K131">
        <v>0</v>
      </c>
      <c r="M131">
        <f t="shared" si="4"/>
        <v>53600</v>
      </c>
      <c r="N131" t="str">
        <f t="shared" si="5"/>
        <v>Faltante</v>
      </c>
      <c r="O131" t="s">
        <v>33</v>
      </c>
      <c r="P131">
        <v>52279779</v>
      </c>
    </row>
    <row r="132" spans="1:16" x14ac:dyDescent="0.35">
      <c r="A132">
        <v>916</v>
      </c>
      <c r="B132">
        <v>5052</v>
      </c>
      <c r="C132" t="s">
        <v>16</v>
      </c>
      <c r="D132" t="s">
        <v>16</v>
      </c>
      <c r="E132" s="2">
        <v>46086</v>
      </c>
      <c r="F132" s="2">
        <v>46085</v>
      </c>
      <c r="G132" t="s">
        <v>25</v>
      </c>
      <c r="H132">
        <v>423926800</v>
      </c>
      <c r="I132">
        <v>422835800</v>
      </c>
      <c r="J132">
        <v>1220000</v>
      </c>
      <c r="K132">
        <v>2310000</v>
      </c>
      <c r="M132">
        <f t="shared" si="4"/>
        <v>-1000</v>
      </c>
      <c r="N132" t="str">
        <f t="shared" si="5"/>
        <v>Sobrante</v>
      </c>
      <c r="O132" t="s">
        <v>112</v>
      </c>
      <c r="P132">
        <v>1004306590</v>
      </c>
    </row>
    <row r="133" spans="1:16" x14ac:dyDescent="0.35">
      <c r="A133">
        <v>331</v>
      </c>
      <c r="B133">
        <v>574</v>
      </c>
      <c r="C133" t="s">
        <v>16</v>
      </c>
      <c r="D133" t="s">
        <v>16</v>
      </c>
      <c r="E133" s="2">
        <v>46087</v>
      </c>
      <c r="F133" s="2">
        <v>46086</v>
      </c>
      <c r="G133" t="s">
        <v>58</v>
      </c>
      <c r="H133">
        <v>232051800</v>
      </c>
      <c r="I133">
        <v>401417850</v>
      </c>
      <c r="J133">
        <v>1690000</v>
      </c>
      <c r="K133">
        <v>23799000</v>
      </c>
      <c r="M133">
        <f t="shared" si="4"/>
        <v>191475050</v>
      </c>
      <c r="N133" t="str">
        <f t="shared" si="5"/>
        <v>Faltante</v>
      </c>
      <c r="O133" t="s">
        <v>33</v>
      </c>
      <c r="P133">
        <v>32244978</v>
      </c>
    </row>
    <row r="134" spans="1:16" x14ac:dyDescent="0.35">
      <c r="A134">
        <v>331</v>
      </c>
      <c r="B134">
        <v>575</v>
      </c>
      <c r="C134" t="s">
        <v>16</v>
      </c>
      <c r="D134" t="s">
        <v>16</v>
      </c>
      <c r="E134" s="2">
        <v>46087</v>
      </c>
      <c r="F134" s="2">
        <v>46086</v>
      </c>
      <c r="G134" t="s">
        <v>52</v>
      </c>
      <c r="H134">
        <v>171730250</v>
      </c>
      <c r="I134">
        <v>339250600</v>
      </c>
      <c r="J134">
        <v>3800000</v>
      </c>
      <c r="K134">
        <v>36430000</v>
      </c>
      <c r="M134">
        <f t="shared" si="4"/>
        <v>200150350</v>
      </c>
      <c r="N134" t="str">
        <f t="shared" si="5"/>
        <v>Faltante</v>
      </c>
      <c r="O134" t="s">
        <v>146</v>
      </c>
      <c r="P134">
        <v>32244978</v>
      </c>
    </row>
    <row r="135" spans="1:16" x14ac:dyDescent="0.35">
      <c r="A135">
        <v>395</v>
      </c>
      <c r="B135">
        <v>1528</v>
      </c>
      <c r="C135" t="s">
        <v>16</v>
      </c>
      <c r="D135" t="s">
        <v>16</v>
      </c>
      <c r="E135" s="2">
        <v>46087</v>
      </c>
      <c r="F135" s="2">
        <v>46086</v>
      </c>
      <c r="G135" t="s">
        <v>147</v>
      </c>
      <c r="H135">
        <v>239312050</v>
      </c>
      <c r="I135">
        <v>193052750</v>
      </c>
      <c r="J135">
        <v>0</v>
      </c>
      <c r="K135">
        <v>19199900</v>
      </c>
      <c r="M135">
        <f t="shared" si="4"/>
        <v>-27059400</v>
      </c>
      <c r="N135" t="str">
        <f t="shared" si="5"/>
        <v>Sobrante</v>
      </c>
      <c r="O135" t="s">
        <v>148</v>
      </c>
      <c r="P135">
        <v>1121857901</v>
      </c>
    </row>
    <row r="136" spans="1:16" x14ac:dyDescent="0.35">
      <c r="A136">
        <v>185</v>
      </c>
      <c r="B136">
        <v>2208</v>
      </c>
      <c r="C136" t="s">
        <v>22</v>
      </c>
      <c r="D136" t="s">
        <v>16</v>
      </c>
      <c r="E136" s="2">
        <v>46087</v>
      </c>
      <c r="F136" s="2">
        <v>46086</v>
      </c>
      <c r="G136" t="s">
        <v>149</v>
      </c>
      <c r="H136">
        <v>112564500</v>
      </c>
      <c r="I136">
        <v>70537500</v>
      </c>
      <c r="J136">
        <v>13130000</v>
      </c>
      <c r="K136">
        <v>5234000</v>
      </c>
      <c r="L136">
        <v>-49923000</v>
      </c>
      <c r="M136">
        <f t="shared" si="4"/>
        <v>0</v>
      </c>
      <c r="N136" t="str">
        <f t="shared" si="5"/>
        <v>Cuadrado</v>
      </c>
      <c r="O136" t="s">
        <v>20</v>
      </c>
      <c r="P136">
        <v>66784636</v>
      </c>
    </row>
    <row r="137" spans="1:16" x14ac:dyDescent="0.35">
      <c r="A137">
        <v>1</v>
      </c>
      <c r="B137">
        <v>5000</v>
      </c>
      <c r="C137" t="s">
        <v>16</v>
      </c>
      <c r="D137" t="s">
        <v>22</v>
      </c>
      <c r="E137" s="2">
        <v>46087</v>
      </c>
      <c r="F137" s="2">
        <v>46086</v>
      </c>
      <c r="G137" t="s">
        <v>150</v>
      </c>
      <c r="H137">
        <v>197938800</v>
      </c>
      <c r="I137">
        <v>199422400</v>
      </c>
      <c r="J137">
        <v>8900000</v>
      </c>
      <c r="K137">
        <v>7416000</v>
      </c>
      <c r="M137">
        <f t="shared" si="4"/>
        <v>-400</v>
      </c>
      <c r="N137" t="str">
        <f t="shared" si="5"/>
        <v>Sobrante</v>
      </c>
      <c r="O137" t="s">
        <v>148</v>
      </c>
      <c r="P137">
        <v>1017128064</v>
      </c>
    </row>
    <row r="138" spans="1:16" x14ac:dyDescent="0.35">
      <c r="A138">
        <v>59</v>
      </c>
      <c r="B138">
        <v>5002</v>
      </c>
      <c r="C138" t="s">
        <v>16</v>
      </c>
      <c r="D138" t="s">
        <v>16</v>
      </c>
      <c r="E138" s="2">
        <v>46087</v>
      </c>
      <c r="F138" s="2">
        <v>46086</v>
      </c>
      <c r="G138" t="s">
        <v>151</v>
      </c>
      <c r="H138">
        <v>184290750</v>
      </c>
      <c r="I138">
        <v>175425750</v>
      </c>
      <c r="J138">
        <v>3590000</v>
      </c>
      <c r="K138">
        <v>12154900</v>
      </c>
      <c r="M138">
        <f t="shared" si="4"/>
        <v>-300100</v>
      </c>
      <c r="N138" t="str">
        <f t="shared" si="5"/>
        <v>Sobrante</v>
      </c>
      <c r="O138" t="s">
        <v>148</v>
      </c>
      <c r="P138">
        <v>1060652821</v>
      </c>
    </row>
    <row r="139" spans="1:16" x14ac:dyDescent="0.35">
      <c r="A139">
        <v>825</v>
      </c>
      <c r="B139">
        <v>5023</v>
      </c>
      <c r="C139" t="s">
        <v>16</v>
      </c>
      <c r="D139" t="s">
        <v>22</v>
      </c>
      <c r="E139" s="2">
        <v>46087</v>
      </c>
      <c r="F139" s="2">
        <v>46086</v>
      </c>
      <c r="G139" t="s">
        <v>152</v>
      </c>
      <c r="H139">
        <v>94249950</v>
      </c>
      <c r="I139">
        <v>120218300</v>
      </c>
      <c r="J139">
        <v>45300000</v>
      </c>
      <c r="K139">
        <v>18511650</v>
      </c>
      <c r="M139">
        <f t="shared" si="4"/>
        <v>-820000</v>
      </c>
      <c r="N139" t="str">
        <f t="shared" si="5"/>
        <v>Sobrante</v>
      </c>
      <c r="O139" t="s">
        <v>148</v>
      </c>
      <c r="P139">
        <v>1144124243</v>
      </c>
    </row>
    <row r="140" spans="1:16" x14ac:dyDescent="0.35">
      <c r="A140">
        <v>32</v>
      </c>
      <c r="B140">
        <v>5027</v>
      </c>
      <c r="C140" t="s">
        <v>16</v>
      </c>
      <c r="D140" t="s">
        <v>16</v>
      </c>
      <c r="E140" s="2">
        <v>46087</v>
      </c>
      <c r="F140" s="2">
        <v>46086</v>
      </c>
      <c r="G140" t="s">
        <v>123</v>
      </c>
      <c r="H140">
        <v>479485900</v>
      </c>
      <c r="I140">
        <v>480778700</v>
      </c>
      <c r="J140">
        <v>1300000</v>
      </c>
      <c r="K140">
        <v>0</v>
      </c>
      <c r="M140">
        <f t="shared" si="4"/>
        <v>-7200</v>
      </c>
      <c r="N140" t="str">
        <f t="shared" si="5"/>
        <v>Sobrante</v>
      </c>
      <c r="O140" t="s">
        <v>148</v>
      </c>
      <c r="P140">
        <v>79750158</v>
      </c>
    </row>
    <row r="141" spans="1:16" x14ac:dyDescent="0.35">
      <c r="A141">
        <v>275</v>
      </c>
      <c r="B141">
        <v>5034</v>
      </c>
      <c r="C141" t="s">
        <v>16</v>
      </c>
      <c r="D141" t="s">
        <v>16</v>
      </c>
      <c r="E141" s="2">
        <v>46087</v>
      </c>
      <c r="F141" s="2">
        <v>46086</v>
      </c>
      <c r="G141" t="s">
        <v>153</v>
      </c>
      <c r="H141">
        <v>86506950</v>
      </c>
      <c r="I141">
        <v>374996950</v>
      </c>
      <c r="J141">
        <v>14550000</v>
      </c>
      <c r="K141">
        <v>50721000</v>
      </c>
      <c r="L141">
        <v>325611000</v>
      </c>
      <c r="M141">
        <f t="shared" si="4"/>
        <v>-950000</v>
      </c>
      <c r="N141" t="str">
        <f t="shared" si="5"/>
        <v>Sobrante</v>
      </c>
      <c r="O141" t="s">
        <v>148</v>
      </c>
      <c r="P141">
        <v>16055613</v>
      </c>
    </row>
    <row r="142" spans="1:16" x14ac:dyDescent="0.35">
      <c r="A142">
        <v>682</v>
      </c>
      <c r="B142">
        <v>5049</v>
      </c>
      <c r="C142" t="s">
        <v>16</v>
      </c>
      <c r="D142" t="s">
        <v>16</v>
      </c>
      <c r="E142" s="2">
        <v>46087</v>
      </c>
      <c r="F142" s="2">
        <v>46086</v>
      </c>
      <c r="G142" t="s">
        <v>154</v>
      </c>
      <c r="H142">
        <v>197591900</v>
      </c>
      <c r="I142">
        <v>189947800</v>
      </c>
      <c r="J142">
        <v>21200000</v>
      </c>
      <c r="K142">
        <v>28849000</v>
      </c>
      <c r="L142">
        <v>4900</v>
      </c>
      <c r="M142">
        <f t="shared" si="4"/>
        <v>0</v>
      </c>
      <c r="N142" t="str">
        <f t="shared" si="5"/>
        <v>Cuadrado</v>
      </c>
      <c r="O142" t="s">
        <v>155</v>
      </c>
      <c r="P142">
        <v>1018447800</v>
      </c>
    </row>
    <row r="143" spans="1:16" x14ac:dyDescent="0.35">
      <c r="A143">
        <v>419</v>
      </c>
      <c r="B143">
        <v>5077</v>
      </c>
      <c r="C143" t="s">
        <v>16</v>
      </c>
      <c r="D143" t="s">
        <v>16</v>
      </c>
      <c r="E143" s="2">
        <v>46087</v>
      </c>
      <c r="F143" s="2">
        <v>46086</v>
      </c>
      <c r="G143" t="s">
        <v>156</v>
      </c>
      <c r="H143">
        <v>121360500</v>
      </c>
      <c r="I143">
        <v>127255500</v>
      </c>
      <c r="J143">
        <v>0</v>
      </c>
      <c r="K143">
        <v>0</v>
      </c>
      <c r="L143">
        <v>5895000</v>
      </c>
      <c r="M143">
        <f t="shared" si="4"/>
        <v>0</v>
      </c>
      <c r="N143" t="str">
        <f t="shared" si="5"/>
        <v>Cuadrado</v>
      </c>
      <c r="O143" t="s">
        <v>157</v>
      </c>
      <c r="P143">
        <v>79248430</v>
      </c>
    </row>
    <row r="144" spans="1:16" x14ac:dyDescent="0.35">
      <c r="A144">
        <v>8</v>
      </c>
      <c r="B144">
        <v>5079</v>
      </c>
      <c r="C144" t="s">
        <v>16</v>
      </c>
      <c r="D144" t="s">
        <v>16</v>
      </c>
      <c r="E144" s="2">
        <v>46087</v>
      </c>
      <c r="F144" s="2">
        <v>46086</v>
      </c>
      <c r="G144" t="s">
        <v>158</v>
      </c>
      <c r="H144">
        <v>291679550</v>
      </c>
      <c r="I144">
        <v>245691600</v>
      </c>
      <c r="J144">
        <v>9790000</v>
      </c>
      <c r="K144">
        <v>33515100</v>
      </c>
      <c r="M144">
        <f t="shared" si="4"/>
        <v>-22262850</v>
      </c>
      <c r="N144" t="str">
        <f t="shared" si="5"/>
        <v>Sobrante</v>
      </c>
      <c r="O144" t="s">
        <v>148</v>
      </c>
      <c r="P144">
        <v>71738191</v>
      </c>
    </row>
    <row r="145" spans="1:16" x14ac:dyDescent="0.35">
      <c r="A145">
        <v>523</v>
      </c>
      <c r="B145">
        <v>5082</v>
      </c>
      <c r="C145" t="s">
        <v>16</v>
      </c>
      <c r="D145" t="s">
        <v>22</v>
      </c>
      <c r="E145" s="2">
        <v>46087</v>
      </c>
      <c r="F145" s="2">
        <v>46086</v>
      </c>
      <c r="G145" t="s">
        <v>43</v>
      </c>
      <c r="H145">
        <v>178570950</v>
      </c>
      <c r="I145">
        <v>100552900</v>
      </c>
      <c r="J145">
        <v>0</v>
      </c>
      <c r="K145">
        <v>0</v>
      </c>
      <c r="M145">
        <f t="shared" si="4"/>
        <v>-78018050</v>
      </c>
      <c r="N145" t="str">
        <f t="shared" si="5"/>
        <v>Sobrante</v>
      </c>
      <c r="O145" t="s">
        <v>33</v>
      </c>
      <c r="P145">
        <v>39491642</v>
      </c>
    </row>
    <row r="146" spans="1:16" x14ac:dyDescent="0.35">
      <c r="A146">
        <v>265</v>
      </c>
      <c r="B146">
        <v>5083</v>
      </c>
      <c r="C146" t="s">
        <v>16</v>
      </c>
      <c r="D146" t="s">
        <v>16</v>
      </c>
      <c r="E146" s="2">
        <v>46087</v>
      </c>
      <c r="F146" s="2">
        <v>46086</v>
      </c>
      <c r="G146" t="s">
        <v>159</v>
      </c>
      <c r="H146">
        <v>144767750</v>
      </c>
      <c r="I146">
        <v>130715750</v>
      </c>
      <c r="J146">
        <v>0</v>
      </c>
      <c r="K146">
        <v>0</v>
      </c>
      <c r="M146">
        <f t="shared" si="4"/>
        <v>-14052000</v>
      </c>
      <c r="N146" t="str">
        <f t="shared" si="5"/>
        <v>Sobrante</v>
      </c>
      <c r="O146" t="s">
        <v>148</v>
      </c>
      <c r="P146">
        <v>1107081130</v>
      </c>
    </row>
    <row r="147" spans="1:16" x14ac:dyDescent="0.35">
      <c r="A147">
        <v>634</v>
      </c>
      <c r="B147">
        <v>5087</v>
      </c>
      <c r="C147" t="s">
        <v>16</v>
      </c>
      <c r="D147" t="s">
        <v>16</v>
      </c>
      <c r="E147" s="2">
        <v>46087</v>
      </c>
      <c r="F147" s="2">
        <v>46086</v>
      </c>
      <c r="G147" t="s">
        <v>160</v>
      </c>
      <c r="H147">
        <v>106089700</v>
      </c>
      <c r="I147">
        <v>105511700</v>
      </c>
      <c r="J147">
        <v>75740000</v>
      </c>
      <c r="K147">
        <v>76311000</v>
      </c>
      <c r="M147">
        <f t="shared" si="4"/>
        <v>-7000</v>
      </c>
      <c r="N147" t="str">
        <f t="shared" si="5"/>
        <v>Sobrante</v>
      </c>
      <c r="O147" t="s">
        <v>148</v>
      </c>
      <c r="P147">
        <v>1032424944</v>
      </c>
    </row>
    <row r="148" spans="1:16" x14ac:dyDescent="0.35">
      <c r="A148">
        <v>430</v>
      </c>
      <c r="B148">
        <v>5104</v>
      </c>
      <c r="C148" t="s">
        <v>16</v>
      </c>
      <c r="D148" t="s">
        <v>16</v>
      </c>
      <c r="E148" s="2">
        <v>46087</v>
      </c>
      <c r="F148" s="2">
        <v>46086</v>
      </c>
      <c r="G148" t="s">
        <v>161</v>
      </c>
      <c r="H148">
        <v>369806800</v>
      </c>
      <c r="I148">
        <v>362667750</v>
      </c>
      <c r="J148">
        <v>41480000</v>
      </c>
      <c r="K148">
        <v>48593700</v>
      </c>
      <c r="M148">
        <f t="shared" si="4"/>
        <v>-25350</v>
      </c>
      <c r="N148" t="str">
        <f t="shared" si="5"/>
        <v>Sobrante</v>
      </c>
      <c r="O148" t="s">
        <v>148</v>
      </c>
      <c r="P148">
        <v>1035234232</v>
      </c>
    </row>
    <row r="149" spans="1:16" x14ac:dyDescent="0.35">
      <c r="A149">
        <v>743</v>
      </c>
      <c r="B149">
        <v>5106</v>
      </c>
      <c r="C149" t="s">
        <v>16</v>
      </c>
      <c r="D149" t="s">
        <v>16</v>
      </c>
      <c r="E149" s="2">
        <v>46087</v>
      </c>
      <c r="F149" s="2">
        <v>46086</v>
      </c>
      <c r="G149" t="s">
        <v>111</v>
      </c>
      <c r="H149">
        <v>58298000</v>
      </c>
      <c r="I149">
        <v>52889000</v>
      </c>
      <c r="J149">
        <v>27880000</v>
      </c>
      <c r="K149">
        <v>15092000</v>
      </c>
      <c r="M149">
        <f t="shared" si="4"/>
        <v>-18197000</v>
      </c>
      <c r="N149" t="str">
        <f t="shared" si="5"/>
        <v>Sobrante</v>
      </c>
      <c r="O149" t="s">
        <v>148</v>
      </c>
      <c r="P149">
        <v>79887183</v>
      </c>
    </row>
    <row r="150" spans="1:16" x14ac:dyDescent="0.35">
      <c r="A150">
        <v>191</v>
      </c>
      <c r="B150">
        <v>5112</v>
      </c>
      <c r="C150" t="s">
        <v>16</v>
      </c>
      <c r="D150" t="s">
        <v>16</v>
      </c>
      <c r="E150" s="2">
        <v>46087</v>
      </c>
      <c r="F150" s="2">
        <v>46086</v>
      </c>
      <c r="G150" t="s">
        <v>52</v>
      </c>
      <c r="H150">
        <v>246928850</v>
      </c>
      <c r="I150">
        <v>244729050</v>
      </c>
      <c r="J150">
        <v>800000</v>
      </c>
      <c r="K150">
        <v>0</v>
      </c>
      <c r="M150">
        <f t="shared" si="4"/>
        <v>-2999800</v>
      </c>
      <c r="N150" t="str">
        <f t="shared" si="5"/>
        <v>Sobrante</v>
      </c>
      <c r="O150" t="s">
        <v>148</v>
      </c>
      <c r="P150">
        <v>80812756</v>
      </c>
    </row>
    <row r="151" spans="1:16" x14ac:dyDescent="0.35">
      <c r="A151">
        <v>937</v>
      </c>
      <c r="B151">
        <v>5115</v>
      </c>
      <c r="C151" t="s">
        <v>16</v>
      </c>
      <c r="D151" t="s">
        <v>16</v>
      </c>
      <c r="E151" s="2">
        <v>46087</v>
      </c>
      <c r="F151" s="2">
        <v>46086</v>
      </c>
      <c r="G151" t="s">
        <v>162</v>
      </c>
      <c r="H151">
        <v>171168750</v>
      </c>
      <c r="I151">
        <v>170696850</v>
      </c>
      <c r="J151">
        <v>0</v>
      </c>
      <c r="K151">
        <v>473000</v>
      </c>
      <c r="L151">
        <v>1100</v>
      </c>
      <c r="M151">
        <f t="shared" si="4"/>
        <v>0</v>
      </c>
      <c r="N151" t="str">
        <f t="shared" si="5"/>
        <v>Cuadrado</v>
      </c>
      <c r="O151" t="s">
        <v>163</v>
      </c>
      <c r="P151">
        <v>1061702364</v>
      </c>
    </row>
    <row r="152" spans="1:16" x14ac:dyDescent="0.35">
      <c r="A152">
        <v>292</v>
      </c>
      <c r="B152">
        <v>5116</v>
      </c>
      <c r="C152" t="s">
        <v>16</v>
      </c>
      <c r="D152" t="s">
        <v>16</v>
      </c>
      <c r="E152" s="2">
        <v>46087</v>
      </c>
      <c r="F152" s="2">
        <v>46086</v>
      </c>
      <c r="G152" t="s">
        <v>164</v>
      </c>
      <c r="H152">
        <v>198569250</v>
      </c>
      <c r="I152">
        <v>207441850</v>
      </c>
      <c r="J152">
        <v>15890000</v>
      </c>
      <c r="K152">
        <v>12444000</v>
      </c>
      <c r="L152">
        <v>5426600</v>
      </c>
      <c r="M152">
        <f t="shared" si="4"/>
        <v>0</v>
      </c>
      <c r="N152" t="str">
        <f t="shared" si="5"/>
        <v>Cuadrado</v>
      </c>
      <c r="O152" t="s">
        <v>165</v>
      </c>
      <c r="P152">
        <v>44006127</v>
      </c>
    </row>
    <row r="153" spans="1:16" x14ac:dyDescent="0.35">
      <c r="A153">
        <v>511</v>
      </c>
      <c r="B153">
        <v>5122</v>
      </c>
      <c r="C153" t="s">
        <v>16</v>
      </c>
      <c r="D153" t="s">
        <v>16</v>
      </c>
      <c r="E153" s="2">
        <v>46087</v>
      </c>
      <c r="F153" s="2">
        <v>46086</v>
      </c>
      <c r="G153" t="s">
        <v>166</v>
      </c>
      <c r="H153">
        <v>161839300</v>
      </c>
      <c r="I153">
        <v>202510250</v>
      </c>
      <c r="J153">
        <v>19110000</v>
      </c>
      <c r="K153">
        <v>18439000</v>
      </c>
      <c r="M153">
        <f t="shared" si="4"/>
        <v>39999950</v>
      </c>
      <c r="N153" t="str">
        <f t="shared" si="5"/>
        <v>Faltante</v>
      </c>
      <c r="O153" t="s">
        <v>33</v>
      </c>
      <c r="P153">
        <v>1037597003</v>
      </c>
    </row>
    <row r="154" spans="1:16" x14ac:dyDescent="0.35">
      <c r="A154">
        <v>366</v>
      </c>
      <c r="B154">
        <v>5132</v>
      </c>
      <c r="C154" t="s">
        <v>16</v>
      </c>
      <c r="D154" t="s">
        <v>16</v>
      </c>
      <c r="E154" s="2">
        <v>46087</v>
      </c>
      <c r="F154" s="2">
        <v>46086</v>
      </c>
      <c r="G154" t="s">
        <v>167</v>
      </c>
      <c r="H154">
        <v>281513100</v>
      </c>
      <c r="I154">
        <v>264048100</v>
      </c>
      <c r="J154">
        <v>32420000</v>
      </c>
      <c r="K154">
        <v>46374000</v>
      </c>
      <c r="M154">
        <f t="shared" si="4"/>
        <v>-3511000</v>
      </c>
      <c r="N154" t="str">
        <f t="shared" si="5"/>
        <v>Sobrante</v>
      </c>
      <c r="O154" t="s">
        <v>148</v>
      </c>
      <c r="P154">
        <v>1035426009</v>
      </c>
    </row>
    <row r="155" spans="1:16" x14ac:dyDescent="0.35">
      <c r="A155">
        <v>358</v>
      </c>
      <c r="B155">
        <v>5149</v>
      </c>
      <c r="C155" t="s">
        <v>16</v>
      </c>
      <c r="D155" t="s">
        <v>16</v>
      </c>
      <c r="E155" s="2">
        <v>46087</v>
      </c>
      <c r="F155" s="2">
        <v>46086</v>
      </c>
      <c r="G155" t="s">
        <v>168</v>
      </c>
      <c r="H155">
        <v>22620350</v>
      </c>
      <c r="I155">
        <v>22570850</v>
      </c>
      <c r="J155">
        <v>0</v>
      </c>
      <c r="K155">
        <v>0</v>
      </c>
      <c r="M155">
        <f t="shared" si="4"/>
        <v>-49500</v>
      </c>
      <c r="N155" t="str">
        <f t="shared" si="5"/>
        <v>Sobrante</v>
      </c>
      <c r="O155" t="s">
        <v>148</v>
      </c>
      <c r="P155">
        <v>46456877</v>
      </c>
    </row>
    <row r="156" spans="1:16" x14ac:dyDescent="0.35">
      <c r="A156">
        <v>388</v>
      </c>
      <c r="B156">
        <v>5169</v>
      </c>
      <c r="C156" t="s">
        <v>16</v>
      </c>
      <c r="D156" t="s">
        <v>16</v>
      </c>
      <c r="E156" s="2">
        <v>46087</v>
      </c>
      <c r="F156" s="2">
        <v>46086</v>
      </c>
      <c r="G156" t="s">
        <v>169</v>
      </c>
      <c r="H156">
        <v>22055900</v>
      </c>
      <c r="I156">
        <v>329397900</v>
      </c>
      <c r="J156">
        <v>630000</v>
      </c>
      <c r="K156">
        <v>0</v>
      </c>
      <c r="L156">
        <v>306712000</v>
      </c>
      <c r="M156">
        <f t="shared" si="4"/>
        <v>0</v>
      </c>
      <c r="N156" t="str">
        <f t="shared" si="5"/>
        <v>Cuadrado</v>
      </c>
      <c r="O156" t="s">
        <v>170</v>
      </c>
      <c r="P156">
        <v>1023890720</v>
      </c>
    </row>
    <row r="157" spans="1:16" x14ac:dyDescent="0.35">
      <c r="A157">
        <v>253</v>
      </c>
      <c r="B157">
        <v>5176</v>
      </c>
      <c r="C157" t="s">
        <v>16</v>
      </c>
      <c r="D157" t="s">
        <v>16</v>
      </c>
      <c r="E157" s="2">
        <v>46087</v>
      </c>
      <c r="F157" s="2">
        <v>46086</v>
      </c>
      <c r="G157" t="s">
        <v>158</v>
      </c>
      <c r="H157">
        <v>216719950</v>
      </c>
      <c r="I157">
        <v>485872950</v>
      </c>
      <c r="J157">
        <v>9570000</v>
      </c>
      <c r="K157">
        <v>41515000</v>
      </c>
      <c r="L157">
        <v>300900000</v>
      </c>
      <c r="M157">
        <f t="shared" si="4"/>
        <v>198000</v>
      </c>
      <c r="N157" t="str">
        <f t="shared" si="5"/>
        <v>Faltante</v>
      </c>
      <c r="O157" t="s">
        <v>33</v>
      </c>
      <c r="P157">
        <v>1017241432</v>
      </c>
    </row>
    <row r="158" spans="1:16" x14ac:dyDescent="0.35">
      <c r="A158">
        <v>432</v>
      </c>
      <c r="B158">
        <v>5195</v>
      </c>
      <c r="C158" t="s">
        <v>16</v>
      </c>
      <c r="D158" t="s">
        <v>16</v>
      </c>
      <c r="E158" s="2">
        <v>46087</v>
      </c>
      <c r="F158" s="2">
        <v>46086</v>
      </c>
      <c r="G158" t="s">
        <v>116</v>
      </c>
      <c r="H158">
        <v>251120200</v>
      </c>
      <c r="I158">
        <v>209185200</v>
      </c>
      <c r="J158">
        <v>19960000</v>
      </c>
      <c r="K158">
        <v>67749000</v>
      </c>
      <c r="L158">
        <v>5854000</v>
      </c>
      <c r="M158">
        <f t="shared" si="4"/>
        <v>0</v>
      </c>
      <c r="N158" t="str">
        <f t="shared" si="5"/>
        <v>Cuadrado</v>
      </c>
      <c r="O158" t="s">
        <v>171</v>
      </c>
      <c r="P158">
        <v>71935844</v>
      </c>
    </row>
    <row r="159" spans="1:16" x14ac:dyDescent="0.35">
      <c r="A159">
        <v>606</v>
      </c>
      <c r="B159">
        <v>5201</v>
      </c>
      <c r="C159" t="s">
        <v>16</v>
      </c>
      <c r="D159" t="s">
        <v>16</v>
      </c>
      <c r="E159" s="2">
        <v>46087</v>
      </c>
      <c r="F159" s="2">
        <v>46086</v>
      </c>
      <c r="G159" t="s">
        <v>88</v>
      </c>
      <c r="H159">
        <v>278527850</v>
      </c>
      <c r="I159">
        <v>269966850</v>
      </c>
      <c r="J159">
        <v>19190000</v>
      </c>
      <c r="K159">
        <v>32881000</v>
      </c>
      <c r="L159">
        <v>5130000</v>
      </c>
      <c r="M159">
        <f t="shared" si="4"/>
        <v>0</v>
      </c>
      <c r="N159" t="str">
        <f t="shared" si="5"/>
        <v>Cuadrado</v>
      </c>
      <c r="O159" t="s">
        <v>172</v>
      </c>
      <c r="P159">
        <v>33368879</v>
      </c>
    </row>
    <row r="160" spans="1:16" x14ac:dyDescent="0.35">
      <c r="A160">
        <v>16</v>
      </c>
      <c r="B160">
        <v>5219</v>
      </c>
      <c r="C160" t="s">
        <v>16</v>
      </c>
      <c r="D160" t="s">
        <v>16</v>
      </c>
      <c r="E160" s="2">
        <v>46087</v>
      </c>
      <c r="F160" s="2">
        <v>46086</v>
      </c>
      <c r="G160" t="s">
        <v>173</v>
      </c>
      <c r="H160">
        <v>112217850</v>
      </c>
      <c r="I160">
        <v>99111700</v>
      </c>
      <c r="J160">
        <v>0</v>
      </c>
      <c r="K160">
        <v>0</v>
      </c>
      <c r="M160">
        <f t="shared" si="4"/>
        <v>-13106150</v>
      </c>
      <c r="N160" t="str">
        <f t="shared" si="5"/>
        <v>Sobrante</v>
      </c>
      <c r="O160" t="s">
        <v>148</v>
      </c>
      <c r="P160">
        <v>1128391338</v>
      </c>
    </row>
    <row r="161" spans="1:16" x14ac:dyDescent="0.35">
      <c r="A161">
        <v>941</v>
      </c>
      <c r="B161">
        <v>5220</v>
      </c>
      <c r="C161" t="s">
        <v>16</v>
      </c>
      <c r="D161" t="s">
        <v>16</v>
      </c>
      <c r="E161" s="2">
        <v>46087</v>
      </c>
      <c r="F161" s="2">
        <v>46086</v>
      </c>
      <c r="G161" t="s">
        <v>174</v>
      </c>
      <c r="H161">
        <v>220258900</v>
      </c>
      <c r="I161">
        <v>220561700</v>
      </c>
      <c r="J161">
        <v>0</v>
      </c>
      <c r="K161">
        <v>0</v>
      </c>
      <c r="M161">
        <f t="shared" si="4"/>
        <v>302800</v>
      </c>
      <c r="N161" t="str">
        <f t="shared" si="5"/>
        <v>Faltante</v>
      </c>
      <c r="O161" t="s">
        <v>175</v>
      </c>
      <c r="P161">
        <v>1075228904</v>
      </c>
    </row>
    <row r="162" spans="1:16" x14ac:dyDescent="0.35">
      <c r="A162">
        <v>54</v>
      </c>
      <c r="B162">
        <v>6204</v>
      </c>
      <c r="C162" t="s">
        <v>16</v>
      </c>
      <c r="D162" t="s">
        <v>16</v>
      </c>
      <c r="E162" s="2">
        <v>46087</v>
      </c>
      <c r="F162" s="2">
        <v>46086</v>
      </c>
      <c r="G162" t="s">
        <v>176</v>
      </c>
      <c r="H162">
        <v>141733400</v>
      </c>
      <c r="I162">
        <v>125946850</v>
      </c>
      <c r="J162">
        <v>1660000</v>
      </c>
      <c r="K162">
        <v>17535000</v>
      </c>
      <c r="L162">
        <v>88450</v>
      </c>
      <c r="M162">
        <f t="shared" si="4"/>
        <v>0</v>
      </c>
      <c r="N162" t="str">
        <f t="shared" si="5"/>
        <v>Cuadrado</v>
      </c>
      <c r="O162" t="s">
        <v>177</v>
      </c>
      <c r="P162">
        <v>1019068822</v>
      </c>
    </row>
    <row r="163" spans="1:16" x14ac:dyDescent="0.35">
      <c r="A163">
        <v>178</v>
      </c>
      <c r="B163">
        <v>6218</v>
      </c>
      <c r="C163" t="s">
        <v>16</v>
      </c>
      <c r="D163" t="s">
        <v>16</v>
      </c>
      <c r="E163" s="2">
        <v>46087</v>
      </c>
      <c r="F163" s="2">
        <v>46086</v>
      </c>
      <c r="G163" t="s">
        <v>178</v>
      </c>
      <c r="H163">
        <v>301155400</v>
      </c>
      <c r="I163">
        <v>298945400</v>
      </c>
      <c r="J163">
        <v>2590000</v>
      </c>
      <c r="K163">
        <v>0</v>
      </c>
      <c r="M163">
        <f t="shared" si="4"/>
        <v>-4800000</v>
      </c>
      <c r="N163" t="str">
        <f t="shared" si="5"/>
        <v>Sobrante</v>
      </c>
      <c r="O163" t="s">
        <v>148</v>
      </c>
      <c r="P163">
        <v>79516051</v>
      </c>
    </row>
    <row r="164" spans="1:16" x14ac:dyDescent="0.35">
      <c r="A164">
        <v>231</v>
      </c>
      <c r="B164">
        <v>6243</v>
      </c>
      <c r="C164" t="s">
        <v>16</v>
      </c>
      <c r="D164" t="s">
        <v>22</v>
      </c>
      <c r="E164" s="2">
        <v>46087</v>
      </c>
      <c r="F164" s="2">
        <v>46086</v>
      </c>
      <c r="G164" t="s">
        <v>179</v>
      </c>
      <c r="H164">
        <v>182345150</v>
      </c>
      <c r="I164">
        <v>186175150</v>
      </c>
      <c r="J164">
        <v>7780000</v>
      </c>
      <c r="K164">
        <v>4000000</v>
      </c>
      <c r="L164">
        <v>50000</v>
      </c>
      <c r="M164">
        <f t="shared" si="4"/>
        <v>0</v>
      </c>
      <c r="N164" t="str">
        <f t="shared" si="5"/>
        <v>Cuadrado</v>
      </c>
      <c r="O164" t="s">
        <v>180</v>
      </c>
      <c r="P164">
        <v>52979634</v>
      </c>
    </row>
    <row r="165" spans="1:16" x14ac:dyDescent="0.35">
      <c r="A165">
        <v>79</v>
      </c>
      <c r="B165">
        <v>6245</v>
      </c>
      <c r="C165" t="s">
        <v>16</v>
      </c>
      <c r="D165" t="s">
        <v>22</v>
      </c>
      <c r="E165" s="2">
        <v>46087</v>
      </c>
      <c r="F165" s="2">
        <v>46086</v>
      </c>
      <c r="G165" t="s">
        <v>181</v>
      </c>
      <c r="H165">
        <v>3193400</v>
      </c>
      <c r="I165">
        <v>201375900</v>
      </c>
      <c r="J165">
        <v>0</v>
      </c>
      <c r="K165">
        <v>17488950</v>
      </c>
      <c r="L165">
        <v>220433000</v>
      </c>
      <c r="M165">
        <f t="shared" si="4"/>
        <v>-4761550</v>
      </c>
      <c r="N165" t="str">
        <f t="shared" si="5"/>
        <v>Sobrante</v>
      </c>
      <c r="O165" t="s">
        <v>148</v>
      </c>
      <c r="P165">
        <v>79772242</v>
      </c>
    </row>
    <row r="166" spans="1:16" x14ac:dyDescent="0.35">
      <c r="A166">
        <v>78</v>
      </c>
      <c r="B166">
        <v>6246</v>
      </c>
      <c r="C166" t="s">
        <v>16</v>
      </c>
      <c r="D166" t="s">
        <v>16</v>
      </c>
      <c r="E166" s="2">
        <v>46087</v>
      </c>
      <c r="F166" s="2">
        <v>46086</v>
      </c>
      <c r="G166" t="s">
        <v>182</v>
      </c>
      <c r="H166">
        <v>179249150</v>
      </c>
      <c r="I166">
        <v>177039150</v>
      </c>
      <c r="J166">
        <v>560000</v>
      </c>
      <c r="K166">
        <v>8020000</v>
      </c>
      <c r="L166">
        <v>5250000</v>
      </c>
      <c r="M166">
        <f t="shared" si="4"/>
        <v>0</v>
      </c>
      <c r="N166" t="str">
        <f t="shared" si="5"/>
        <v>Cuadrado</v>
      </c>
      <c r="O166" t="s">
        <v>183</v>
      </c>
      <c r="P166">
        <v>1098657131</v>
      </c>
    </row>
    <row r="167" spans="1:16" x14ac:dyDescent="0.35">
      <c r="A167">
        <v>718</v>
      </c>
      <c r="B167">
        <v>6248</v>
      </c>
      <c r="C167" t="s">
        <v>16</v>
      </c>
      <c r="D167" t="s">
        <v>16</v>
      </c>
      <c r="E167" s="2">
        <v>46087</v>
      </c>
      <c r="F167" s="2">
        <v>46086</v>
      </c>
      <c r="G167" t="s">
        <v>181</v>
      </c>
      <c r="H167">
        <v>303747800</v>
      </c>
      <c r="I167">
        <v>304257800</v>
      </c>
      <c r="J167">
        <v>0</v>
      </c>
      <c r="K167">
        <v>2000000</v>
      </c>
      <c r="L167">
        <v>2510000</v>
      </c>
      <c r="M167">
        <f t="shared" si="4"/>
        <v>0</v>
      </c>
      <c r="N167" t="str">
        <f t="shared" si="5"/>
        <v>Cuadrado</v>
      </c>
      <c r="O167" t="s">
        <v>184</v>
      </c>
      <c r="P167">
        <v>1110458168</v>
      </c>
    </row>
    <row r="168" spans="1:16" x14ac:dyDescent="0.35">
      <c r="A168">
        <v>337</v>
      </c>
      <c r="B168">
        <v>6253</v>
      </c>
      <c r="C168" t="s">
        <v>16</v>
      </c>
      <c r="D168" t="s">
        <v>16</v>
      </c>
      <c r="E168" s="2">
        <v>46087</v>
      </c>
      <c r="F168" s="2">
        <v>46086</v>
      </c>
      <c r="G168" t="s">
        <v>185</v>
      </c>
      <c r="H168">
        <v>206397700</v>
      </c>
      <c r="I168">
        <v>209155700</v>
      </c>
      <c r="J168">
        <v>9590000</v>
      </c>
      <c r="K168">
        <v>6732000</v>
      </c>
      <c r="M168">
        <f t="shared" si="4"/>
        <v>-100000</v>
      </c>
      <c r="N168" t="str">
        <f t="shared" si="5"/>
        <v>Sobrante</v>
      </c>
      <c r="O168" t="s">
        <v>148</v>
      </c>
      <c r="P168">
        <v>80386330</v>
      </c>
    </row>
    <row r="169" spans="1:16" x14ac:dyDescent="0.35">
      <c r="A169">
        <v>317</v>
      </c>
      <c r="B169">
        <v>6613</v>
      </c>
      <c r="C169" t="s">
        <v>22</v>
      </c>
      <c r="D169" t="s">
        <v>16</v>
      </c>
      <c r="E169" s="2">
        <v>46087</v>
      </c>
      <c r="F169" s="2">
        <v>46086</v>
      </c>
      <c r="G169" t="s">
        <v>186</v>
      </c>
      <c r="H169">
        <v>55302000</v>
      </c>
      <c r="I169">
        <v>318993000</v>
      </c>
      <c r="J169">
        <v>1550000</v>
      </c>
      <c r="K169">
        <v>23900000</v>
      </c>
      <c r="L169">
        <v>302802000</v>
      </c>
      <c r="M169">
        <f t="shared" si="4"/>
        <v>-16761000</v>
      </c>
      <c r="N169" t="str">
        <f t="shared" si="5"/>
        <v>Sobrante</v>
      </c>
      <c r="O169" t="s">
        <v>148</v>
      </c>
      <c r="P169">
        <v>1116796671</v>
      </c>
    </row>
    <row r="170" spans="1:16" x14ac:dyDescent="0.35">
      <c r="A170">
        <v>352</v>
      </c>
      <c r="B170">
        <v>6618</v>
      </c>
      <c r="C170" t="s">
        <v>16</v>
      </c>
      <c r="D170" t="s">
        <v>16</v>
      </c>
      <c r="E170" s="2">
        <v>46087</v>
      </c>
      <c r="F170" s="2">
        <v>46086</v>
      </c>
      <c r="G170" t="s">
        <v>61</v>
      </c>
      <c r="H170">
        <v>168638000</v>
      </c>
      <c r="I170">
        <v>190430000</v>
      </c>
      <c r="J170">
        <v>9630000</v>
      </c>
      <c r="K170">
        <v>650000</v>
      </c>
      <c r="M170">
        <f t="shared" si="4"/>
        <v>12812000</v>
      </c>
      <c r="N170" t="str">
        <f t="shared" si="5"/>
        <v>Faltante</v>
      </c>
      <c r="O170" t="s">
        <v>33</v>
      </c>
      <c r="P170">
        <v>28559006</v>
      </c>
    </row>
    <row r="171" spans="1:16" x14ac:dyDescent="0.35">
      <c r="A171">
        <v>138</v>
      </c>
      <c r="B171">
        <v>6628</v>
      </c>
      <c r="C171" t="s">
        <v>22</v>
      </c>
      <c r="D171" t="s">
        <v>22</v>
      </c>
      <c r="E171" s="2">
        <v>46087</v>
      </c>
      <c r="F171" s="2">
        <v>46086</v>
      </c>
      <c r="G171" t="s">
        <v>187</v>
      </c>
      <c r="H171">
        <v>121980550</v>
      </c>
      <c r="I171">
        <v>127215100</v>
      </c>
      <c r="J171">
        <v>7460000</v>
      </c>
      <c r="K171">
        <v>12185000</v>
      </c>
      <c r="L171">
        <v>9959550</v>
      </c>
      <c r="M171">
        <f t="shared" si="4"/>
        <v>0</v>
      </c>
      <c r="N171" t="str">
        <f t="shared" si="5"/>
        <v>Cuadrado</v>
      </c>
      <c r="O171" t="s">
        <v>188</v>
      </c>
      <c r="P171">
        <v>1023884092</v>
      </c>
    </row>
    <row r="172" spans="1:16" x14ac:dyDescent="0.35">
      <c r="A172">
        <v>764</v>
      </c>
      <c r="B172">
        <v>6715</v>
      </c>
      <c r="C172" t="s">
        <v>16</v>
      </c>
      <c r="D172" t="s">
        <v>16</v>
      </c>
      <c r="E172" s="2">
        <v>46087</v>
      </c>
      <c r="F172" s="2">
        <v>46086</v>
      </c>
      <c r="G172" t="s">
        <v>52</v>
      </c>
      <c r="H172">
        <v>196916850</v>
      </c>
      <c r="I172">
        <v>204586850</v>
      </c>
      <c r="J172">
        <v>14400000</v>
      </c>
      <c r="K172">
        <v>6670000</v>
      </c>
      <c r="M172">
        <f t="shared" si="4"/>
        <v>-60000</v>
      </c>
      <c r="N172" t="str">
        <f t="shared" si="5"/>
        <v>Sobrante</v>
      </c>
      <c r="O172" t="s">
        <v>148</v>
      </c>
      <c r="P172">
        <v>1112480917</v>
      </c>
    </row>
    <row r="173" spans="1:16" x14ac:dyDescent="0.35">
      <c r="A173">
        <v>371</v>
      </c>
      <c r="B173">
        <v>6718</v>
      </c>
      <c r="C173" t="s">
        <v>16</v>
      </c>
      <c r="D173" t="s">
        <v>16</v>
      </c>
      <c r="E173" s="2">
        <v>46087</v>
      </c>
      <c r="F173" s="2">
        <v>46086</v>
      </c>
      <c r="G173" t="s">
        <v>189</v>
      </c>
      <c r="H173">
        <v>222075650</v>
      </c>
      <c r="I173">
        <v>164874650</v>
      </c>
      <c r="J173">
        <v>6920000</v>
      </c>
      <c r="K173">
        <v>69476000</v>
      </c>
      <c r="L173">
        <v>5355000</v>
      </c>
      <c r="M173">
        <f t="shared" si="4"/>
        <v>0</v>
      </c>
      <c r="N173" t="str">
        <f t="shared" si="5"/>
        <v>Cuadrado</v>
      </c>
      <c r="O173" t="s">
        <v>190</v>
      </c>
      <c r="P173">
        <v>39279278</v>
      </c>
    </row>
    <row r="174" spans="1:16" x14ac:dyDescent="0.35">
      <c r="A174">
        <v>888</v>
      </c>
      <c r="B174">
        <v>6818</v>
      </c>
      <c r="C174" t="s">
        <v>16</v>
      </c>
      <c r="D174" t="s">
        <v>16</v>
      </c>
      <c r="E174" s="2">
        <v>46087</v>
      </c>
      <c r="F174" s="2">
        <v>46086</v>
      </c>
      <c r="G174" t="s">
        <v>191</v>
      </c>
      <c r="H174">
        <v>518685200</v>
      </c>
      <c r="I174">
        <v>483375200</v>
      </c>
      <c r="J174">
        <v>19760000</v>
      </c>
      <c r="K174">
        <v>54300000</v>
      </c>
      <c r="M174">
        <f t="shared" si="4"/>
        <v>-770000</v>
      </c>
      <c r="N174" t="str">
        <f t="shared" si="5"/>
        <v>Sobrante</v>
      </c>
      <c r="O174" t="s">
        <v>148</v>
      </c>
      <c r="P174">
        <v>1085921765</v>
      </c>
    </row>
    <row r="175" spans="1:16" x14ac:dyDescent="0.35">
      <c r="A175">
        <v>741</v>
      </c>
      <c r="B175">
        <v>6843</v>
      </c>
      <c r="C175" t="s">
        <v>22</v>
      </c>
      <c r="D175" t="s">
        <v>16</v>
      </c>
      <c r="E175" s="2">
        <v>46087</v>
      </c>
      <c r="F175" s="2">
        <v>46086</v>
      </c>
      <c r="G175" t="s">
        <v>192</v>
      </c>
      <c r="H175">
        <v>158973650</v>
      </c>
      <c r="I175">
        <v>202283500</v>
      </c>
      <c r="J175">
        <v>40000000</v>
      </c>
      <c r="K175">
        <v>35505000</v>
      </c>
      <c r="M175">
        <f t="shared" si="4"/>
        <v>38814850</v>
      </c>
      <c r="N175" t="str">
        <f t="shared" si="5"/>
        <v>Faltante</v>
      </c>
      <c r="O175" t="s">
        <v>33</v>
      </c>
      <c r="P175">
        <v>1130637714</v>
      </c>
    </row>
    <row r="176" spans="1:16" x14ac:dyDescent="0.35">
      <c r="A176">
        <v>651</v>
      </c>
      <c r="B176">
        <v>7318</v>
      </c>
      <c r="C176" t="s">
        <v>22</v>
      </c>
      <c r="D176" t="s">
        <v>16</v>
      </c>
      <c r="E176" s="2">
        <v>46087</v>
      </c>
      <c r="F176" s="2">
        <v>46086</v>
      </c>
      <c r="G176" t="s">
        <v>152</v>
      </c>
      <c r="H176">
        <v>118567600</v>
      </c>
      <c r="I176">
        <v>126485600</v>
      </c>
      <c r="J176">
        <v>37270000</v>
      </c>
      <c r="K176">
        <v>27832000</v>
      </c>
      <c r="M176">
        <f t="shared" si="4"/>
        <v>-1520000</v>
      </c>
      <c r="N176" t="str">
        <f t="shared" si="5"/>
        <v>Sobrante</v>
      </c>
      <c r="O176" t="s">
        <v>148</v>
      </c>
      <c r="P176">
        <v>70136398</v>
      </c>
    </row>
    <row r="177" spans="1:16" x14ac:dyDescent="0.35">
      <c r="A177">
        <v>41</v>
      </c>
      <c r="B177">
        <v>7341</v>
      </c>
      <c r="C177" t="s">
        <v>22</v>
      </c>
      <c r="D177" t="s">
        <v>16</v>
      </c>
      <c r="E177" s="2">
        <v>46087</v>
      </c>
      <c r="F177" s="2">
        <v>46086</v>
      </c>
      <c r="G177" t="s">
        <v>193</v>
      </c>
      <c r="H177">
        <v>106740400</v>
      </c>
      <c r="I177">
        <v>302280350</v>
      </c>
      <c r="J177">
        <v>0</v>
      </c>
      <c r="K177">
        <v>0</v>
      </c>
      <c r="L177">
        <v>195910000</v>
      </c>
      <c r="M177">
        <f t="shared" si="4"/>
        <v>-370050</v>
      </c>
      <c r="N177" t="str">
        <f t="shared" si="5"/>
        <v>Sobrante</v>
      </c>
      <c r="O177" t="s">
        <v>148</v>
      </c>
      <c r="P177">
        <v>94508187</v>
      </c>
    </row>
    <row r="178" spans="1:16" x14ac:dyDescent="0.35">
      <c r="A178">
        <v>623</v>
      </c>
      <c r="B178">
        <v>7375</v>
      </c>
      <c r="C178" t="s">
        <v>16</v>
      </c>
      <c r="D178" t="s">
        <v>16</v>
      </c>
      <c r="E178" s="2">
        <v>46087</v>
      </c>
      <c r="F178" s="2">
        <v>46086</v>
      </c>
      <c r="G178" t="s">
        <v>194</v>
      </c>
      <c r="H178">
        <v>181099450</v>
      </c>
      <c r="I178">
        <v>180959850</v>
      </c>
      <c r="J178">
        <v>1310000</v>
      </c>
      <c r="K178">
        <v>1434000</v>
      </c>
      <c r="L178">
        <v>-15600</v>
      </c>
      <c r="M178">
        <f t="shared" si="4"/>
        <v>0</v>
      </c>
      <c r="N178" t="str">
        <f t="shared" si="5"/>
        <v>Cuadrado</v>
      </c>
      <c r="O178" t="s">
        <v>20</v>
      </c>
      <c r="P178">
        <v>1012348871</v>
      </c>
    </row>
    <row r="179" spans="1:16" x14ac:dyDescent="0.35">
      <c r="A179">
        <v>944</v>
      </c>
      <c r="B179">
        <v>8354</v>
      </c>
      <c r="C179" t="s">
        <v>16</v>
      </c>
      <c r="D179" t="s">
        <v>16</v>
      </c>
      <c r="E179" s="2">
        <v>46087</v>
      </c>
      <c r="F179" s="2">
        <v>46086</v>
      </c>
      <c r="G179" t="s">
        <v>38</v>
      </c>
      <c r="H179">
        <v>17519050</v>
      </c>
      <c r="I179">
        <v>255044350</v>
      </c>
      <c r="J179">
        <v>20220000</v>
      </c>
      <c r="K179">
        <v>39022700</v>
      </c>
      <c r="L179">
        <v>256328000</v>
      </c>
      <c r="M179">
        <f t="shared" si="4"/>
        <v>0</v>
      </c>
      <c r="N179" t="str">
        <f t="shared" si="5"/>
        <v>Cuadrado</v>
      </c>
      <c r="O179" t="s">
        <v>195</v>
      </c>
      <c r="P179">
        <v>79644034</v>
      </c>
    </row>
    <row r="180" spans="1:16" x14ac:dyDescent="0.35">
      <c r="A180">
        <v>495</v>
      </c>
      <c r="B180">
        <v>8482</v>
      </c>
      <c r="C180" t="s">
        <v>16</v>
      </c>
      <c r="D180" t="s">
        <v>22</v>
      </c>
      <c r="E180" s="2">
        <v>46087</v>
      </c>
      <c r="F180" s="2">
        <v>46086</v>
      </c>
      <c r="G180" t="s">
        <v>196</v>
      </c>
      <c r="H180">
        <v>153231600</v>
      </c>
      <c r="I180">
        <v>155683600</v>
      </c>
      <c r="J180">
        <v>0</v>
      </c>
      <c r="K180">
        <v>0</v>
      </c>
      <c r="M180">
        <f t="shared" si="4"/>
        <v>2452000</v>
      </c>
      <c r="N180" t="str">
        <f t="shared" si="5"/>
        <v>Faltante</v>
      </c>
      <c r="O180" t="s">
        <v>33</v>
      </c>
      <c r="P180">
        <v>1052081923</v>
      </c>
    </row>
    <row r="181" spans="1:16" x14ac:dyDescent="0.35">
      <c r="A181">
        <v>728</v>
      </c>
      <c r="B181">
        <v>8586</v>
      </c>
      <c r="C181" t="s">
        <v>16</v>
      </c>
      <c r="D181" t="s">
        <v>16</v>
      </c>
      <c r="E181" s="2">
        <v>46087</v>
      </c>
      <c r="F181" s="2">
        <v>46086</v>
      </c>
      <c r="G181" t="s">
        <v>197</v>
      </c>
      <c r="H181">
        <v>197400800</v>
      </c>
      <c r="I181">
        <v>194709800</v>
      </c>
      <c r="J181">
        <v>6420000</v>
      </c>
      <c r="K181">
        <v>7000000</v>
      </c>
      <c r="M181">
        <f t="shared" si="4"/>
        <v>-2111000</v>
      </c>
      <c r="N181" t="str">
        <f t="shared" si="5"/>
        <v>Sobrante</v>
      </c>
      <c r="O181" t="s">
        <v>148</v>
      </c>
      <c r="P181">
        <v>1112783690</v>
      </c>
    </row>
    <row r="182" spans="1:16" x14ac:dyDescent="0.35">
      <c r="A182">
        <v>728</v>
      </c>
      <c r="B182">
        <v>8587</v>
      </c>
      <c r="C182" t="s">
        <v>16</v>
      </c>
      <c r="D182" t="s">
        <v>16</v>
      </c>
      <c r="E182" s="2">
        <v>46087</v>
      </c>
      <c r="F182" s="2">
        <v>46086</v>
      </c>
      <c r="G182" t="s">
        <v>198</v>
      </c>
      <c r="H182">
        <v>152249850</v>
      </c>
      <c r="I182">
        <v>161403850</v>
      </c>
      <c r="J182">
        <v>9230000</v>
      </c>
      <c r="K182">
        <v>56000</v>
      </c>
      <c r="M182">
        <f t="shared" si="4"/>
        <v>-20000</v>
      </c>
      <c r="N182" t="str">
        <f t="shared" si="5"/>
        <v>Sobrante</v>
      </c>
      <c r="O182" t="s">
        <v>148</v>
      </c>
      <c r="P182">
        <v>1112783690</v>
      </c>
    </row>
    <row r="183" spans="1:16" x14ac:dyDescent="0.35">
      <c r="A183">
        <v>78</v>
      </c>
      <c r="B183">
        <v>8594</v>
      </c>
      <c r="C183" t="s">
        <v>16</v>
      </c>
      <c r="D183" t="s">
        <v>16</v>
      </c>
      <c r="E183" s="2">
        <v>46087</v>
      </c>
      <c r="F183" s="2">
        <v>46086</v>
      </c>
      <c r="G183" t="s">
        <v>199</v>
      </c>
      <c r="H183">
        <v>135632050</v>
      </c>
      <c r="I183">
        <v>147082050</v>
      </c>
      <c r="J183">
        <v>6040000</v>
      </c>
      <c r="K183">
        <v>0</v>
      </c>
      <c r="L183">
        <v>5410000</v>
      </c>
      <c r="M183">
        <f t="shared" si="4"/>
        <v>0</v>
      </c>
      <c r="N183" t="str">
        <f t="shared" si="5"/>
        <v>Cuadrado</v>
      </c>
      <c r="O183" t="s">
        <v>200</v>
      </c>
      <c r="P183">
        <v>1098657131</v>
      </c>
    </row>
    <row r="184" spans="1:16" x14ac:dyDescent="0.35">
      <c r="A184">
        <v>60</v>
      </c>
      <c r="B184">
        <v>8727</v>
      </c>
      <c r="C184" t="s">
        <v>16</v>
      </c>
      <c r="D184" t="s">
        <v>16</v>
      </c>
      <c r="E184" s="2">
        <v>46087</v>
      </c>
      <c r="F184" s="2">
        <v>46086</v>
      </c>
      <c r="G184" t="s">
        <v>201</v>
      </c>
      <c r="H184">
        <v>195193800</v>
      </c>
      <c r="I184">
        <v>160851800</v>
      </c>
      <c r="J184">
        <v>5040000</v>
      </c>
      <c r="K184">
        <v>39240000</v>
      </c>
      <c r="M184">
        <f t="shared" si="4"/>
        <v>-142000</v>
      </c>
      <c r="N184" t="str">
        <f t="shared" si="5"/>
        <v>Sobrante</v>
      </c>
      <c r="O184" t="s">
        <v>148</v>
      </c>
      <c r="P184">
        <v>14697128</v>
      </c>
    </row>
    <row r="185" spans="1:16" x14ac:dyDescent="0.35">
      <c r="A185">
        <v>60</v>
      </c>
      <c r="B185">
        <v>8728</v>
      </c>
      <c r="C185" t="s">
        <v>22</v>
      </c>
      <c r="D185" t="s">
        <v>16</v>
      </c>
      <c r="E185" s="2">
        <v>46087</v>
      </c>
      <c r="F185" s="2">
        <v>46086</v>
      </c>
      <c r="G185" t="s">
        <v>36</v>
      </c>
      <c r="H185">
        <v>104602550</v>
      </c>
      <c r="I185">
        <v>108312550</v>
      </c>
      <c r="J185">
        <v>4550000</v>
      </c>
      <c r="K185">
        <v>1032000</v>
      </c>
      <c r="M185">
        <f t="shared" si="4"/>
        <v>192000</v>
      </c>
      <c r="N185" t="str">
        <f t="shared" si="5"/>
        <v>Faltante</v>
      </c>
      <c r="O185" t="s">
        <v>33</v>
      </c>
      <c r="P185">
        <v>14697128</v>
      </c>
    </row>
    <row r="186" spans="1:16" x14ac:dyDescent="0.35">
      <c r="A186">
        <v>60</v>
      </c>
      <c r="B186">
        <v>8729</v>
      </c>
      <c r="C186" t="s">
        <v>16</v>
      </c>
      <c r="D186" t="s">
        <v>16</v>
      </c>
      <c r="E186" s="2">
        <v>46087</v>
      </c>
      <c r="F186" s="2">
        <v>46086</v>
      </c>
      <c r="G186" t="s">
        <v>31</v>
      </c>
      <c r="H186">
        <v>118601550</v>
      </c>
      <c r="I186">
        <v>118662450</v>
      </c>
      <c r="J186">
        <v>7310000</v>
      </c>
      <c r="K186">
        <v>7299100</v>
      </c>
      <c r="L186">
        <v>-10000</v>
      </c>
      <c r="M186">
        <f t="shared" si="4"/>
        <v>60000</v>
      </c>
      <c r="N186" t="str">
        <f t="shared" si="5"/>
        <v>Faltante</v>
      </c>
      <c r="O186" t="s">
        <v>33</v>
      </c>
      <c r="P186">
        <v>14697128</v>
      </c>
    </row>
    <row r="187" spans="1:16" x14ac:dyDescent="0.35">
      <c r="A187">
        <v>225</v>
      </c>
      <c r="B187">
        <v>8869</v>
      </c>
      <c r="C187" t="s">
        <v>16</v>
      </c>
      <c r="D187" t="s">
        <v>16</v>
      </c>
      <c r="E187" s="2">
        <v>46087</v>
      </c>
      <c r="F187" s="2">
        <v>46086</v>
      </c>
      <c r="G187" t="s">
        <v>202</v>
      </c>
      <c r="H187">
        <v>354412750</v>
      </c>
      <c r="I187">
        <v>368182750</v>
      </c>
      <c r="J187">
        <v>12460000</v>
      </c>
      <c r="K187">
        <v>0</v>
      </c>
      <c r="L187">
        <v>1310000</v>
      </c>
      <c r="M187">
        <f t="shared" si="4"/>
        <v>0</v>
      </c>
      <c r="N187" t="str">
        <f t="shared" si="5"/>
        <v>Cuadrado</v>
      </c>
      <c r="O187" t="s">
        <v>203</v>
      </c>
      <c r="P187">
        <v>80212698</v>
      </c>
    </row>
    <row r="188" spans="1:16" x14ac:dyDescent="0.35">
      <c r="A188">
        <v>442</v>
      </c>
      <c r="B188">
        <v>8888</v>
      </c>
      <c r="C188" t="s">
        <v>16</v>
      </c>
      <c r="D188" t="s">
        <v>16</v>
      </c>
      <c r="E188" s="2">
        <v>46087</v>
      </c>
      <c r="F188" s="2">
        <v>46086</v>
      </c>
      <c r="G188" t="s">
        <v>204</v>
      </c>
      <c r="H188">
        <v>244102150</v>
      </c>
      <c r="I188">
        <v>121207800</v>
      </c>
      <c r="J188">
        <v>12080000</v>
      </c>
      <c r="K188">
        <v>133143000</v>
      </c>
      <c r="M188">
        <f t="shared" si="4"/>
        <v>-1831350</v>
      </c>
      <c r="N188" t="str">
        <f t="shared" si="5"/>
        <v>Sobrante</v>
      </c>
      <c r="O188" t="s">
        <v>148</v>
      </c>
      <c r="P188">
        <v>1140853558</v>
      </c>
    </row>
    <row r="189" spans="1:16" x14ac:dyDescent="0.35">
      <c r="A189">
        <v>348</v>
      </c>
      <c r="B189">
        <v>9009</v>
      </c>
      <c r="C189" t="s">
        <v>16</v>
      </c>
      <c r="D189" t="s">
        <v>16</v>
      </c>
      <c r="E189" s="2">
        <v>46087</v>
      </c>
      <c r="F189" s="2">
        <v>46086</v>
      </c>
      <c r="G189" t="s">
        <v>72</v>
      </c>
      <c r="H189">
        <v>47362900</v>
      </c>
      <c r="I189">
        <v>311105900</v>
      </c>
      <c r="J189">
        <v>8700000</v>
      </c>
      <c r="K189">
        <v>54901000</v>
      </c>
      <c r="L189">
        <v>309944000</v>
      </c>
      <c r="M189">
        <f t="shared" si="4"/>
        <v>0</v>
      </c>
      <c r="N189" t="str">
        <f t="shared" si="5"/>
        <v>Cuadrado</v>
      </c>
      <c r="O189" t="s">
        <v>205</v>
      </c>
      <c r="P189">
        <v>1123633014</v>
      </c>
    </row>
    <row r="190" spans="1:16" x14ac:dyDescent="0.35">
      <c r="A190">
        <v>367</v>
      </c>
      <c r="B190">
        <v>9580</v>
      </c>
      <c r="C190" t="s">
        <v>16</v>
      </c>
      <c r="D190" t="s">
        <v>16</v>
      </c>
      <c r="E190" s="2">
        <v>46087</v>
      </c>
      <c r="F190" s="2">
        <v>46086</v>
      </c>
      <c r="G190" t="s">
        <v>206</v>
      </c>
      <c r="H190">
        <v>61065800</v>
      </c>
      <c r="I190">
        <v>65582800</v>
      </c>
      <c r="J190">
        <v>22210000</v>
      </c>
      <c r="K190">
        <v>13800000</v>
      </c>
      <c r="M190">
        <f t="shared" si="4"/>
        <v>-3893000</v>
      </c>
      <c r="N190" t="str">
        <f t="shared" si="5"/>
        <v>Sobrante</v>
      </c>
      <c r="O190" t="s">
        <v>148</v>
      </c>
      <c r="P190">
        <v>35264438</v>
      </c>
    </row>
    <row r="191" spans="1:16" x14ac:dyDescent="0.35">
      <c r="A191">
        <v>229</v>
      </c>
      <c r="B191">
        <v>9604</v>
      </c>
      <c r="C191" t="s">
        <v>16</v>
      </c>
      <c r="D191" t="s">
        <v>16</v>
      </c>
      <c r="E191" s="2">
        <v>46087</v>
      </c>
      <c r="F191" s="2">
        <v>46086</v>
      </c>
      <c r="G191" t="s">
        <v>207</v>
      </c>
      <c r="H191">
        <v>205966000</v>
      </c>
      <c r="I191">
        <v>195800100</v>
      </c>
      <c r="J191">
        <v>12880000</v>
      </c>
      <c r="K191">
        <v>22644950</v>
      </c>
      <c r="M191">
        <f t="shared" si="4"/>
        <v>-400950</v>
      </c>
      <c r="N191" t="str">
        <f t="shared" si="5"/>
        <v>Sobrante</v>
      </c>
      <c r="O191" t="s">
        <v>148</v>
      </c>
      <c r="P191">
        <v>79653318</v>
      </c>
    </row>
    <row r="192" spans="1:16" x14ac:dyDescent="0.35">
      <c r="A192">
        <v>623</v>
      </c>
      <c r="B192">
        <v>5047</v>
      </c>
      <c r="C192" t="s">
        <v>16</v>
      </c>
      <c r="D192" t="s">
        <v>16</v>
      </c>
      <c r="E192" s="2">
        <v>46087</v>
      </c>
      <c r="F192" s="2">
        <v>46086</v>
      </c>
      <c r="G192" t="s">
        <v>32</v>
      </c>
      <c r="H192">
        <v>203519800</v>
      </c>
      <c r="I192">
        <v>191719800</v>
      </c>
      <c r="J192">
        <v>900000</v>
      </c>
      <c r="K192">
        <v>12700000</v>
      </c>
      <c r="M192">
        <f t="shared" si="4"/>
        <v>0</v>
      </c>
      <c r="N192" t="str">
        <f t="shared" si="5"/>
        <v>Cuadrado</v>
      </c>
      <c r="O192" t="s">
        <v>20</v>
      </c>
      <c r="P192">
        <v>1012348871</v>
      </c>
    </row>
    <row r="193" spans="1:16" x14ac:dyDescent="0.35">
      <c r="A193">
        <v>392</v>
      </c>
      <c r="B193">
        <v>5064</v>
      </c>
      <c r="C193" t="s">
        <v>16</v>
      </c>
      <c r="D193" t="s">
        <v>16</v>
      </c>
      <c r="E193" s="2">
        <v>46087</v>
      </c>
      <c r="F193" s="2">
        <v>46086</v>
      </c>
      <c r="G193" t="s">
        <v>208</v>
      </c>
      <c r="H193">
        <v>289959150</v>
      </c>
      <c r="I193">
        <v>297569150</v>
      </c>
      <c r="J193">
        <v>7610000</v>
      </c>
      <c r="K193">
        <v>0</v>
      </c>
      <c r="M193">
        <f t="shared" si="4"/>
        <v>0</v>
      </c>
      <c r="N193" t="str">
        <f t="shared" si="5"/>
        <v>Cuadrado</v>
      </c>
      <c r="O193" t="s">
        <v>20</v>
      </c>
      <c r="P193">
        <v>1054547012</v>
      </c>
    </row>
    <row r="194" spans="1:16" x14ac:dyDescent="0.35">
      <c r="A194">
        <v>115</v>
      </c>
      <c r="B194">
        <v>5080</v>
      </c>
      <c r="C194" t="s">
        <v>16</v>
      </c>
      <c r="D194" t="s">
        <v>16</v>
      </c>
      <c r="E194" s="2">
        <v>46087</v>
      </c>
      <c r="F194" s="2">
        <v>46086</v>
      </c>
      <c r="G194" t="s">
        <v>209</v>
      </c>
      <c r="H194">
        <v>114724600</v>
      </c>
      <c r="I194">
        <v>104641600</v>
      </c>
      <c r="J194">
        <v>5250000</v>
      </c>
      <c r="K194">
        <v>15333000</v>
      </c>
      <c r="M194">
        <f t="shared" ref="M194:M257" si="6">I194-(H194+J194-K194)- L194</f>
        <v>0</v>
      </c>
      <c r="N194" t="str">
        <f t="shared" ref="N194:N257" si="7">IF(M194=0,"Cuadrado",IF(M194&gt;0,"Faltante","Sobrante"))</f>
        <v>Cuadrado</v>
      </c>
      <c r="O194" t="s">
        <v>20</v>
      </c>
      <c r="P194">
        <v>42158306</v>
      </c>
    </row>
    <row r="195" spans="1:16" x14ac:dyDescent="0.35">
      <c r="A195">
        <v>571</v>
      </c>
      <c r="B195">
        <v>6150</v>
      </c>
      <c r="C195" t="s">
        <v>16</v>
      </c>
      <c r="D195" t="s">
        <v>16</v>
      </c>
      <c r="E195" s="2">
        <v>46087</v>
      </c>
      <c r="F195" s="2">
        <v>46086</v>
      </c>
      <c r="G195" t="s">
        <v>42</v>
      </c>
      <c r="H195">
        <v>242897600</v>
      </c>
      <c r="I195">
        <v>223325700</v>
      </c>
      <c r="J195">
        <v>4240000</v>
      </c>
      <c r="K195">
        <v>23811900</v>
      </c>
      <c r="M195">
        <f t="shared" si="6"/>
        <v>0</v>
      </c>
      <c r="N195" t="str">
        <f t="shared" si="7"/>
        <v>Cuadrado</v>
      </c>
      <c r="O195" t="s">
        <v>20</v>
      </c>
      <c r="P195">
        <v>53159749</v>
      </c>
    </row>
    <row r="196" spans="1:16" x14ac:dyDescent="0.35">
      <c r="A196">
        <v>37</v>
      </c>
      <c r="B196">
        <v>6406</v>
      </c>
      <c r="C196" t="s">
        <v>16</v>
      </c>
      <c r="D196" t="s">
        <v>16</v>
      </c>
      <c r="E196" s="2">
        <v>46087</v>
      </c>
      <c r="F196" s="2">
        <v>46086</v>
      </c>
      <c r="G196" t="s">
        <v>21</v>
      </c>
      <c r="H196">
        <v>52402600</v>
      </c>
      <c r="I196">
        <v>72470600</v>
      </c>
      <c r="J196">
        <v>31540000</v>
      </c>
      <c r="K196">
        <v>11472000</v>
      </c>
      <c r="M196">
        <f t="shared" si="6"/>
        <v>0</v>
      </c>
      <c r="N196" t="str">
        <f t="shared" si="7"/>
        <v>Cuadrado</v>
      </c>
      <c r="O196" t="s">
        <v>20</v>
      </c>
      <c r="P196">
        <v>1018444239</v>
      </c>
    </row>
    <row r="197" spans="1:16" x14ac:dyDescent="0.35">
      <c r="A197">
        <v>658</v>
      </c>
      <c r="B197">
        <v>7074</v>
      </c>
      <c r="C197" t="s">
        <v>22</v>
      </c>
      <c r="D197" t="s">
        <v>22</v>
      </c>
      <c r="E197" s="2">
        <v>46087</v>
      </c>
      <c r="F197" s="2">
        <v>46086</v>
      </c>
      <c r="G197" t="s">
        <v>210</v>
      </c>
      <c r="H197">
        <v>131652250</v>
      </c>
      <c r="I197">
        <v>133680750</v>
      </c>
      <c r="J197">
        <v>9600000</v>
      </c>
      <c r="K197">
        <v>7571500</v>
      </c>
      <c r="M197">
        <f t="shared" si="6"/>
        <v>0</v>
      </c>
      <c r="N197" t="str">
        <f t="shared" si="7"/>
        <v>Cuadrado</v>
      </c>
      <c r="O197" t="s">
        <v>20</v>
      </c>
      <c r="P197">
        <v>53000424</v>
      </c>
    </row>
    <row r="198" spans="1:16" x14ac:dyDescent="0.35">
      <c r="A198">
        <v>233</v>
      </c>
      <c r="B198">
        <v>7212</v>
      </c>
      <c r="C198" t="s">
        <v>16</v>
      </c>
      <c r="D198" t="s">
        <v>16</v>
      </c>
      <c r="E198" s="2">
        <v>46087</v>
      </c>
      <c r="F198" s="2">
        <v>46086</v>
      </c>
      <c r="G198" t="s">
        <v>211</v>
      </c>
      <c r="H198">
        <v>118171400</v>
      </c>
      <c r="I198">
        <v>127957400</v>
      </c>
      <c r="J198">
        <v>23960000</v>
      </c>
      <c r="K198">
        <v>14174000</v>
      </c>
      <c r="M198">
        <f t="shared" si="6"/>
        <v>0</v>
      </c>
      <c r="N198" t="str">
        <f t="shared" si="7"/>
        <v>Cuadrado</v>
      </c>
      <c r="O198" t="s">
        <v>20</v>
      </c>
      <c r="P198">
        <v>80271480</v>
      </c>
    </row>
    <row r="199" spans="1:16" x14ac:dyDescent="0.35">
      <c r="A199">
        <v>389</v>
      </c>
      <c r="B199">
        <v>7327</v>
      </c>
      <c r="C199" t="s">
        <v>16</v>
      </c>
      <c r="D199" t="s">
        <v>16</v>
      </c>
      <c r="E199" s="2">
        <v>46087</v>
      </c>
      <c r="F199" s="2">
        <v>46086</v>
      </c>
      <c r="G199" t="s">
        <v>212</v>
      </c>
      <c r="H199">
        <v>123987850</v>
      </c>
      <c r="I199">
        <v>124047850</v>
      </c>
      <c r="J199">
        <v>60000</v>
      </c>
      <c r="K199">
        <v>0</v>
      </c>
      <c r="M199">
        <f t="shared" si="6"/>
        <v>0</v>
      </c>
      <c r="N199" t="str">
        <f t="shared" si="7"/>
        <v>Cuadrado</v>
      </c>
      <c r="O199" t="s">
        <v>20</v>
      </c>
      <c r="P199">
        <v>14319846</v>
      </c>
    </row>
    <row r="200" spans="1:16" x14ac:dyDescent="0.35">
      <c r="A200">
        <v>866</v>
      </c>
      <c r="B200">
        <v>8662</v>
      </c>
      <c r="C200" t="s">
        <v>16</v>
      </c>
      <c r="D200" t="s">
        <v>16</v>
      </c>
      <c r="E200" s="2">
        <v>46087</v>
      </c>
      <c r="F200" s="2">
        <v>46086</v>
      </c>
      <c r="G200" t="s">
        <v>169</v>
      </c>
      <c r="H200">
        <v>222373450</v>
      </c>
      <c r="I200">
        <v>250073450</v>
      </c>
      <c r="J200">
        <v>27700000</v>
      </c>
      <c r="K200">
        <v>0</v>
      </c>
      <c r="M200">
        <f t="shared" si="6"/>
        <v>0</v>
      </c>
      <c r="N200" t="str">
        <f t="shared" si="7"/>
        <v>Cuadrado</v>
      </c>
      <c r="O200" t="s">
        <v>20</v>
      </c>
      <c r="P200">
        <v>1113674245</v>
      </c>
    </row>
    <row r="201" spans="1:16" x14ac:dyDescent="0.35">
      <c r="A201">
        <v>33</v>
      </c>
      <c r="B201">
        <v>8861</v>
      </c>
      <c r="C201" t="s">
        <v>16</v>
      </c>
      <c r="D201" t="s">
        <v>16</v>
      </c>
      <c r="E201" s="2">
        <v>46087</v>
      </c>
      <c r="F201" s="2">
        <v>46086</v>
      </c>
      <c r="G201" t="s">
        <v>213</v>
      </c>
      <c r="H201">
        <v>150039000</v>
      </c>
      <c r="I201">
        <v>178218000</v>
      </c>
      <c r="J201">
        <v>40400000</v>
      </c>
      <c r="K201">
        <v>12221000</v>
      </c>
      <c r="M201">
        <f t="shared" si="6"/>
        <v>0</v>
      </c>
      <c r="N201" t="str">
        <f t="shared" si="7"/>
        <v>Cuadrado</v>
      </c>
      <c r="O201" t="s">
        <v>20</v>
      </c>
      <c r="P201">
        <v>79659379</v>
      </c>
    </row>
    <row r="202" spans="1:16" x14ac:dyDescent="0.35">
      <c r="A202">
        <v>333</v>
      </c>
      <c r="B202">
        <v>442</v>
      </c>
      <c r="C202" t="s">
        <v>22</v>
      </c>
      <c r="D202" t="s">
        <v>22</v>
      </c>
      <c r="E202" s="2">
        <v>46090</v>
      </c>
      <c r="F202" s="2">
        <v>46087</v>
      </c>
      <c r="G202" t="s">
        <v>167</v>
      </c>
      <c r="H202">
        <v>224676050</v>
      </c>
      <c r="I202">
        <v>311601350</v>
      </c>
      <c r="J202">
        <v>25030000</v>
      </c>
      <c r="K202">
        <v>81249200</v>
      </c>
      <c r="M202">
        <f t="shared" si="6"/>
        <v>143144500</v>
      </c>
      <c r="N202" t="str">
        <f t="shared" si="7"/>
        <v>Faltante</v>
      </c>
      <c r="O202" t="s">
        <v>33</v>
      </c>
      <c r="P202">
        <v>1036606819</v>
      </c>
    </row>
    <row r="203" spans="1:16" x14ac:dyDescent="0.35">
      <c r="A203">
        <v>214</v>
      </c>
      <c r="B203">
        <v>1469</v>
      </c>
      <c r="C203" t="s">
        <v>16</v>
      </c>
      <c r="D203" t="s">
        <v>16</v>
      </c>
      <c r="E203" s="2">
        <v>46090</v>
      </c>
      <c r="F203" s="2">
        <v>46086</v>
      </c>
      <c r="G203" t="s">
        <v>214</v>
      </c>
      <c r="H203">
        <v>201139500</v>
      </c>
      <c r="I203">
        <v>176098200</v>
      </c>
      <c r="J203">
        <v>15560000</v>
      </c>
      <c r="K203">
        <v>45367700</v>
      </c>
      <c r="L203">
        <v>2350700</v>
      </c>
      <c r="M203">
        <f t="shared" si="6"/>
        <v>2415700</v>
      </c>
      <c r="N203" t="str">
        <f t="shared" si="7"/>
        <v>Faltante</v>
      </c>
      <c r="O203" t="s">
        <v>215</v>
      </c>
      <c r="P203">
        <v>1143387256</v>
      </c>
    </row>
    <row r="204" spans="1:16" x14ac:dyDescent="0.35">
      <c r="A204">
        <v>438</v>
      </c>
      <c r="B204">
        <v>1565</v>
      </c>
      <c r="C204" t="s">
        <v>16</v>
      </c>
      <c r="D204" t="s">
        <v>16</v>
      </c>
      <c r="E204" s="2">
        <v>46090</v>
      </c>
      <c r="F204" s="2">
        <v>46087</v>
      </c>
      <c r="G204" t="s">
        <v>216</v>
      </c>
      <c r="H204">
        <v>112070150</v>
      </c>
      <c r="I204">
        <v>129200150</v>
      </c>
      <c r="J204">
        <v>9880000</v>
      </c>
      <c r="K204">
        <v>810000</v>
      </c>
      <c r="L204">
        <v>7060000</v>
      </c>
      <c r="M204">
        <f t="shared" si="6"/>
        <v>1000000</v>
      </c>
      <c r="N204" t="str">
        <f t="shared" si="7"/>
        <v>Faltante</v>
      </c>
      <c r="O204" t="s">
        <v>217</v>
      </c>
      <c r="P204">
        <v>1027887603</v>
      </c>
    </row>
    <row r="205" spans="1:16" x14ac:dyDescent="0.35">
      <c r="A205">
        <v>333</v>
      </c>
      <c r="B205">
        <v>5076</v>
      </c>
      <c r="C205" t="s">
        <v>16</v>
      </c>
      <c r="D205" t="s">
        <v>16</v>
      </c>
      <c r="E205" s="2">
        <v>46090</v>
      </c>
      <c r="F205" s="2">
        <v>46087</v>
      </c>
      <c r="G205" t="s">
        <v>80</v>
      </c>
      <c r="H205">
        <v>86800500</v>
      </c>
      <c r="I205">
        <v>475724300</v>
      </c>
      <c r="J205">
        <v>22600000</v>
      </c>
      <c r="K205">
        <v>50817000</v>
      </c>
      <c r="L205">
        <v>319775000</v>
      </c>
      <c r="M205">
        <f t="shared" si="6"/>
        <v>97365800</v>
      </c>
      <c r="N205" t="str">
        <f t="shared" si="7"/>
        <v>Faltante</v>
      </c>
      <c r="O205" t="s">
        <v>33</v>
      </c>
      <c r="P205">
        <v>1036606819</v>
      </c>
    </row>
    <row r="206" spans="1:16" x14ac:dyDescent="0.35">
      <c r="A206">
        <v>197</v>
      </c>
      <c r="B206">
        <v>5084</v>
      </c>
      <c r="C206" t="s">
        <v>16</v>
      </c>
      <c r="D206" t="s">
        <v>16</v>
      </c>
      <c r="E206" s="2">
        <v>46090</v>
      </c>
      <c r="F206" s="2">
        <v>46087</v>
      </c>
      <c r="G206" t="s">
        <v>120</v>
      </c>
      <c r="H206">
        <v>500452950</v>
      </c>
      <c r="I206">
        <v>479702950</v>
      </c>
      <c r="J206">
        <v>0</v>
      </c>
      <c r="K206">
        <v>17850000</v>
      </c>
      <c r="M206">
        <f t="shared" si="6"/>
        <v>-2900000</v>
      </c>
      <c r="N206" t="str">
        <f t="shared" si="7"/>
        <v>Sobrante</v>
      </c>
      <c r="O206" t="s">
        <v>218</v>
      </c>
      <c r="P206">
        <v>1065652660</v>
      </c>
    </row>
    <row r="207" spans="1:16" x14ac:dyDescent="0.35">
      <c r="A207">
        <v>659</v>
      </c>
      <c r="B207">
        <v>5102</v>
      </c>
      <c r="C207" t="s">
        <v>16</v>
      </c>
      <c r="D207" t="s">
        <v>16</v>
      </c>
      <c r="E207" s="2">
        <v>46090</v>
      </c>
      <c r="F207" s="2">
        <v>46087</v>
      </c>
      <c r="G207" t="s">
        <v>58</v>
      </c>
      <c r="H207">
        <v>187313950</v>
      </c>
      <c r="I207">
        <v>197533950</v>
      </c>
      <c r="J207">
        <v>19910000</v>
      </c>
      <c r="K207">
        <v>9720000</v>
      </c>
      <c r="M207">
        <f t="shared" si="6"/>
        <v>30000</v>
      </c>
      <c r="N207" t="str">
        <f t="shared" si="7"/>
        <v>Faltante</v>
      </c>
      <c r="O207" t="s">
        <v>219</v>
      </c>
      <c r="P207">
        <v>39575034</v>
      </c>
    </row>
    <row r="208" spans="1:16" x14ac:dyDescent="0.35">
      <c r="A208">
        <v>511</v>
      </c>
      <c r="B208">
        <v>5122</v>
      </c>
      <c r="C208" t="s">
        <v>16</v>
      </c>
      <c r="D208" t="s">
        <v>16</v>
      </c>
      <c r="E208" s="2">
        <v>46090</v>
      </c>
      <c r="F208" s="2">
        <v>46087</v>
      </c>
      <c r="G208" t="s">
        <v>220</v>
      </c>
      <c r="H208">
        <v>213679800</v>
      </c>
      <c r="I208">
        <v>151493550</v>
      </c>
      <c r="J208">
        <v>22830000</v>
      </c>
      <c r="K208">
        <v>85016200</v>
      </c>
      <c r="M208">
        <f t="shared" si="6"/>
        <v>-50</v>
      </c>
      <c r="N208" t="str">
        <f t="shared" si="7"/>
        <v>Sobrante</v>
      </c>
      <c r="O208" t="s">
        <v>218</v>
      </c>
      <c r="P208">
        <v>1152438348</v>
      </c>
    </row>
    <row r="209" spans="1:16" x14ac:dyDescent="0.35">
      <c r="A209">
        <v>101</v>
      </c>
      <c r="B209">
        <v>5128</v>
      </c>
      <c r="C209" t="s">
        <v>16</v>
      </c>
      <c r="D209" t="s">
        <v>16</v>
      </c>
      <c r="E209" s="2">
        <v>46090</v>
      </c>
      <c r="F209" s="2">
        <v>46087</v>
      </c>
      <c r="G209" t="s">
        <v>221</v>
      </c>
      <c r="H209">
        <v>269904400</v>
      </c>
      <c r="I209">
        <v>173597900</v>
      </c>
      <c r="J209">
        <v>17440000</v>
      </c>
      <c r="K209">
        <v>108350000</v>
      </c>
      <c r="M209">
        <f t="shared" si="6"/>
        <v>-5396500</v>
      </c>
      <c r="N209" t="str">
        <f t="shared" si="7"/>
        <v>Sobrante</v>
      </c>
      <c r="O209" t="s">
        <v>218</v>
      </c>
      <c r="P209">
        <v>1033724729</v>
      </c>
    </row>
    <row r="210" spans="1:16" x14ac:dyDescent="0.35">
      <c r="A210">
        <v>829</v>
      </c>
      <c r="B210">
        <v>5137</v>
      </c>
      <c r="C210" t="s">
        <v>16</v>
      </c>
      <c r="D210" t="s">
        <v>16</v>
      </c>
      <c r="E210" s="2">
        <v>46090</v>
      </c>
      <c r="F210" s="2">
        <v>46087</v>
      </c>
      <c r="G210" t="s">
        <v>181</v>
      </c>
      <c r="H210">
        <v>277574300</v>
      </c>
      <c r="I210">
        <v>229823300</v>
      </c>
      <c r="J210">
        <v>4670000</v>
      </c>
      <c r="K210">
        <v>44900000</v>
      </c>
      <c r="M210">
        <f t="shared" si="6"/>
        <v>-7521000</v>
      </c>
      <c r="N210" t="str">
        <f t="shared" si="7"/>
        <v>Sobrante</v>
      </c>
      <c r="O210" t="s">
        <v>218</v>
      </c>
      <c r="P210">
        <v>31306454</v>
      </c>
    </row>
    <row r="211" spans="1:16" x14ac:dyDescent="0.35">
      <c r="A211">
        <v>70</v>
      </c>
      <c r="B211">
        <v>5164</v>
      </c>
      <c r="C211" t="s">
        <v>16</v>
      </c>
      <c r="D211" t="s">
        <v>16</v>
      </c>
      <c r="E211" s="2">
        <v>46090</v>
      </c>
      <c r="F211" s="2">
        <v>46087</v>
      </c>
      <c r="G211" t="s">
        <v>222</v>
      </c>
      <c r="H211">
        <v>328925950</v>
      </c>
      <c r="I211">
        <v>325082100</v>
      </c>
      <c r="J211">
        <v>10040000</v>
      </c>
      <c r="K211">
        <v>17348850</v>
      </c>
      <c r="L211">
        <v>3465000</v>
      </c>
      <c r="M211">
        <f t="shared" si="6"/>
        <v>0</v>
      </c>
      <c r="N211" t="str">
        <f t="shared" si="7"/>
        <v>Cuadrado</v>
      </c>
      <c r="O211" t="s">
        <v>223</v>
      </c>
      <c r="P211">
        <v>30231139</v>
      </c>
    </row>
    <row r="212" spans="1:16" x14ac:dyDescent="0.35">
      <c r="A212">
        <v>844</v>
      </c>
      <c r="B212">
        <v>6169</v>
      </c>
      <c r="C212" t="s">
        <v>16</v>
      </c>
      <c r="D212" t="s">
        <v>16</v>
      </c>
      <c r="E212" s="2">
        <v>46090</v>
      </c>
      <c r="F212" s="2">
        <v>46087</v>
      </c>
      <c r="G212" t="s">
        <v>224</v>
      </c>
      <c r="H212">
        <v>203337200</v>
      </c>
      <c r="I212">
        <v>488435650</v>
      </c>
      <c r="J212">
        <v>17820000</v>
      </c>
      <c r="K212">
        <v>206797950</v>
      </c>
      <c r="L212">
        <v>261131000</v>
      </c>
      <c r="M212">
        <f t="shared" si="6"/>
        <v>212945400</v>
      </c>
      <c r="N212" t="str">
        <f t="shared" si="7"/>
        <v>Faltante</v>
      </c>
      <c r="O212" t="s">
        <v>33</v>
      </c>
      <c r="P212">
        <v>86058432</v>
      </c>
    </row>
    <row r="213" spans="1:16" x14ac:dyDescent="0.35">
      <c r="A213">
        <v>236</v>
      </c>
      <c r="B213">
        <v>6242</v>
      </c>
      <c r="C213" t="s">
        <v>16</v>
      </c>
      <c r="D213" t="s">
        <v>16</v>
      </c>
      <c r="E213" s="2">
        <v>46090</v>
      </c>
      <c r="F213" s="2">
        <v>46087</v>
      </c>
      <c r="G213" t="s">
        <v>143</v>
      </c>
      <c r="H213">
        <v>137373500</v>
      </c>
      <c r="I213">
        <v>251443100</v>
      </c>
      <c r="J213">
        <v>48800000</v>
      </c>
      <c r="K213">
        <v>80529400</v>
      </c>
      <c r="L213">
        <v>173319000</v>
      </c>
      <c r="M213">
        <f t="shared" si="6"/>
        <v>-27520000</v>
      </c>
      <c r="N213" t="str">
        <f t="shared" si="7"/>
        <v>Sobrante</v>
      </c>
      <c r="O213" t="s">
        <v>218</v>
      </c>
      <c r="P213">
        <v>71369714</v>
      </c>
    </row>
    <row r="214" spans="1:16" x14ac:dyDescent="0.35">
      <c r="A214">
        <v>96</v>
      </c>
      <c r="B214">
        <v>6735</v>
      </c>
      <c r="C214" t="s">
        <v>16</v>
      </c>
      <c r="D214" t="s">
        <v>16</v>
      </c>
      <c r="E214" s="2">
        <v>46090</v>
      </c>
      <c r="F214" s="2">
        <v>46086</v>
      </c>
      <c r="G214" t="s">
        <v>43</v>
      </c>
      <c r="H214">
        <v>178570950</v>
      </c>
      <c r="I214">
        <v>175067950</v>
      </c>
      <c r="J214">
        <v>38750000</v>
      </c>
      <c r="K214">
        <v>42700000</v>
      </c>
      <c r="M214">
        <f t="shared" si="6"/>
        <v>447000</v>
      </c>
      <c r="N214" t="str">
        <f t="shared" si="7"/>
        <v>Faltante</v>
      </c>
      <c r="O214" t="s">
        <v>33</v>
      </c>
      <c r="P214">
        <v>39491642</v>
      </c>
    </row>
    <row r="215" spans="1:16" x14ac:dyDescent="0.35">
      <c r="A215">
        <v>172</v>
      </c>
      <c r="B215">
        <v>7429</v>
      </c>
      <c r="C215" t="s">
        <v>16</v>
      </c>
      <c r="D215" t="s">
        <v>16</v>
      </c>
      <c r="E215" s="2">
        <v>46090</v>
      </c>
      <c r="F215" s="2">
        <v>46087</v>
      </c>
      <c r="G215" t="s">
        <v>225</v>
      </c>
      <c r="H215">
        <v>409279650</v>
      </c>
      <c r="I215">
        <v>352117650</v>
      </c>
      <c r="J215">
        <v>16070000</v>
      </c>
      <c r="K215">
        <v>68064900</v>
      </c>
      <c r="M215">
        <f t="shared" si="6"/>
        <v>-5167100</v>
      </c>
      <c r="N215" t="str">
        <f t="shared" si="7"/>
        <v>Sobrante</v>
      </c>
      <c r="O215" t="s">
        <v>218</v>
      </c>
      <c r="P215">
        <v>52156260</v>
      </c>
    </row>
    <row r="216" spans="1:16" x14ac:dyDescent="0.35">
      <c r="A216">
        <v>166</v>
      </c>
      <c r="B216">
        <v>7939</v>
      </c>
      <c r="C216" t="s">
        <v>16</v>
      </c>
      <c r="D216" t="s">
        <v>16</v>
      </c>
      <c r="E216" s="2">
        <v>46090</v>
      </c>
      <c r="F216" s="2">
        <v>46087</v>
      </c>
      <c r="G216" t="s">
        <v>39</v>
      </c>
      <c r="H216">
        <v>195168750</v>
      </c>
      <c r="I216">
        <v>192678750</v>
      </c>
      <c r="J216">
        <v>0</v>
      </c>
      <c r="K216">
        <v>0</v>
      </c>
      <c r="M216">
        <f t="shared" si="6"/>
        <v>-2490000</v>
      </c>
      <c r="N216" t="str">
        <f t="shared" si="7"/>
        <v>Sobrante</v>
      </c>
      <c r="O216" t="s">
        <v>218</v>
      </c>
      <c r="P216">
        <v>50938822</v>
      </c>
    </row>
    <row r="217" spans="1:16" x14ac:dyDescent="0.35">
      <c r="A217">
        <v>291</v>
      </c>
      <c r="B217">
        <v>8139</v>
      </c>
      <c r="C217" t="s">
        <v>22</v>
      </c>
      <c r="D217" t="s">
        <v>22</v>
      </c>
      <c r="E217" s="2">
        <v>46090</v>
      </c>
      <c r="F217" s="2">
        <v>46087</v>
      </c>
      <c r="G217" t="s">
        <v>226</v>
      </c>
      <c r="H217">
        <v>283058050</v>
      </c>
      <c r="I217">
        <v>210516350</v>
      </c>
      <c r="J217">
        <v>7070000</v>
      </c>
      <c r="K217">
        <v>77611700</v>
      </c>
      <c r="M217">
        <f t="shared" si="6"/>
        <v>-2000000</v>
      </c>
      <c r="N217" t="str">
        <f t="shared" si="7"/>
        <v>Sobrante</v>
      </c>
      <c r="O217" t="s">
        <v>218</v>
      </c>
      <c r="P217">
        <v>1095930956</v>
      </c>
    </row>
    <row r="218" spans="1:16" x14ac:dyDescent="0.35">
      <c r="A218">
        <v>915</v>
      </c>
      <c r="B218">
        <v>8313</v>
      </c>
      <c r="C218" t="s">
        <v>16</v>
      </c>
      <c r="D218" t="s">
        <v>16</v>
      </c>
      <c r="E218" s="2">
        <v>46090</v>
      </c>
      <c r="F218" s="2">
        <v>46087</v>
      </c>
      <c r="G218" t="s">
        <v>141</v>
      </c>
      <c r="H218">
        <v>204138050</v>
      </c>
      <c r="I218">
        <v>174842050</v>
      </c>
      <c r="J218">
        <v>100000</v>
      </c>
      <c r="K218">
        <v>11096000</v>
      </c>
      <c r="M218">
        <f t="shared" si="6"/>
        <v>-18300000</v>
      </c>
      <c r="N218" t="str">
        <f t="shared" si="7"/>
        <v>Sobrante</v>
      </c>
      <c r="O218" t="s">
        <v>218</v>
      </c>
      <c r="P218">
        <v>52279779</v>
      </c>
    </row>
    <row r="219" spans="1:16" x14ac:dyDescent="0.35">
      <c r="A219">
        <v>915</v>
      </c>
      <c r="B219">
        <v>8314</v>
      </c>
      <c r="C219" t="s">
        <v>16</v>
      </c>
      <c r="D219" t="s">
        <v>16</v>
      </c>
      <c r="E219" s="2">
        <v>46090</v>
      </c>
      <c r="F219" s="2">
        <v>46087</v>
      </c>
      <c r="G219" t="s">
        <v>48</v>
      </c>
      <c r="H219">
        <v>268487500</v>
      </c>
      <c r="I219">
        <v>282533400</v>
      </c>
      <c r="J219">
        <v>4380000</v>
      </c>
      <c r="K219">
        <v>380000</v>
      </c>
      <c r="M219">
        <f t="shared" si="6"/>
        <v>10045900</v>
      </c>
      <c r="N219" t="str">
        <f t="shared" si="7"/>
        <v>Faltante</v>
      </c>
      <c r="O219" t="s">
        <v>33</v>
      </c>
      <c r="P219">
        <v>52279779</v>
      </c>
    </row>
    <row r="220" spans="1:16" x14ac:dyDescent="0.35">
      <c r="A220">
        <v>556</v>
      </c>
      <c r="B220">
        <v>8333</v>
      </c>
      <c r="C220" t="s">
        <v>16</v>
      </c>
      <c r="D220" t="s">
        <v>16</v>
      </c>
      <c r="E220" s="2">
        <v>46090</v>
      </c>
      <c r="F220" s="2">
        <v>46087</v>
      </c>
      <c r="G220" t="s">
        <v>227</v>
      </c>
      <c r="H220">
        <v>352150800</v>
      </c>
      <c r="I220">
        <v>274348500</v>
      </c>
      <c r="J220">
        <v>25610000</v>
      </c>
      <c r="K220">
        <v>103383600</v>
      </c>
      <c r="M220">
        <f t="shared" si="6"/>
        <v>-28700</v>
      </c>
      <c r="N220" t="str">
        <f t="shared" si="7"/>
        <v>Sobrante</v>
      </c>
      <c r="O220" t="s">
        <v>218</v>
      </c>
      <c r="P220">
        <v>39450196</v>
      </c>
    </row>
    <row r="221" spans="1:16" x14ac:dyDescent="0.35">
      <c r="A221">
        <v>728</v>
      </c>
      <c r="B221">
        <v>8586</v>
      </c>
      <c r="C221" t="s">
        <v>16</v>
      </c>
      <c r="D221" t="s">
        <v>16</v>
      </c>
      <c r="E221" s="2">
        <v>46090</v>
      </c>
      <c r="F221" s="2">
        <v>46087</v>
      </c>
      <c r="G221" t="s">
        <v>228</v>
      </c>
      <c r="H221">
        <v>115960150</v>
      </c>
      <c r="I221">
        <v>120815150</v>
      </c>
      <c r="J221">
        <v>40600000</v>
      </c>
      <c r="K221">
        <v>33634000</v>
      </c>
      <c r="L221">
        <v>-2111000</v>
      </c>
      <c r="M221">
        <f t="shared" si="6"/>
        <v>0</v>
      </c>
      <c r="N221" t="str">
        <f t="shared" si="7"/>
        <v>Cuadrado</v>
      </c>
      <c r="O221" t="s">
        <v>20</v>
      </c>
      <c r="P221">
        <v>1112783690</v>
      </c>
    </row>
    <row r="222" spans="1:16" x14ac:dyDescent="0.35">
      <c r="A222">
        <v>728</v>
      </c>
      <c r="B222">
        <v>8587</v>
      </c>
      <c r="C222" t="s">
        <v>16</v>
      </c>
      <c r="D222" t="s">
        <v>16</v>
      </c>
      <c r="E222" s="2">
        <v>46090</v>
      </c>
      <c r="F222" s="2">
        <v>46087</v>
      </c>
      <c r="G222" t="s">
        <v>229</v>
      </c>
      <c r="H222">
        <v>167219850</v>
      </c>
      <c r="I222">
        <v>96449850</v>
      </c>
      <c r="J222">
        <v>22070000</v>
      </c>
      <c r="K222">
        <v>92820000</v>
      </c>
      <c r="L222">
        <v>-20000</v>
      </c>
      <c r="M222">
        <f t="shared" si="6"/>
        <v>0</v>
      </c>
      <c r="N222" t="str">
        <f t="shared" si="7"/>
        <v>Cuadrado</v>
      </c>
      <c r="O222" t="s">
        <v>20</v>
      </c>
      <c r="P222">
        <v>1112783690</v>
      </c>
    </row>
    <row r="223" spans="1:16" x14ac:dyDescent="0.35">
      <c r="A223">
        <v>541</v>
      </c>
      <c r="B223">
        <v>8660</v>
      </c>
      <c r="C223" t="s">
        <v>16</v>
      </c>
      <c r="D223" t="s">
        <v>16</v>
      </c>
      <c r="E223" s="2">
        <v>46090</v>
      </c>
      <c r="F223" s="2">
        <v>46087</v>
      </c>
      <c r="G223" t="s">
        <v>84</v>
      </c>
      <c r="H223">
        <v>147279100</v>
      </c>
      <c r="I223">
        <v>150301100</v>
      </c>
      <c r="J223">
        <v>5020000</v>
      </c>
      <c r="K223">
        <v>1790000</v>
      </c>
      <c r="M223">
        <f t="shared" si="6"/>
        <v>-208000</v>
      </c>
      <c r="N223" t="str">
        <f t="shared" si="7"/>
        <v>Sobrante</v>
      </c>
      <c r="O223" t="s">
        <v>218</v>
      </c>
      <c r="P223">
        <v>1090148688</v>
      </c>
    </row>
    <row r="224" spans="1:16" x14ac:dyDescent="0.35">
      <c r="A224">
        <v>85</v>
      </c>
      <c r="B224">
        <v>8974</v>
      </c>
      <c r="C224" t="s">
        <v>16</v>
      </c>
      <c r="D224" t="s">
        <v>16</v>
      </c>
      <c r="E224" s="2">
        <v>46090</v>
      </c>
      <c r="F224" s="2">
        <v>46087</v>
      </c>
      <c r="G224" t="s">
        <v>230</v>
      </c>
      <c r="H224">
        <v>117970500</v>
      </c>
      <c r="I224">
        <v>200312700</v>
      </c>
      <c r="J224">
        <v>15150000</v>
      </c>
      <c r="K224">
        <v>121101950</v>
      </c>
      <c r="L224">
        <v>188284200</v>
      </c>
      <c r="M224">
        <f t="shared" si="6"/>
        <v>9950</v>
      </c>
      <c r="N224" t="str">
        <f t="shared" si="7"/>
        <v>Faltante</v>
      </c>
      <c r="O224" t="s">
        <v>219</v>
      </c>
      <c r="P224">
        <v>1047413788</v>
      </c>
    </row>
    <row r="225" spans="1:16" x14ac:dyDescent="0.35">
      <c r="A225">
        <v>849</v>
      </c>
      <c r="B225">
        <v>9725</v>
      </c>
      <c r="C225" t="s">
        <v>16</v>
      </c>
      <c r="D225" t="s">
        <v>16</v>
      </c>
      <c r="E225" s="2">
        <v>46090</v>
      </c>
      <c r="F225" s="2">
        <v>46087</v>
      </c>
      <c r="G225" t="s">
        <v>231</v>
      </c>
      <c r="H225">
        <v>102680550</v>
      </c>
      <c r="I225">
        <v>381471550</v>
      </c>
      <c r="J225">
        <v>19210000</v>
      </c>
      <c r="K225">
        <v>97244000</v>
      </c>
      <c r="L225">
        <v>356825000</v>
      </c>
      <c r="M225">
        <f t="shared" si="6"/>
        <v>0</v>
      </c>
      <c r="N225" t="str">
        <f t="shared" si="7"/>
        <v>Cuadrado</v>
      </c>
      <c r="O225" t="s">
        <v>232</v>
      </c>
      <c r="P225">
        <v>86063461</v>
      </c>
    </row>
    <row r="226" spans="1:16" x14ac:dyDescent="0.35">
      <c r="A226">
        <v>499</v>
      </c>
      <c r="B226">
        <v>9811</v>
      </c>
      <c r="C226" t="s">
        <v>16</v>
      </c>
      <c r="D226" t="s">
        <v>16</v>
      </c>
      <c r="E226" s="2">
        <v>46090</v>
      </c>
      <c r="F226" s="2">
        <v>46087</v>
      </c>
      <c r="G226" t="s">
        <v>233</v>
      </c>
      <c r="H226">
        <v>14768100</v>
      </c>
      <c r="I226">
        <v>436758400</v>
      </c>
      <c r="J226">
        <v>8250000</v>
      </c>
      <c r="K226">
        <v>15806000</v>
      </c>
      <c r="L226">
        <v>426079000</v>
      </c>
      <c r="M226">
        <f t="shared" si="6"/>
        <v>3467300</v>
      </c>
      <c r="N226" t="str">
        <f t="shared" si="7"/>
        <v>Faltante</v>
      </c>
      <c r="O226" t="s">
        <v>33</v>
      </c>
      <c r="P226">
        <v>71337474</v>
      </c>
    </row>
    <row r="227" spans="1:16" x14ac:dyDescent="0.35">
      <c r="A227">
        <v>916</v>
      </c>
      <c r="B227">
        <v>5052</v>
      </c>
      <c r="C227" t="s">
        <v>16</v>
      </c>
      <c r="D227" t="s">
        <v>16</v>
      </c>
      <c r="E227" s="2">
        <v>46090</v>
      </c>
      <c r="F227" s="2">
        <v>46087</v>
      </c>
      <c r="G227" t="s">
        <v>144</v>
      </c>
      <c r="H227">
        <v>505364650</v>
      </c>
      <c r="I227">
        <v>505364650</v>
      </c>
      <c r="J227">
        <v>0</v>
      </c>
      <c r="K227">
        <v>0</v>
      </c>
      <c r="M227">
        <f t="shared" si="6"/>
        <v>0</v>
      </c>
      <c r="N227" t="str">
        <f t="shared" si="7"/>
        <v>Cuadrado</v>
      </c>
      <c r="O227" t="s">
        <v>20</v>
      </c>
      <c r="P227">
        <v>1004306590</v>
      </c>
    </row>
    <row r="228" spans="1:16" x14ac:dyDescent="0.35">
      <c r="A228">
        <v>300</v>
      </c>
      <c r="B228">
        <v>5139</v>
      </c>
      <c r="C228" t="s">
        <v>16</v>
      </c>
      <c r="D228" t="s">
        <v>16</v>
      </c>
      <c r="E228" s="2">
        <v>46090</v>
      </c>
      <c r="F228" s="2">
        <v>46087</v>
      </c>
      <c r="G228" t="s">
        <v>234</v>
      </c>
      <c r="H228">
        <v>386433750</v>
      </c>
      <c r="I228">
        <v>370535200</v>
      </c>
      <c r="J228">
        <v>10440000</v>
      </c>
      <c r="K228">
        <v>26338550</v>
      </c>
      <c r="M228">
        <f t="shared" si="6"/>
        <v>0</v>
      </c>
      <c r="N228" t="str">
        <f t="shared" si="7"/>
        <v>Cuadrado</v>
      </c>
      <c r="O228" t="s">
        <v>20</v>
      </c>
      <c r="P228">
        <v>53097567</v>
      </c>
    </row>
    <row r="229" spans="1:16" x14ac:dyDescent="0.35">
      <c r="A229">
        <v>667</v>
      </c>
      <c r="B229">
        <v>5167</v>
      </c>
      <c r="C229" t="s">
        <v>16</v>
      </c>
      <c r="D229" t="s">
        <v>16</v>
      </c>
      <c r="E229" s="2">
        <v>46090</v>
      </c>
      <c r="F229" s="2">
        <v>46087</v>
      </c>
      <c r="G229" t="s">
        <v>72</v>
      </c>
      <c r="H229">
        <v>188012450</v>
      </c>
      <c r="I229">
        <v>144037450</v>
      </c>
      <c r="J229">
        <v>4860000</v>
      </c>
      <c r="K229">
        <v>48835000</v>
      </c>
      <c r="M229">
        <f t="shared" si="6"/>
        <v>0</v>
      </c>
      <c r="N229" t="str">
        <f t="shared" si="7"/>
        <v>Cuadrado</v>
      </c>
      <c r="O229" t="s">
        <v>20</v>
      </c>
      <c r="P229">
        <v>79953058</v>
      </c>
    </row>
    <row r="230" spans="1:16" x14ac:dyDescent="0.35">
      <c r="A230">
        <v>541</v>
      </c>
      <c r="B230">
        <v>5185</v>
      </c>
      <c r="C230" t="s">
        <v>16</v>
      </c>
      <c r="D230" t="s">
        <v>16</v>
      </c>
      <c r="E230" s="2">
        <v>46090</v>
      </c>
      <c r="F230" s="2">
        <v>46087</v>
      </c>
      <c r="G230" t="s">
        <v>55</v>
      </c>
      <c r="H230">
        <v>218159800</v>
      </c>
      <c r="I230">
        <v>202037100</v>
      </c>
      <c r="J230">
        <v>620000</v>
      </c>
      <c r="K230">
        <v>16742700</v>
      </c>
      <c r="M230">
        <f t="shared" si="6"/>
        <v>0</v>
      </c>
      <c r="N230" t="str">
        <f t="shared" si="7"/>
        <v>Cuadrado</v>
      </c>
      <c r="O230" t="s">
        <v>20</v>
      </c>
      <c r="P230">
        <v>1090148688</v>
      </c>
    </row>
    <row r="231" spans="1:16" x14ac:dyDescent="0.35">
      <c r="A231">
        <v>674</v>
      </c>
      <c r="B231">
        <v>5200</v>
      </c>
      <c r="C231" t="s">
        <v>16</v>
      </c>
      <c r="D231" t="s">
        <v>16</v>
      </c>
      <c r="E231" s="2">
        <v>46090</v>
      </c>
      <c r="F231" s="2">
        <v>46087</v>
      </c>
      <c r="G231" t="s">
        <v>235</v>
      </c>
      <c r="H231">
        <v>178260250</v>
      </c>
      <c r="I231">
        <v>192902250</v>
      </c>
      <c r="J231">
        <v>34690000</v>
      </c>
      <c r="K231">
        <v>20048000</v>
      </c>
      <c r="L231">
        <v>0</v>
      </c>
      <c r="M231">
        <f t="shared" si="6"/>
        <v>0</v>
      </c>
      <c r="N231" t="str">
        <f t="shared" si="7"/>
        <v>Cuadrado</v>
      </c>
      <c r="O231" t="s">
        <v>236</v>
      </c>
      <c r="P231">
        <v>79813088</v>
      </c>
    </row>
    <row r="232" spans="1:16" x14ac:dyDescent="0.35">
      <c r="A232">
        <v>395</v>
      </c>
      <c r="B232">
        <v>1528</v>
      </c>
      <c r="C232" t="s">
        <v>16</v>
      </c>
      <c r="D232" t="s">
        <v>16</v>
      </c>
      <c r="E232" s="2">
        <v>46091</v>
      </c>
      <c r="F232" s="2">
        <v>46090</v>
      </c>
      <c r="G232" t="s">
        <v>44</v>
      </c>
      <c r="H232">
        <v>467628050</v>
      </c>
      <c r="I232">
        <v>447128150</v>
      </c>
      <c r="J232">
        <v>0</v>
      </c>
      <c r="K232">
        <v>0</v>
      </c>
      <c r="M232">
        <f t="shared" si="6"/>
        <v>-20499900</v>
      </c>
      <c r="N232" t="str">
        <f t="shared" si="7"/>
        <v>Sobrante</v>
      </c>
      <c r="O232" t="s">
        <v>237</v>
      </c>
      <c r="P232">
        <v>1121857901</v>
      </c>
    </row>
    <row r="233" spans="1:16" x14ac:dyDescent="0.35">
      <c r="A233">
        <v>395</v>
      </c>
      <c r="B233">
        <v>1529</v>
      </c>
      <c r="C233" t="s">
        <v>16</v>
      </c>
      <c r="D233" t="s">
        <v>16</v>
      </c>
      <c r="E233" s="2">
        <v>46091</v>
      </c>
      <c r="F233" s="2">
        <v>46090</v>
      </c>
      <c r="G233" t="s">
        <v>238</v>
      </c>
      <c r="H233">
        <v>359252800</v>
      </c>
      <c r="I233">
        <v>313938800</v>
      </c>
      <c r="J233">
        <v>2910000</v>
      </c>
      <c r="K233">
        <v>12454000</v>
      </c>
      <c r="M233">
        <f t="shared" si="6"/>
        <v>-35770000</v>
      </c>
      <c r="N233" t="str">
        <f t="shared" si="7"/>
        <v>Sobrante</v>
      </c>
      <c r="O233" t="s">
        <v>237</v>
      </c>
      <c r="P233">
        <v>1121857901</v>
      </c>
    </row>
    <row r="234" spans="1:16" x14ac:dyDescent="0.35">
      <c r="A234">
        <v>867</v>
      </c>
      <c r="B234">
        <v>5043</v>
      </c>
      <c r="C234" t="s">
        <v>16</v>
      </c>
      <c r="D234" t="s">
        <v>16</v>
      </c>
      <c r="E234" s="2">
        <v>46091</v>
      </c>
      <c r="F234" s="2">
        <v>46090</v>
      </c>
      <c r="G234" t="s">
        <v>239</v>
      </c>
      <c r="H234">
        <v>294129700</v>
      </c>
      <c r="I234">
        <v>293361300</v>
      </c>
      <c r="J234">
        <v>1070000</v>
      </c>
      <c r="K234">
        <v>350000</v>
      </c>
      <c r="M234">
        <f t="shared" si="6"/>
        <v>-1488400</v>
      </c>
      <c r="N234" t="str">
        <f t="shared" si="7"/>
        <v>Sobrante</v>
      </c>
      <c r="O234" t="s">
        <v>237</v>
      </c>
      <c r="P234">
        <v>1105611666</v>
      </c>
    </row>
    <row r="235" spans="1:16" x14ac:dyDescent="0.35">
      <c r="A235">
        <v>517</v>
      </c>
      <c r="B235">
        <v>5053</v>
      </c>
      <c r="C235" t="s">
        <v>16</v>
      </c>
      <c r="D235" t="s">
        <v>16</v>
      </c>
      <c r="E235" s="2">
        <v>46091</v>
      </c>
      <c r="F235" s="2">
        <v>46090</v>
      </c>
      <c r="G235" t="s">
        <v>240</v>
      </c>
      <c r="H235">
        <v>299074850</v>
      </c>
      <c r="I235">
        <v>183161250</v>
      </c>
      <c r="J235">
        <v>14800000</v>
      </c>
      <c r="K235">
        <v>113873000</v>
      </c>
      <c r="M235">
        <f t="shared" si="6"/>
        <v>-16840600</v>
      </c>
      <c r="N235" t="str">
        <f t="shared" si="7"/>
        <v>Sobrante</v>
      </c>
      <c r="O235" t="s">
        <v>237</v>
      </c>
      <c r="P235">
        <v>1083026284</v>
      </c>
    </row>
    <row r="236" spans="1:16" x14ac:dyDescent="0.35">
      <c r="A236">
        <v>781</v>
      </c>
      <c r="B236">
        <v>5057</v>
      </c>
      <c r="C236" t="s">
        <v>16</v>
      </c>
      <c r="D236" t="s">
        <v>16</v>
      </c>
      <c r="E236" s="2">
        <v>46091</v>
      </c>
      <c r="F236" s="2">
        <v>46090</v>
      </c>
      <c r="G236" t="s">
        <v>105</v>
      </c>
      <c r="H236">
        <v>587079450</v>
      </c>
      <c r="I236">
        <v>580479400</v>
      </c>
      <c r="J236">
        <v>0</v>
      </c>
      <c r="K236">
        <v>0</v>
      </c>
      <c r="M236">
        <f t="shared" si="6"/>
        <v>-6600050</v>
      </c>
      <c r="N236" t="str">
        <f t="shared" si="7"/>
        <v>Sobrante</v>
      </c>
      <c r="O236" t="s">
        <v>237</v>
      </c>
      <c r="P236">
        <v>1082836736</v>
      </c>
    </row>
    <row r="237" spans="1:16" x14ac:dyDescent="0.35">
      <c r="A237">
        <v>115</v>
      </c>
      <c r="B237">
        <v>5080</v>
      </c>
      <c r="C237" t="s">
        <v>16</v>
      </c>
      <c r="D237" t="s">
        <v>16</v>
      </c>
      <c r="E237" s="2">
        <v>46091</v>
      </c>
      <c r="F237" s="2">
        <v>46090</v>
      </c>
      <c r="G237" t="s">
        <v>239</v>
      </c>
      <c r="H237">
        <v>420816600</v>
      </c>
      <c r="I237">
        <v>421716600</v>
      </c>
      <c r="J237">
        <v>1600000</v>
      </c>
      <c r="K237">
        <v>0</v>
      </c>
      <c r="M237">
        <f t="shared" si="6"/>
        <v>-700000</v>
      </c>
      <c r="N237" t="str">
        <f t="shared" si="7"/>
        <v>Sobrante</v>
      </c>
      <c r="O237" t="s">
        <v>237</v>
      </c>
      <c r="P237">
        <v>42158306</v>
      </c>
    </row>
    <row r="238" spans="1:16" x14ac:dyDescent="0.35">
      <c r="A238">
        <v>523</v>
      </c>
      <c r="B238">
        <v>5082</v>
      </c>
      <c r="C238" t="s">
        <v>16</v>
      </c>
      <c r="D238" t="s">
        <v>16</v>
      </c>
      <c r="E238" s="2">
        <v>46091</v>
      </c>
      <c r="F238" s="2">
        <v>46090</v>
      </c>
      <c r="G238" t="s">
        <v>241</v>
      </c>
      <c r="H238">
        <v>46659900</v>
      </c>
      <c r="I238">
        <v>16257900</v>
      </c>
      <c r="J238">
        <v>0</v>
      </c>
      <c r="K238">
        <v>20001950</v>
      </c>
      <c r="M238">
        <f t="shared" si="6"/>
        <v>-10400050</v>
      </c>
      <c r="N238" t="str">
        <f t="shared" si="7"/>
        <v>Sobrante</v>
      </c>
      <c r="O238" t="s">
        <v>237</v>
      </c>
      <c r="P238">
        <v>1065609766</v>
      </c>
    </row>
    <row r="239" spans="1:16" x14ac:dyDescent="0.35">
      <c r="A239">
        <v>291</v>
      </c>
      <c r="B239">
        <v>5114</v>
      </c>
      <c r="C239" t="s">
        <v>16</v>
      </c>
      <c r="D239" t="s">
        <v>16</v>
      </c>
      <c r="E239" s="2">
        <v>46091</v>
      </c>
      <c r="F239" s="2">
        <v>46090</v>
      </c>
      <c r="G239" t="s">
        <v>242</v>
      </c>
      <c r="H239">
        <v>420878050</v>
      </c>
      <c r="I239">
        <v>407308650</v>
      </c>
      <c r="J239">
        <v>6500000</v>
      </c>
      <c r="K239">
        <v>20075000</v>
      </c>
      <c r="L239">
        <v>5600</v>
      </c>
      <c r="M239">
        <f t="shared" si="6"/>
        <v>0</v>
      </c>
      <c r="N239" t="str">
        <f t="shared" si="7"/>
        <v>Cuadrado</v>
      </c>
      <c r="O239" t="s">
        <v>243</v>
      </c>
      <c r="P239">
        <v>1095930956</v>
      </c>
    </row>
    <row r="240" spans="1:16" x14ac:dyDescent="0.35">
      <c r="A240">
        <v>76</v>
      </c>
      <c r="B240">
        <v>5126</v>
      </c>
      <c r="C240" t="s">
        <v>16</v>
      </c>
      <c r="D240" t="s">
        <v>16</v>
      </c>
      <c r="E240" s="2">
        <v>46091</v>
      </c>
      <c r="F240" s="2">
        <v>46090</v>
      </c>
      <c r="G240" t="s">
        <v>244</v>
      </c>
      <c r="H240">
        <v>163419000</v>
      </c>
      <c r="I240">
        <v>195474000</v>
      </c>
      <c r="J240">
        <v>47250000</v>
      </c>
      <c r="K240">
        <v>97632000</v>
      </c>
      <c r="L240">
        <v>82437000</v>
      </c>
      <c r="M240">
        <f t="shared" si="6"/>
        <v>0</v>
      </c>
      <c r="N240" t="str">
        <f t="shared" si="7"/>
        <v>Cuadrado</v>
      </c>
      <c r="O240" t="s">
        <v>20</v>
      </c>
      <c r="P240">
        <v>1075274187</v>
      </c>
    </row>
    <row r="241" spans="1:16" x14ac:dyDescent="0.35">
      <c r="A241">
        <v>725</v>
      </c>
      <c r="B241">
        <v>5166</v>
      </c>
      <c r="C241" t="s">
        <v>16</v>
      </c>
      <c r="D241" t="s">
        <v>16</v>
      </c>
      <c r="E241" s="2">
        <v>46091</v>
      </c>
      <c r="F241" s="2">
        <v>46090</v>
      </c>
      <c r="G241" t="s">
        <v>245</v>
      </c>
      <c r="H241">
        <v>45913050</v>
      </c>
      <c r="I241">
        <v>46688050</v>
      </c>
      <c r="J241">
        <v>0</v>
      </c>
      <c r="K241">
        <v>0</v>
      </c>
      <c r="L241">
        <v>775000</v>
      </c>
      <c r="M241">
        <f t="shared" si="6"/>
        <v>0</v>
      </c>
      <c r="N241" t="str">
        <f t="shared" si="7"/>
        <v>Cuadrado</v>
      </c>
      <c r="O241" t="s">
        <v>246</v>
      </c>
      <c r="P241">
        <v>1088032608</v>
      </c>
    </row>
    <row r="242" spans="1:16" x14ac:dyDescent="0.35">
      <c r="A242">
        <v>667</v>
      </c>
      <c r="B242">
        <v>5167</v>
      </c>
      <c r="C242" t="s">
        <v>16</v>
      </c>
      <c r="D242" t="s">
        <v>16</v>
      </c>
      <c r="E242" s="2">
        <v>46091</v>
      </c>
      <c r="F242" s="2">
        <v>46090</v>
      </c>
      <c r="G242" t="s">
        <v>247</v>
      </c>
      <c r="H242">
        <v>127546750</v>
      </c>
      <c r="I242">
        <v>129216700</v>
      </c>
      <c r="J242">
        <v>4920000</v>
      </c>
      <c r="K242">
        <v>3250000</v>
      </c>
      <c r="M242">
        <f t="shared" si="6"/>
        <v>-50</v>
      </c>
      <c r="N242" t="str">
        <f t="shared" si="7"/>
        <v>Sobrante</v>
      </c>
      <c r="O242" t="s">
        <v>237</v>
      </c>
      <c r="P242">
        <v>79953058</v>
      </c>
    </row>
    <row r="243" spans="1:16" x14ac:dyDescent="0.35">
      <c r="A243">
        <v>756</v>
      </c>
      <c r="B243">
        <v>5183</v>
      </c>
      <c r="C243" t="s">
        <v>22</v>
      </c>
      <c r="D243" t="s">
        <v>16</v>
      </c>
      <c r="E243" s="2">
        <v>46091</v>
      </c>
      <c r="F243" s="2">
        <v>46087</v>
      </c>
      <c r="G243" t="s">
        <v>178</v>
      </c>
      <c r="H243">
        <v>39276000</v>
      </c>
      <c r="I243">
        <v>210302000</v>
      </c>
      <c r="J243">
        <v>4170000</v>
      </c>
      <c r="K243">
        <v>5340000</v>
      </c>
      <c r="L243">
        <v>175516000</v>
      </c>
      <c r="M243">
        <f t="shared" si="6"/>
        <v>-3320000</v>
      </c>
      <c r="N243" t="str">
        <f t="shared" si="7"/>
        <v>Sobrante</v>
      </c>
      <c r="O243" t="s">
        <v>237</v>
      </c>
      <c r="P243">
        <v>1094912219</v>
      </c>
    </row>
    <row r="244" spans="1:16" x14ac:dyDescent="0.35">
      <c r="A244">
        <v>698</v>
      </c>
      <c r="B244">
        <v>5187</v>
      </c>
      <c r="C244" t="s">
        <v>16</v>
      </c>
      <c r="D244" t="s">
        <v>16</v>
      </c>
      <c r="E244" s="2">
        <v>46091</v>
      </c>
      <c r="F244" s="2">
        <v>46090</v>
      </c>
      <c r="G244" t="s">
        <v>26</v>
      </c>
      <c r="H244">
        <v>278552450</v>
      </c>
      <c r="I244">
        <v>278552400</v>
      </c>
      <c r="J244">
        <v>0</v>
      </c>
      <c r="K244">
        <v>0</v>
      </c>
      <c r="M244">
        <f t="shared" si="6"/>
        <v>-50</v>
      </c>
      <c r="N244" t="str">
        <f t="shared" si="7"/>
        <v>Sobrante</v>
      </c>
      <c r="O244" t="s">
        <v>237</v>
      </c>
      <c r="P244">
        <v>80177355</v>
      </c>
    </row>
    <row r="245" spans="1:16" x14ac:dyDescent="0.35">
      <c r="A245">
        <v>383</v>
      </c>
      <c r="B245">
        <v>5194</v>
      </c>
      <c r="C245" t="s">
        <v>16</v>
      </c>
      <c r="D245" t="s">
        <v>16</v>
      </c>
      <c r="E245" s="2">
        <v>46091</v>
      </c>
      <c r="F245" s="2">
        <v>46090</v>
      </c>
      <c r="G245" t="s">
        <v>85</v>
      </c>
      <c r="H245">
        <v>294935800</v>
      </c>
      <c r="I245">
        <v>295775800</v>
      </c>
      <c r="J245">
        <v>520000</v>
      </c>
      <c r="K245">
        <v>0</v>
      </c>
      <c r="L245">
        <v>320000</v>
      </c>
      <c r="M245">
        <f t="shared" si="6"/>
        <v>0</v>
      </c>
      <c r="N245" t="str">
        <f t="shared" si="7"/>
        <v>Cuadrado</v>
      </c>
      <c r="O245" t="s">
        <v>248</v>
      </c>
      <c r="P245">
        <v>1073160492</v>
      </c>
    </row>
    <row r="246" spans="1:16" x14ac:dyDescent="0.35">
      <c r="A246">
        <v>455</v>
      </c>
      <c r="B246">
        <v>5206</v>
      </c>
      <c r="C246" t="s">
        <v>16</v>
      </c>
      <c r="D246" t="s">
        <v>16</v>
      </c>
      <c r="E246" s="2">
        <v>46091</v>
      </c>
      <c r="F246" s="2">
        <v>46090</v>
      </c>
      <c r="G246" t="s">
        <v>249</v>
      </c>
      <c r="H246">
        <v>197434400</v>
      </c>
      <c r="I246">
        <v>563024050</v>
      </c>
      <c r="J246">
        <v>8090000</v>
      </c>
      <c r="K246">
        <v>198081000</v>
      </c>
      <c r="L246">
        <v>564461000</v>
      </c>
      <c r="M246">
        <f t="shared" si="6"/>
        <v>-8880350</v>
      </c>
      <c r="N246" t="str">
        <f t="shared" si="7"/>
        <v>Sobrante</v>
      </c>
      <c r="O246" t="s">
        <v>237</v>
      </c>
      <c r="P246">
        <v>1083896352</v>
      </c>
    </row>
    <row r="247" spans="1:16" x14ac:dyDescent="0.35">
      <c r="A247">
        <v>844</v>
      </c>
      <c r="B247">
        <v>6169</v>
      </c>
      <c r="C247" t="s">
        <v>16</v>
      </c>
      <c r="D247" t="s">
        <v>16</v>
      </c>
      <c r="E247" s="2">
        <v>46091</v>
      </c>
      <c r="F247" s="2">
        <v>46090</v>
      </c>
      <c r="G247" t="s">
        <v>179</v>
      </c>
      <c r="H247">
        <v>286603250</v>
      </c>
      <c r="I247">
        <v>500368650</v>
      </c>
      <c r="J247">
        <v>820000</v>
      </c>
      <c r="K247">
        <v>0</v>
      </c>
      <c r="L247">
        <v>213577000</v>
      </c>
      <c r="M247">
        <f t="shared" si="6"/>
        <v>-631600</v>
      </c>
      <c r="N247" t="str">
        <f t="shared" si="7"/>
        <v>Sobrante</v>
      </c>
      <c r="O247" t="s">
        <v>237</v>
      </c>
      <c r="P247">
        <v>86058432</v>
      </c>
    </row>
    <row r="248" spans="1:16" x14ac:dyDescent="0.35">
      <c r="A248">
        <v>820</v>
      </c>
      <c r="B248">
        <v>6174</v>
      </c>
      <c r="C248" t="s">
        <v>16</v>
      </c>
      <c r="D248" t="s">
        <v>16</v>
      </c>
      <c r="E248" s="2">
        <v>46091</v>
      </c>
      <c r="F248" s="2">
        <v>46090</v>
      </c>
      <c r="G248" t="s">
        <v>250</v>
      </c>
      <c r="H248">
        <v>62171600</v>
      </c>
      <c r="I248">
        <v>125609700</v>
      </c>
      <c r="J248">
        <v>12540000</v>
      </c>
      <c r="K248">
        <v>21669000</v>
      </c>
      <c r="L248">
        <v>55867000</v>
      </c>
      <c r="M248">
        <f t="shared" si="6"/>
        <v>16700100</v>
      </c>
      <c r="N248" t="str">
        <f t="shared" si="7"/>
        <v>Faltante</v>
      </c>
      <c r="O248" t="s">
        <v>33</v>
      </c>
      <c r="P248">
        <v>1090400247</v>
      </c>
    </row>
    <row r="249" spans="1:16" x14ac:dyDescent="0.35">
      <c r="A249">
        <v>477</v>
      </c>
      <c r="B249">
        <v>6251</v>
      </c>
      <c r="C249" t="s">
        <v>16</v>
      </c>
      <c r="D249" t="s">
        <v>16</v>
      </c>
      <c r="E249" s="2">
        <v>46091</v>
      </c>
      <c r="F249" s="2">
        <v>46090</v>
      </c>
      <c r="G249" t="s">
        <v>141</v>
      </c>
      <c r="H249">
        <v>155281050</v>
      </c>
      <c r="I249">
        <v>435774550</v>
      </c>
      <c r="J249">
        <v>9030000</v>
      </c>
      <c r="K249">
        <v>4340000</v>
      </c>
      <c r="L249">
        <v>280774000</v>
      </c>
      <c r="M249">
        <f t="shared" si="6"/>
        <v>-4970500</v>
      </c>
      <c r="N249" t="str">
        <f t="shared" si="7"/>
        <v>Sobrante</v>
      </c>
      <c r="O249" t="s">
        <v>237</v>
      </c>
      <c r="P249">
        <v>1140850613</v>
      </c>
    </row>
    <row r="250" spans="1:16" x14ac:dyDescent="0.35">
      <c r="A250">
        <v>613</v>
      </c>
      <c r="B250">
        <v>6713</v>
      </c>
      <c r="C250" t="s">
        <v>22</v>
      </c>
      <c r="D250" t="s">
        <v>22</v>
      </c>
      <c r="E250" s="2">
        <v>46091</v>
      </c>
      <c r="F250" s="2">
        <v>46090</v>
      </c>
      <c r="G250" t="s">
        <v>251</v>
      </c>
      <c r="H250">
        <v>139679500</v>
      </c>
      <c r="I250">
        <v>139937500</v>
      </c>
      <c r="J250">
        <v>2950000</v>
      </c>
      <c r="K250">
        <v>1840000</v>
      </c>
      <c r="M250">
        <f t="shared" si="6"/>
        <v>-852000</v>
      </c>
      <c r="N250" t="str">
        <f t="shared" si="7"/>
        <v>Sobrante</v>
      </c>
      <c r="O250" t="s">
        <v>237</v>
      </c>
      <c r="P250">
        <v>1040325060</v>
      </c>
    </row>
    <row r="251" spans="1:16" x14ac:dyDescent="0.35">
      <c r="A251">
        <v>385</v>
      </c>
      <c r="B251">
        <v>7139</v>
      </c>
      <c r="C251" t="s">
        <v>16</v>
      </c>
      <c r="D251" t="s">
        <v>16</v>
      </c>
      <c r="E251" s="2">
        <v>46091</v>
      </c>
      <c r="F251" s="2">
        <v>46090</v>
      </c>
      <c r="G251" t="s">
        <v>252</v>
      </c>
      <c r="H251">
        <v>128538550</v>
      </c>
      <c r="I251">
        <v>120110750</v>
      </c>
      <c r="J251">
        <v>33970000</v>
      </c>
      <c r="K251">
        <v>26851000</v>
      </c>
      <c r="M251">
        <f t="shared" si="6"/>
        <v>-15546800</v>
      </c>
      <c r="N251" t="str">
        <f t="shared" si="7"/>
        <v>Sobrante</v>
      </c>
      <c r="O251" t="s">
        <v>237</v>
      </c>
      <c r="P251">
        <v>1077970238</v>
      </c>
    </row>
    <row r="252" spans="1:16" x14ac:dyDescent="0.35">
      <c r="A252">
        <v>848</v>
      </c>
      <c r="B252">
        <v>7374</v>
      </c>
      <c r="C252" t="s">
        <v>22</v>
      </c>
      <c r="D252" t="s">
        <v>22</v>
      </c>
      <c r="E252" s="2">
        <v>46091</v>
      </c>
      <c r="F252" s="2">
        <v>46090</v>
      </c>
      <c r="G252" t="s">
        <v>253</v>
      </c>
      <c r="H252">
        <v>46734150</v>
      </c>
      <c r="I252">
        <v>32765200</v>
      </c>
      <c r="J252">
        <v>2340000</v>
      </c>
      <c r="K252">
        <v>17000000</v>
      </c>
      <c r="L252">
        <v>691050</v>
      </c>
      <c r="M252">
        <f t="shared" si="6"/>
        <v>0</v>
      </c>
      <c r="N252" t="str">
        <f t="shared" si="7"/>
        <v>Cuadrado</v>
      </c>
      <c r="O252" t="s">
        <v>254</v>
      </c>
      <c r="P252">
        <v>29877107</v>
      </c>
    </row>
    <row r="253" spans="1:16" x14ac:dyDescent="0.35">
      <c r="A253">
        <v>569</v>
      </c>
      <c r="B253">
        <v>8129</v>
      </c>
      <c r="C253" t="s">
        <v>22</v>
      </c>
      <c r="D253" t="s">
        <v>22</v>
      </c>
      <c r="E253" s="2">
        <v>46091</v>
      </c>
      <c r="F253" s="2">
        <v>46090</v>
      </c>
      <c r="G253" t="s">
        <v>226</v>
      </c>
      <c r="H253">
        <v>256898200</v>
      </c>
      <c r="I253">
        <v>264208200</v>
      </c>
      <c r="J253">
        <v>10550000</v>
      </c>
      <c r="K253">
        <v>0</v>
      </c>
      <c r="M253">
        <f t="shared" si="6"/>
        <v>-3240000</v>
      </c>
      <c r="N253" t="str">
        <f t="shared" si="7"/>
        <v>Sobrante</v>
      </c>
      <c r="O253" t="s">
        <v>237</v>
      </c>
      <c r="P253">
        <v>10779993</v>
      </c>
    </row>
    <row r="254" spans="1:16" x14ac:dyDescent="0.35">
      <c r="A254">
        <v>291</v>
      </c>
      <c r="B254">
        <v>8139</v>
      </c>
      <c r="C254" t="s">
        <v>22</v>
      </c>
      <c r="D254" t="s">
        <v>22</v>
      </c>
      <c r="E254" s="2">
        <v>46091</v>
      </c>
      <c r="F254" s="2">
        <v>46090</v>
      </c>
      <c r="G254" t="s">
        <v>255</v>
      </c>
      <c r="H254">
        <v>260314550</v>
      </c>
      <c r="I254">
        <v>283871550</v>
      </c>
      <c r="J254">
        <v>25500000</v>
      </c>
      <c r="K254">
        <v>0</v>
      </c>
      <c r="L254">
        <v>-1943000</v>
      </c>
      <c r="M254">
        <f t="shared" si="6"/>
        <v>0</v>
      </c>
      <c r="N254" t="str">
        <f t="shared" si="7"/>
        <v>Cuadrado</v>
      </c>
      <c r="O254" t="s">
        <v>256</v>
      </c>
      <c r="P254">
        <v>1095930956</v>
      </c>
    </row>
    <row r="255" spans="1:16" x14ac:dyDescent="0.35">
      <c r="A255">
        <v>556</v>
      </c>
      <c r="B255">
        <v>8333</v>
      </c>
      <c r="C255" t="s">
        <v>16</v>
      </c>
      <c r="D255" t="s">
        <v>16</v>
      </c>
      <c r="E255" s="2">
        <v>46091</v>
      </c>
      <c r="F255" s="2">
        <v>46090</v>
      </c>
      <c r="G255" t="s">
        <v>141</v>
      </c>
      <c r="H255">
        <v>387578900</v>
      </c>
      <c r="I255">
        <v>379432100</v>
      </c>
      <c r="J255">
        <v>7700000</v>
      </c>
      <c r="K255">
        <v>15818000</v>
      </c>
      <c r="L255">
        <v>-28700</v>
      </c>
      <c r="M255">
        <f t="shared" si="6"/>
        <v>-100</v>
      </c>
      <c r="N255" t="str">
        <f t="shared" si="7"/>
        <v>Sobrante</v>
      </c>
      <c r="O255" t="s">
        <v>237</v>
      </c>
      <c r="P255">
        <v>39450196</v>
      </c>
    </row>
    <row r="256" spans="1:16" x14ac:dyDescent="0.35">
      <c r="A256">
        <v>495</v>
      </c>
      <c r="B256">
        <v>8482</v>
      </c>
      <c r="C256" t="s">
        <v>16</v>
      </c>
      <c r="D256" t="s">
        <v>16</v>
      </c>
      <c r="E256" s="2">
        <v>46091</v>
      </c>
      <c r="F256" s="2">
        <v>46090</v>
      </c>
      <c r="G256" t="s">
        <v>257</v>
      </c>
      <c r="H256">
        <v>37697400</v>
      </c>
      <c r="I256">
        <v>38149400</v>
      </c>
      <c r="J256">
        <v>0</v>
      </c>
      <c r="K256">
        <v>0</v>
      </c>
      <c r="M256">
        <f t="shared" si="6"/>
        <v>452000</v>
      </c>
      <c r="N256" t="str">
        <f t="shared" si="7"/>
        <v>Faltante</v>
      </c>
      <c r="O256" t="s">
        <v>258</v>
      </c>
      <c r="P256">
        <v>1052081923</v>
      </c>
    </row>
    <row r="257" spans="1:16" x14ac:dyDescent="0.35">
      <c r="A257">
        <v>60</v>
      </c>
      <c r="B257">
        <v>8728</v>
      </c>
      <c r="C257" t="s">
        <v>22</v>
      </c>
      <c r="D257" t="s">
        <v>22</v>
      </c>
      <c r="E257" s="2">
        <v>46091</v>
      </c>
      <c r="F257" s="2">
        <v>46090</v>
      </c>
      <c r="G257" t="s">
        <v>259</v>
      </c>
      <c r="H257">
        <v>147853100</v>
      </c>
      <c r="I257">
        <v>145400100</v>
      </c>
      <c r="J257">
        <v>3320000</v>
      </c>
      <c r="K257">
        <v>6020000</v>
      </c>
      <c r="M257">
        <f t="shared" si="6"/>
        <v>247000</v>
      </c>
      <c r="N257" t="str">
        <f t="shared" si="7"/>
        <v>Faltante</v>
      </c>
      <c r="O257" t="s">
        <v>258</v>
      </c>
      <c r="P257">
        <v>14697128</v>
      </c>
    </row>
    <row r="258" spans="1:16" x14ac:dyDescent="0.35">
      <c r="A258">
        <v>60</v>
      </c>
      <c r="B258">
        <v>8729</v>
      </c>
      <c r="C258" t="s">
        <v>16</v>
      </c>
      <c r="D258" t="s">
        <v>16</v>
      </c>
      <c r="E258" s="2">
        <v>46091</v>
      </c>
      <c r="F258" s="2">
        <v>46090</v>
      </c>
      <c r="G258" t="s">
        <v>260</v>
      </c>
      <c r="H258">
        <v>102452400</v>
      </c>
      <c r="I258">
        <v>96472400</v>
      </c>
      <c r="J258">
        <v>2860000</v>
      </c>
      <c r="K258">
        <v>8850000</v>
      </c>
      <c r="L258">
        <v>10000</v>
      </c>
      <c r="M258">
        <f t="shared" ref="M258:M321" si="8">I258-(H258+J258-K258)- L258</f>
        <v>0</v>
      </c>
      <c r="N258" t="str">
        <f t="shared" ref="N258:N321" si="9">IF(M258=0,"Cuadrado",IF(M258&gt;0,"Faltante","Sobrante"))</f>
        <v>Cuadrado</v>
      </c>
      <c r="O258" t="s">
        <v>261</v>
      </c>
      <c r="P258">
        <v>14697128</v>
      </c>
    </row>
    <row r="259" spans="1:16" x14ac:dyDescent="0.35">
      <c r="A259">
        <v>451</v>
      </c>
      <c r="B259">
        <v>9434</v>
      </c>
      <c r="C259" t="s">
        <v>16</v>
      </c>
      <c r="D259" t="s">
        <v>16</v>
      </c>
      <c r="E259" s="2">
        <v>46091</v>
      </c>
      <c r="F259" s="2">
        <v>46090</v>
      </c>
      <c r="G259" t="s">
        <v>252</v>
      </c>
      <c r="H259">
        <v>99399350</v>
      </c>
      <c r="I259">
        <v>-285680200</v>
      </c>
      <c r="J259">
        <v>123550000</v>
      </c>
      <c r="K259">
        <v>23629550</v>
      </c>
      <c r="L259">
        <v>-485000000</v>
      </c>
      <c r="M259">
        <f t="shared" si="8"/>
        <v>0</v>
      </c>
      <c r="N259" t="str">
        <f t="shared" si="9"/>
        <v>Cuadrado</v>
      </c>
      <c r="O259" t="s">
        <v>20</v>
      </c>
      <c r="P259">
        <v>1123206969</v>
      </c>
    </row>
    <row r="260" spans="1:16" x14ac:dyDescent="0.35">
      <c r="A260">
        <v>367</v>
      </c>
      <c r="B260">
        <v>9580</v>
      </c>
      <c r="C260" t="s">
        <v>16</v>
      </c>
      <c r="D260" t="s">
        <v>16</v>
      </c>
      <c r="E260" s="2">
        <v>46091</v>
      </c>
      <c r="F260" s="2">
        <v>46090</v>
      </c>
      <c r="G260" t="s">
        <v>49</v>
      </c>
      <c r="H260">
        <v>111885800</v>
      </c>
      <c r="I260">
        <v>99855800</v>
      </c>
      <c r="J260">
        <v>21780000</v>
      </c>
      <c r="K260">
        <v>33900000</v>
      </c>
      <c r="L260">
        <v>90000</v>
      </c>
      <c r="M260">
        <f t="shared" si="8"/>
        <v>0</v>
      </c>
      <c r="N260" t="str">
        <f t="shared" si="9"/>
        <v>Cuadrado</v>
      </c>
      <c r="O260" t="s">
        <v>262</v>
      </c>
      <c r="P260">
        <v>1120360426</v>
      </c>
    </row>
    <row r="261" spans="1:16" x14ac:dyDescent="0.35">
      <c r="A261">
        <v>890</v>
      </c>
      <c r="B261">
        <v>9584</v>
      </c>
      <c r="C261" t="s">
        <v>16</v>
      </c>
      <c r="D261" t="s">
        <v>16</v>
      </c>
      <c r="E261" s="2">
        <v>46091</v>
      </c>
      <c r="F261" s="2">
        <v>46090</v>
      </c>
      <c r="G261" t="s">
        <v>263</v>
      </c>
      <c r="H261">
        <v>11069150</v>
      </c>
      <c r="I261">
        <v>122262150</v>
      </c>
      <c r="J261">
        <v>2690000</v>
      </c>
      <c r="K261">
        <v>1434000</v>
      </c>
      <c r="L261">
        <v>116897000</v>
      </c>
      <c r="M261">
        <f t="shared" si="8"/>
        <v>-6960000</v>
      </c>
      <c r="N261" t="str">
        <f t="shared" si="9"/>
        <v>Sobrante</v>
      </c>
      <c r="O261" t="s">
        <v>237</v>
      </c>
      <c r="P261">
        <v>1053835867</v>
      </c>
    </row>
    <row r="262" spans="1:16" x14ac:dyDescent="0.35">
      <c r="A262">
        <v>516</v>
      </c>
      <c r="B262">
        <v>9729</v>
      </c>
      <c r="C262" t="s">
        <v>16</v>
      </c>
      <c r="D262" t="s">
        <v>16</v>
      </c>
      <c r="E262" s="2">
        <v>46091</v>
      </c>
      <c r="F262" s="2">
        <v>46090</v>
      </c>
      <c r="G262" t="s">
        <v>264</v>
      </c>
      <c r="H262">
        <v>174326750</v>
      </c>
      <c r="I262">
        <v>177144350</v>
      </c>
      <c r="J262">
        <v>650000</v>
      </c>
      <c r="K262">
        <v>0</v>
      </c>
      <c r="M262">
        <f t="shared" si="8"/>
        <v>2167600</v>
      </c>
      <c r="N262" t="str">
        <f t="shared" si="9"/>
        <v>Faltante</v>
      </c>
      <c r="O262" t="s">
        <v>33</v>
      </c>
      <c r="P262">
        <v>1102850956</v>
      </c>
    </row>
    <row r="263" spans="1:16" x14ac:dyDescent="0.35">
      <c r="A263">
        <v>265</v>
      </c>
      <c r="B263">
        <v>5083</v>
      </c>
      <c r="C263" t="s">
        <v>16</v>
      </c>
      <c r="D263" t="s">
        <v>16</v>
      </c>
      <c r="E263" s="2">
        <v>46091</v>
      </c>
      <c r="F263" s="2">
        <v>46090</v>
      </c>
      <c r="G263" t="s">
        <v>265</v>
      </c>
      <c r="H263">
        <v>316858750</v>
      </c>
      <c r="I263">
        <v>330808750</v>
      </c>
      <c r="J263">
        <v>13950000</v>
      </c>
      <c r="K263">
        <v>0</v>
      </c>
      <c r="M263">
        <f t="shared" si="8"/>
        <v>0</v>
      </c>
      <c r="N263" t="str">
        <f t="shared" si="9"/>
        <v>Cuadrado</v>
      </c>
      <c r="O263" t="s">
        <v>20</v>
      </c>
      <c r="P263">
        <v>1107081130</v>
      </c>
    </row>
    <row r="264" spans="1:16" x14ac:dyDescent="0.35">
      <c r="A264">
        <v>725</v>
      </c>
      <c r="B264">
        <v>8090</v>
      </c>
      <c r="C264" t="s">
        <v>16</v>
      </c>
      <c r="D264" t="s">
        <v>16</v>
      </c>
      <c r="E264" s="2">
        <v>46091</v>
      </c>
      <c r="F264" s="2">
        <v>46090</v>
      </c>
      <c r="G264" t="s">
        <v>85</v>
      </c>
      <c r="H264">
        <v>48107200</v>
      </c>
      <c r="I264">
        <v>43837200</v>
      </c>
      <c r="J264">
        <v>2360000</v>
      </c>
      <c r="K264">
        <v>6630000</v>
      </c>
      <c r="M264">
        <f t="shared" si="8"/>
        <v>0</v>
      </c>
      <c r="N264" t="str">
        <f t="shared" si="9"/>
        <v>Cuadrado</v>
      </c>
      <c r="O264" t="s">
        <v>20</v>
      </c>
      <c r="P264">
        <v>1088032608</v>
      </c>
    </row>
    <row r="265" spans="1:16" x14ac:dyDescent="0.35">
      <c r="A265">
        <v>728</v>
      </c>
      <c r="B265">
        <v>8586</v>
      </c>
      <c r="C265" t="s">
        <v>16</v>
      </c>
      <c r="D265" t="s">
        <v>16</v>
      </c>
      <c r="E265" s="2">
        <v>46091</v>
      </c>
      <c r="F265" s="2">
        <v>46090</v>
      </c>
      <c r="G265" t="s">
        <v>77</v>
      </c>
      <c r="H265">
        <v>101942150</v>
      </c>
      <c r="I265">
        <v>104962150</v>
      </c>
      <c r="J265">
        <v>4470000</v>
      </c>
      <c r="K265">
        <v>1450000</v>
      </c>
      <c r="M265">
        <f t="shared" si="8"/>
        <v>0</v>
      </c>
      <c r="N265" t="str">
        <f t="shared" si="9"/>
        <v>Cuadrado</v>
      </c>
      <c r="O265" t="s">
        <v>20</v>
      </c>
      <c r="P265">
        <v>1112783690</v>
      </c>
    </row>
    <row r="266" spans="1:16" x14ac:dyDescent="0.35">
      <c r="A266">
        <v>728</v>
      </c>
      <c r="B266">
        <v>8587</v>
      </c>
      <c r="C266" t="s">
        <v>16</v>
      </c>
      <c r="D266" t="s">
        <v>16</v>
      </c>
      <c r="E266" s="2">
        <v>46091</v>
      </c>
      <c r="F266" s="2">
        <v>46090</v>
      </c>
      <c r="G266" t="s">
        <v>266</v>
      </c>
      <c r="H266">
        <v>139335350</v>
      </c>
      <c r="I266">
        <v>138565350</v>
      </c>
      <c r="J266">
        <v>2330000</v>
      </c>
      <c r="K266">
        <v>3100000</v>
      </c>
      <c r="M266">
        <f t="shared" si="8"/>
        <v>0</v>
      </c>
      <c r="N266" t="str">
        <f t="shared" si="9"/>
        <v>Cuadrado</v>
      </c>
      <c r="O266" t="s">
        <v>20</v>
      </c>
      <c r="P266">
        <v>1112783690</v>
      </c>
    </row>
    <row r="267" spans="1:16" x14ac:dyDescent="0.35">
      <c r="A267">
        <v>333</v>
      </c>
      <c r="B267">
        <v>442</v>
      </c>
      <c r="C267" t="s">
        <v>22</v>
      </c>
      <c r="D267" t="s">
        <v>22</v>
      </c>
      <c r="E267" s="2">
        <v>46092</v>
      </c>
      <c r="F267" s="2">
        <v>46091</v>
      </c>
      <c r="G267" t="s">
        <v>56</v>
      </c>
      <c r="H267">
        <v>59695600</v>
      </c>
      <c r="I267">
        <v>223551100</v>
      </c>
      <c r="J267">
        <v>3770000</v>
      </c>
      <c r="K267">
        <v>14578000</v>
      </c>
      <c r="M267">
        <f t="shared" si="8"/>
        <v>174663500</v>
      </c>
      <c r="N267" t="str">
        <f t="shared" si="9"/>
        <v>Faltante</v>
      </c>
      <c r="O267" t="s">
        <v>33</v>
      </c>
      <c r="P267">
        <v>1036606819</v>
      </c>
    </row>
    <row r="268" spans="1:16" x14ac:dyDescent="0.35">
      <c r="A268">
        <v>214</v>
      </c>
      <c r="B268">
        <v>1469</v>
      </c>
      <c r="C268" t="s">
        <v>16</v>
      </c>
      <c r="D268" t="s">
        <v>16</v>
      </c>
      <c r="E268" s="2">
        <v>46092</v>
      </c>
      <c r="F268" s="2">
        <v>46091</v>
      </c>
      <c r="G268" t="s">
        <v>100</v>
      </c>
      <c r="H268">
        <v>155476900</v>
      </c>
      <c r="I268">
        <v>88040900</v>
      </c>
      <c r="J268">
        <v>7960000</v>
      </c>
      <c r="K268">
        <v>75505000</v>
      </c>
      <c r="L268">
        <v>0</v>
      </c>
      <c r="M268">
        <f t="shared" si="8"/>
        <v>109000</v>
      </c>
      <c r="N268" t="str">
        <f t="shared" si="9"/>
        <v>Faltante</v>
      </c>
      <c r="O268" t="s">
        <v>267</v>
      </c>
      <c r="P268">
        <v>1143387256</v>
      </c>
    </row>
    <row r="269" spans="1:16" x14ac:dyDescent="0.35">
      <c r="A269">
        <v>692</v>
      </c>
      <c r="B269">
        <v>1515</v>
      </c>
      <c r="C269" t="s">
        <v>16</v>
      </c>
      <c r="D269" t="s">
        <v>16</v>
      </c>
      <c r="E269" s="2">
        <v>46092</v>
      </c>
      <c r="F269" s="2">
        <v>46091</v>
      </c>
      <c r="G269" t="s">
        <v>141</v>
      </c>
      <c r="H269">
        <v>89771450</v>
      </c>
      <c r="I269">
        <v>73017250</v>
      </c>
      <c r="J269">
        <v>5550000</v>
      </c>
      <c r="K269">
        <v>22304300</v>
      </c>
      <c r="M269">
        <f t="shared" si="8"/>
        <v>100</v>
      </c>
      <c r="N269" t="str">
        <f t="shared" si="9"/>
        <v>Faltante</v>
      </c>
      <c r="O269" t="s">
        <v>268</v>
      </c>
      <c r="P269">
        <v>30840635</v>
      </c>
    </row>
    <row r="270" spans="1:16" x14ac:dyDescent="0.35">
      <c r="A270">
        <v>692</v>
      </c>
      <c r="B270">
        <v>1516</v>
      </c>
      <c r="C270" t="s">
        <v>16</v>
      </c>
      <c r="D270" t="s">
        <v>16</v>
      </c>
      <c r="E270" s="2">
        <v>46092</v>
      </c>
      <c r="F270" s="2">
        <v>46091</v>
      </c>
      <c r="G270" t="s">
        <v>104</v>
      </c>
      <c r="H270">
        <v>51417200</v>
      </c>
      <c r="I270">
        <v>43962300</v>
      </c>
      <c r="J270">
        <v>4370000</v>
      </c>
      <c r="K270">
        <v>11825000</v>
      </c>
      <c r="M270">
        <f t="shared" si="8"/>
        <v>100</v>
      </c>
      <c r="N270" t="str">
        <f t="shared" si="9"/>
        <v>Faltante</v>
      </c>
      <c r="O270" t="s">
        <v>268</v>
      </c>
      <c r="P270">
        <v>30840635</v>
      </c>
    </row>
    <row r="271" spans="1:16" x14ac:dyDescent="0.35">
      <c r="A271">
        <v>395</v>
      </c>
      <c r="B271">
        <v>1528</v>
      </c>
      <c r="C271" t="s">
        <v>16</v>
      </c>
      <c r="D271" t="s">
        <v>16</v>
      </c>
      <c r="E271" s="2">
        <v>46092</v>
      </c>
      <c r="F271" s="2">
        <v>46091</v>
      </c>
      <c r="G271" t="s">
        <v>164</v>
      </c>
      <c r="H271">
        <v>247877350</v>
      </c>
      <c r="I271">
        <v>229078750</v>
      </c>
      <c r="J271">
        <v>1700000</v>
      </c>
      <c r="K271">
        <v>0</v>
      </c>
      <c r="L271">
        <v>-20498600</v>
      </c>
      <c r="M271">
        <f t="shared" si="8"/>
        <v>0</v>
      </c>
      <c r="N271" t="str">
        <f t="shared" si="9"/>
        <v>Cuadrado</v>
      </c>
      <c r="O271" t="s">
        <v>269</v>
      </c>
      <c r="P271">
        <v>1121857901</v>
      </c>
    </row>
    <row r="272" spans="1:16" x14ac:dyDescent="0.35">
      <c r="A272">
        <v>395</v>
      </c>
      <c r="B272">
        <v>1529</v>
      </c>
      <c r="C272" t="s">
        <v>16</v>
      </c>
      <c r="D272" t="s">
        <v>16</v>
      </c>
      <c r="E272" s="2">
        <v>46092</v>
      </c>
      <c r="F272" s="2">
        <v>46091</v>
      </c>
      <c r="G272" t="s">
        <v>140</v>
      </c>
      <c r="H272">
        <v>278497800</v>
      </c>
      <c r="I272">
        <v>234927800</v>
      </c>
      <c r="J272">
        <v>3200000</v>
      </c>
      <c r="K272">
        <v>11000000</v>
      </c>
      <c r="L272">
        <v>-35770000</v>
      </c>
      <c r="M272">
        <f t="shared" si="8"/>
        <v>0</v>
      </c>
      <c r="N272" t="str">
        <f t="shared" si="9"/>
        <v>Cuadrado</v>
      </c>
      <c r="O272" t="s">
        <v>20</v>
      </c>
      <c r="P272">
        <v>1121857901</v>
      </c>
    </row>
    <row r="273" spans="1:16" x14ac:dyDescent="0.35">
      <c r="A273">
        <v>167</v>
      </c>
      <c r="B273">
        <v>5030</v>
      </c>
      <c r="C273" t="s">
        <v>16</v>
      </c>
      <c r="D273" t="s">
        <v>16</v>
      </c>
      <c r="E273" s="2">
        <v>46092</v>
      </c>
      <c r="F273" s="2">
        <v>46091</v>
      </c>
      <c r="G273" t="s">
        <v>60</v>
      </c>
      <c r="H273">
        <v>390208900</v>
      </c>
      <c r="I273">
        <v>372430300</v>
      </c>
      <c r="J273">
        <v>6340000</v>
      </c>
      <c r="K273">
        <v>20411800</v>
      </c>
      <c r="M273">
        <f t="shared" si="8"/>
        <v>-3706800</v>
      </c>
      <c r="N273" t="str">
        <f t="shared" si="9"/>
        <v>Sobrante</v>
      </c>
      <c r="O273" t="s">
        <v>270</v>
      </c>
      <c r="P273">
        <v>80076538</v>
      </c>
    </row>
    <row r="274" spans="1:16" x14ac:dyDescent="0.35">
      <c r="A274">
        <v>81</v>
      </c>
      <c r="B274">
        <v>5036</v>
      </c>
      <c r="C274" t="s">
        <v>16</v>
      </c>
      <c r="D274" t="s">
        <v>16</v>
      </c>
      <c r="E274" s="2">
        <v>46092</v>
      </c>
      <c r="F274" s="2">
        <v>46091</v>
      </c>
      <c r="G274" t="s">
        <v>133</v>
      </c>
      <c r="H274">
        <v>264980400</v>
      </c>
      <c r="I274">
        <v>256847400</v>
      </c>
      <c r="J274">
        <v>0</v>
      </c>
      <c r="K274">
        <v>0</v>
      </c>
      <c r="L274">
        <v>480000</v>
      </c>
      <c r="M274">
        <f t="shared" si="8"/>
        <v>-8613000</v>
      </c>
      <c r="N274" t="str">
        <f t="shared" si="9"/>
        <v>Sobrante</v>
      </c>
      <c r="O274" t="s">
        <v>270</v>
      </c>
      <c r="P274">
        <v>78691277</v>
      </c>
    </row>
    <row r="275" spans="1:16" x14ac:dyDescent="0.35">
      <c r="A275">
        <v>154</v>
      </c>
      <c r="B275">
        <v>5041</v>
      </c>
      <c r="C275" t="s">
        <v>16</v>
      </c>
      <c r="D275" t="s">
        <v>16</v>
      </c>
      <c r="E275" s="2">
        <v>46092</v>
      </c>
      <c r="F275" s="2">
        <v>46091</v>
      </c>
      <c r="G275" t="s">
        <v>263</v>
      </c>
      <c r="H275">
        <v>41677350</v>
      </c>
      <c r="I275">
        <v>225529850</v>
      </c>
      <c r="J275">
        <v>5500000</v>
      </c>
      <c r="K275">
        <v>11655000</v>
      </c>
      <c r="L275">
        <v>192863000</v>
      </c>
      <c r="M275">
        <f t="shared" si="8"/>
        <v>-2855500</v>
      </c>
      <c r="N275" t="str">
        <f t="shared" si="9"/>
        <v>Sobrante</v>
      </c>
      <c r="O275" t="s">
        <v>270</v>
      </c>
      <c r="P275">
        <v>1013581728</v>
      </c>
    </row>
    <row r="276" spans="1:16" x14ac:dyDescent="0.35">
      <c r="A276">
        <v>852</v>
      </c>
      <c r="B276">
        <v>5050</v>
      </c>
      <c r="C276" t="s">
        <v>16</v>
      </c>
      <c r="D276" t="s">
        <v>16</v>
      </c>
      <c r="E276" s="2">
        <v>46092</v>
      </c>
      <c r="F276" s="2">
        <v>46091</v>
      </c>
      <c r="G276" t="s">
        <v>93</v>
      </c>
      <c r="H276">
        <v>130873350</v>
      </c>
      <c r="I276">
        <v>131543350</v>
      </c>
      <c r="J276">
        <v>5720000</v>
      </c>
      <c r="K276">
        <v>5250000</v>
      </c>
      <c r="L276">
        <v>200000</v>
      </c>
      <c r="M276">
        <f t="shared" si="8"/>
        <v>0</v>
      </c>
      <c r="N276" t="str">
        <f t="shared" si="9"/>
        <v>Cuadrado</v>
      </c>
      <c r="O276" t="s">
        <v>271</v>
      </c>
      <c r="P276">
        <v>1088251245</v>
      </c>
    </row>
    <row r="277" spans="1:16" x14ac:dyDescent="0.35">
      <c r="A277">
        <v>7</v>
      </c>
      <c r="B277">
        <v>5059</v>
      </c>
      <c r="C277" t="s">
        <v>16</v>
      </c>
      <c r="D277" t="s">
        <v>16</v>
      </c>
      <c r="E277" s="2">
        <v>46092</v>
      </c>
      <c r="F277" s="2">
        <v>46091</v>
      </c>
      <c r="G277" t="s">
        <v>67</v>
      </c>
      <c r="H277">
        <v>248127350</v>
      </c>
      <c r="I277">
        <v>244135150</v>
      </c>
      <c r="J277">
        <v>650000</v>
      </c>
      <c r="K277">
        <v>3250000</v>
      </c>
      <c r="L277">
        <v>-1392200</v>
      </c>
      <c r="M277">
        <f t="shared" si="8"/>
        <v>0</v>
      </c>
      <c r="N277" t="str">
        <f t="shared" si="9"/>
        <v>Cuadrado</v>
      </c>
      <c r="O277" t="s">
        <v>272</v>
      </c>
      <c r="P277">
        <v>1020460907</v>
      </c>
    </row>
    <row r="278" spans="1:16" x14ac:dyDescent="0.35">
      <c r="A278">
        <v>333</v>
      </c>
      <c r="B278">
        <v>5076</v>
      </c>
      <c r="C278" t="s">
        <v>16</v>
      </c>
      <c r="D278" t="s">
        <v>16</v>
      </c>
      <c r="E278" s="2">
        <v>46092</v>
      </c>
      <c r="F278" s="2">
        <v>46091</v>
      </c>
      <c r="G278" t="s">
        <v>273</v>
      </c>
      <c r="H278">
        <v>74330550</v>
      </c>
      <c r="I278">
        <v>244405850</v>
      </c>
      <c r="J278">
        <v>9280000</v>
      </c>
      <c r="K278">
        <v>31447000</v>
      </c>
      <c r="L278">
        <v>191211800</v>
      </c>
      <c r="M278">
        <f t="shared" si="8"/>
        <v>1030500</v>
      </c>
      <c r="N278" t="str">
        <f t="shared" si="9"/>
        <v>Faltante</v>
      </c>
      <c r="O278" t="s">
        <v>268</v>
      </c>
      <c r="P278">
        <v>1036606819</v>
      </c>
    </row>
    <row r="279" spans="1:16" x14ac:dyDescent="0.35">
      <c r="A279">
        <v>419</v>
      </c>
      <c r="B279">
        <v>5077</v>
      </c>
      <c r="C279" t="s">
        <v>16</v>
      </c>
      <c r="D279" t="s">
        <v>16</v>
      </c>
      <c r="E279" s="2">
        <v>46092</v>
      </c>
      <c r="F279" s="2">
        <v>46091</v>
      </c>
      <c r="G279" t="s">
        <v>98</v>
      </c>
      <c r="H279">
        <v>197190900</v>
      </c>
      <c r="I279">
        <v>188944900</v>
      </c>
      <c r="J279">
        <v>1500000</v>
      </c>
      <c r="K279">
        <v>350000</v>
      </c>
      <c r="M279">
        <f t="shared" si="8"/>
        <v>-9396000</v>
      </c>
      <c r="N279" t="str">
        <f t="shared" si="9"/>
        <v>Sobrante</v>
      </c>
      <c r="O279" t="s">
        <v>270</v>
      </c>
      <c r="P279">
        <v>79248430</v>
      </c>
    </row>
    <row r="280" spans="1:16" x14ac:dyDescent="0.35">
      <c r="A280">
        <v>523</v>
      </c>
      <c r="B280">
        <v>5082</v>
      </c>
      <c r="C280" t="s">
        <v>16</v>
      </c>
      <c r="D280" t="s">
        <v>16</v>
      </c>
      <c r="E280" s="2">
        <v>46092</v>
      </c>
      <c r="F280" s="2">
        <v>46091</v>
      </c>
      <c r="G280" t="s">
        <v>274</v>
      </c>
      <c r="H280">
        <v>232296900</v>
      </c>
      <c r="I280">
        <v>175309750</v>
      </c>
      <c r="J280">
        <v>3000000</v>
      </c>
      <c r="K280">
        <v>49585950</v>
      </c>
      <c r="L280">
        <v>-10400050</v>
      </c>
      <c r="M280">
        <f t="shared" si="8"/>
        <v>-1150</v>
      </c>
      <c r="N280" t="str">
        <f t="shared" si="9"/>
        <v>Sobrante</v>
      </c>
      <c r="O280" t="s">
        <v>270</v>
      </c>
      <c r="P280">
        <v>1065609766</v>
      </c>
    </row>
    <row r="281" spans="1:16" x14ac:dyDescent="0.35">
      <c r="A281">
        <v>659</v>
      </c>
      <c r="B281">
        <v>5102</v>
      </c>
      <c r="C281" t="s">
        <v>16</v>
      </c>
      <c r="D281" t="s">
        <v>16</v>
      </c>
      <c r="E281" s="2">
        <v>46092</v>
      </c>
      <c r="F281" s="2">
        <v>46091</v>
      </c>
      <c r="G281" t="s">
        <v>257</v>
      </c>
      <c r="H281">
        <v>306329950</v>
      </c>
      <c r="I281">
        <v>304148950</v>
      </c>
      <c r="J281">
        <v>12900000</v>
      </c>
      <c r="K281">
        <v>15015000</v>
      </c>
      <c r="M281">
        <f t="shared" si="8"/>
        <v>-66000</v>
      </c>
      <c r="N281" t="str">
        <f t="shared" si="9"/>
        <v>Sobrante</v>
      </c>
      <c r="O281" t="s">
        <v>270</v>
      </c>
      <c r="P281">
        <v>39575034</v>
      </c>
    </row>
    <row r="282" spans="1:16" x14ac:dyDescent="0.35">
      <c r="A282">
        <v>191</v>
      </c>
      <c r="B282">
        <v>5112</v>
      </c>
      <c r="C282" t="s">
        <v>16</v>
      </c>
      <c r="D282" t="s">
        <v>16</v>
      </c>
      <c r="E282" s="2">
        <v>46092</v>
      </c>
      <c r="F282" s="2">
        <v>46091</v>
      </c>
      <c r="G282" t="s">
        <v>275</v>
      </c>
      <c r="H282">
        <v>241471100</v>
      </c>
      <c r="I282">
        <v>178543950</v>
      </c>
      <c r="J282">
        <v>14660000</v>
      </c>
      <c r="K282">
        <v>77586150</v>
      </c>
      <c r="M282">
        <f t="shared" si="8"/>
        <v>-1000</v>
      </c>
      <c r="N282" t="str">
        <f t="shared" si="9"/>
        <v>Sobrante</v>
      </c>
      <c r="O282" t="s">
        <v>270</v>
      </c>
      <c r="P282">
        <v>80812756</v>
      </c>
    </row>
    <row r="283" spans="1:16" x14ac:dyDescent="0.35">
      <c r="A283">
        <v>789</v>
      </c>
      <c r="B283">
        <v>5118</v>
      </c>
      <c r="C283" t="s">
        <v>16</v>
      </c>
      <c r="D283" t="s">
        <v>16</v>
      </c>
      <c r="E283" s="2">
        <v>46092</v>
      </c>
      <c r="F283" s="2">
        <v>46091</v>
      </c>
      <c r="G283" t="s">
        <v>276</v>
      </c>
      <c r="H283">
        <v>47322000</v>
      </c>
      <c r="I283">
        <v>239926000</v>
      </c>
      <c r="J283">
        <v>4220000</v>
      </c>
      <c r="K283">
        <v>35089000</v>
      </c>
      <c r="L283" t="s">
        <v>277</v>
      </c>
      <c r="M283" t="e">
        <f t="shared" si="8"/>
        <v>#VALUE!</v>
      </c>
      <c r="N283" t="e">
        <f t="shared" si="9"/>
        <v>#VALUE!</v>
      </c>
      <c r="O283" t="s">
        <v>270</v>
      </c>
      <c r="P283">
        <v>1102835683</v>
      </c>
    </row>
    <row r="284" spans="1:16" x14ac:dyDescent="0.35">
      <c r="A284">
        <v>40</v>
      </c>
      <c r="B284">
        <v>5142</v>
      </c>
      <c r="C284" t="s">
        <v>16</v>
      </c>
      <c r="D284" t="s">
        <v>16</v>
      </c>
      <c r="E284" s="2">
        <v>46092</v>
      </c>
      <c r="F284" s="2">
        <v>46091</v>
      </c>
      <c r="G284" t="s">
        <v>150</v>
      </c>
      <c r="H284">
        <v>360066200</v>
      </c>
      <c r="I284">
        <v>372136200</v>
      </c>
      <c r="J284">
        <v>13500000</v>
      </c>
      <c r="K284">
        <v>0</v>
      </c>
      <c r="M284">
        <f t="shared" si="8"/>
        <v>-1430000</v>
      </c>
      <c r="N284" t="str">
        <f t="shared" si="9"/>
        <v>Sobrante</v>
      </c>
      <c r="O284" t="s">
        <v>270</v>
      </c>
      <c r="P284">
        <v>36312040</v>
      </c>
    </row>
    <row r="285" spans="1:16" x14ac:dyDescent="0.35">
      <c r="A285">
        <v>812</v>
      </c>
      <c r="B285">
        <v>5144</v>
      </c>
      <c r="C285" t="s">
        <v>16</v>
      </c>
      <c r="D285" t="s">
        <v>16</v>
      </c>
      <c r="E285" s="2">
        <v>46092</v>
      </c>
      <c r="F285" s="2">
        <v>46091</v>
      </c>
      <c r="G285" t="s">
        <v>21</v>
      </c>
      <c r="H285">
        <v>365382300</v>
      </c>
      <c r="I285">
        <v>268682200</v>
      </c>
      <c r="J285">
        <v>15640000</v>
      </c>
      <c r="K285">
        <v>107739600</v>
      </c>
      <c r="M285">
        <f t="shared" si="8"/>
        <v>-4600500</v>
      </c>
      <c r="N285" t="str">
        <f t="shared" si="9"/>
        <v>Sobrante</v>
      </c>
      <c r="O285" t="s">
        <v>270</v>
      </c>
      <c r="P285">
        <v>31711383</v>
      </c>
    </row>
    <row r="286" spans="1:16" x14ac:dyDescent="0.35">
      <c r="A286">
        <v>358</v>
      </c>
      <c r="B286">
        <v>5149</v>
      </c>
      <c r="C286" t="s">
        <v>16</v>
      </c>
      <c r="D286" t="s">
        <v>16</v>
      </c>
      <c r="E286" s="2">
        <v>46092</v>
      </c>
      <c r="F286" s="2">
        <v>46091</v>
      </c>
      <c r="G286" t="s">
        <v>72</v>
      </c>
      <c r="H286">
        <v>215885950</v>
      </c>
      <c r="I286">
        <v>206727800</v>
      </c>
      <c r="J286">
        <v>15100000</v>
      </c>
      <c r="K286">
        <v>19062150</v>
      </c>
      <c r="M286">
        <f t="shared" si="8"/>
        <v>-5196000</v>
      </c>
      <c r="N286" t="str">
        <f t="shared" si="9"/>
        <v>Sobrante</v>
      </c>
      <c r="O286" t="s">
        <v>270</v>
      </c>
      <c r="P286">
        <v>46456877</v>
      </c>
    </row>
    <row r="287" spans="1:16" x14ac:dyDescent="0.35">
      <c r="A287">
        <v>70</v>
      </c>
      <c r="B287">
        <v>5164</v>
      </c>
      <c r="C287" t="s">
        <v>16</v>
      </c>
      <c r="D287" t="s">
        <v>16</v>
      </c>
      <c r="E287" s="2">
        <v>46092</v>
      </c>
      <c r="F287" s="2">
        <v>46091</v>
      </c>
      <c r="G287" t="s">
        <v>132</v>
      </c>
      <c r="H287">
        <v>263572150</v>
      </c>
      <c r="I287">
        <v>238456500</v>
      </c>
      <c r="J287">
        <v>3570000</v>
      </c>
      <c r="K287">
        <v>30530650</v>
      </c>
      <c r="M287">
        <f t="shared" si="8"/>
        <v>1845000</v>
      </c>
      <c r="N287" t="str">
        <f t="shared" si="9"/>
        <v>Faltante</v>
      </c>
      <c r="O287" t="s">
        <v>33</v>
      </c>
      <c r="P287">
        <v>1053770486</v>
      </c>
    </row>
    <row r="288" spans="1:16" x14ac:dyDescent="0.35">
      <c r="A288">
        <v>363</v>
      </c>
      <c r="B288">
        <v>5168</v>
      </c>
      <c r="C288" t="s">
        <v>16</v>
      </c>
      <c r="D288" t="s">
        <v>16</v>
      </c>
      <c r="E288" s="2">
        <v>46092</v>
      </c>
      <c r="F288" s="2">
        <v>46091</v>
      </c>
      <c r="G288" t="s">
        <v>239</v>
      </c>
      <c r="H288">
        <v>340579350</v>
      </c>
      <c r="I288">
        <v>345006350</v>
      </c>
      <c r="J288">
        <v>9810000</v>
      </c>
      <c r="K288">
        <v>3100000</v>
      </c>
      <c r="M288">
        <f t="shared" si="8"/>
        <v>-2283000</v>
      </c>
      <c r="N288" t="str">
        <f t="shared" si="9"/>
        <v>Sobrante</v>
      </c>
      <c r="O288" t="s">
        <v>270</v>
      </c>
      <c r="P288">
        <v>33646675</v>
      </c>
    </row>
    <row r="289" spans="1:16" x14ac:dyDescent="0.35">
      <c r="A289">
        <v>302</v>
      </c>
      <c r="B289">
        <v>5170</v>
      </c>
      <c r="C289" t="s">
        <v>16</v>
      </c>
      <c r="D289" t="s">
        <v>16</v>
      </c>
      <c r="E289" s="2">
        <v>46092</v>
      </c>
      <c r="F289" s="2">
        <v>46091</v>
      </c>
      <c r="G289" t="s">
        <v>278</v>
      </c>
      <c r="H289">
        <v>99606900</v>
      </c>
      <c r="I289">
        <v>204753100</v>
      </c>
      <c r="J289">
        <v>13120000</v>
      </c>
      <c r="K289">
        <v>31223800</v>
      </c>
      <c r="L289">
        <v>123240000</v>
      </c>
      <c r="M289">
        <f t="shared" si="8"/>
        <v>10000</v>
      </c>
      <c r="N289" t="str">
        <f t="shared" si="9"/>
        <v>Faltante</v>
      </c>
      <c r="O289" t="s">
        <v>268</v>
      </c>
      <c r="P289">
        <v>1102374502</v>
      </c>
    </row>
    <row r="290" spans="1:16" x14ac:dyDescent="0.35">
      <c r="A290">
        <v>253</v>
      </c>
      <c r="B290">
        <v>5176</v>
      </c>
      <c r="C290" t="s">
        <v>16</v>
      </c>
      <c r="D290" t="s">
        <v>16</v>
      </c>
      <c r="E290" s="2">
        <v>46092</v>
      </c>
      <c r="F290" s="2">
        <v>46091</v>
      </c>
      <c r="G290" t="s">
        <v>42</v>
      </c>
      <c r="H290">
        <v>263606750</v>
      </c>
      <c r="I290">
        <v>250669750</v>
      </c>
      <c r="J290">
        <v>7310000</v>
      </c>
      <c r="K290">
        <v>13345000</v>
      </c>
      <c r="M290">
        <f t="shared" si="8"/>
        <v>-6902000</v>
      </c>
      <c r="N290" t="str">
        <f t="shared" si="9"/>
        <v>Sobrante</v>
      </c>
      <c r="O290" t="s">
        <v>270</v>
      </c>
      <c r="P290">
        <v>1017241432</v>
      </c>
    </row>
    <row r="291" spans="1:16" x14ac:dyDescent="0.35">
      <c r="A291">
        <v>716</v>
      </c>
      <c r="B291">
        <v>5192</v>
      </c>
      <c r="C291" t="s">
        <v>16</v>
      </c>
      <c r="D291" t="s">
        <v>16</v>
      </c>
      <c r="E291" s="2">
        <v>46092</v>
      </c>
      <c r="F291" s="2">
        <v>46091</v>
      </c>
      <c r="G291" t="s">
        <v>279</v>
      </c>
      <c r="H291">
        <v>94632700</v>
      </c>
      <c r="I291">
        <v>59457900</v>
      </c>
      <c r="J291">
        <v>17580000</v>
      </c>
      <c r="K291">
        <v>52750000</v>
      </c>
      <c r="M291">
        <f t="shared" si="8"/>
        <v>-4800</v>
      </c>
      <c r="N291" t="str">
        <f t="shared" si="9"/>
        <v>Sobrante</v>
      </c>
      <c r="O291" t="s">
        <v>270</v>
      </c>
      <c r="P291">
        <v>1144081082</v>
      </c>
    </row>
    <row r="292" spans="1:16" x14ac:dyDescent="0.35">
      <c r="A292">
        <v>674</v>
      </c>
      <c r="B292">
        <v>5200</v>
      </c>
      <c r="C292" t="s">
        <v>16</v>
      </c>
      <c r="D292" t="s">
        <v>16</v>
      </c>
      <c r="E292" s="2">
        <v>46092</v>
      </c>
      <c r="F292" s="2">
        <v>46091</v>
      </c>
      <c r="G292" t="s">
        <v>123</v>
      </c>
      <c r="H292">
        <v>140168250</v>
      </c>
      <c r="I292">
        <v>141329250</v>
      </c>
      <c r="J292">
        <v>5780000</v>
      </c>
      <c r="K292">
        <v>7499000</v>
      </c>
      <c r="L292">
        <v>2880000</v>
      </c>
      <c r="M292">
        <f t="shared" si="8"/>
        <v>0</v>
      </c>
      <c r="N292" t="str">
        <f t="shared" si="9"/>
        <v>Cuadrado</v>
      </c>
      <c r="O292" t="s">
        <v>280</v>
      </c>
      <c r="P292">
        <v>79813088</v>
      </c>
    </row>
    <row r="293" spans="1:16" x14ac:dyDescent="0.35">
      <c r="A293">
        <v>606</v>
      </c>
      <c r="B293">
        <v>5201</v>
      </c>
      <c r="C293" t="s">
        <v>16</v>
      </c>
      <c r="D293" t="s">
        <v>16</v>
      </c>
      <c r="E293" s="2">
        <v>46092</v>
      </c>
      <c r="F293" s="2">
        <v>46091</v>
      </c>
      <c r="G293" t="s">
        <v>247</v>
      </c>
      <c r="H293">
        <v>172851050</v>
      </c>
      <c r="I293">
        <v>137350250</v>
      </c>
      <c r="J293">
        <v>8780000</v>
      </c>
      <c r="K293">
        <v>43280800</v>
      </c>
      <c r="M293">
        <f t="shared" si="8"/>
        <v>-1000000</v>
      </c>
      <c r="N293" t="str">
        <f t="shared" si="9"/>
        <v>Sobrante</v>
      </c>
      <c r="O293" t="s">
        <v>270</v>
      </c>
      <c r="P293">
        <v>33368879</v>
      </c>
    </row>
    <row r="294" spans="1:16" x14ac:dyDescent="0.35">
      <c r="A294">
        <v>625</v>
      </c>
      <c r="B294">
        <v>6096</v>
      </c>
      <c r="C294" t="s">
        <v>16</v>
      </c>
      <c r="D294" t="s">
        <v>16</v>
      </c>
      <c r="E294" s="2">
        <v>46092</v>
      </c>
      <c r="F294" s="2">
        <v>46091</v>
      </c>
      <c r="G294" t="s">
        <v>281</v>
      </c>
      <c r="H294">
        <v>159322350</v>
      </c>
      <c r="I294">
        <v>154572350</v>
      </c>
      <c r="J294">
        <v>6390000</v>
      </c>
      <c r="K294">
        <v>680000</v>
      </c>
      <c r="L294">
        <v>-510000</v>
      </c>
      <c r="M294">
        <f t="shared" si="8"/>
        <v>-9950000</v>
      </c>
      <c r="N294" t="str">
        <f t="shared" si="9"/>
        <v>Sobrante</v>
      </c>
      <c r="O294" t="s">
        <v>270</v>
      </c>
      <c r="P294">
        <v>1128427898</v>
      </c>
    </row>
    <row r="295" spans="1:16" x14ac:dyDescent="0.35">
      <c r="A295">
        <v>352</v>
      </c>
      <c r="B295">
        <v>6618</v>
      </c>
      <c r="C295" t="s">
        <v>16</v>
      </c>
      <c r="D295" t="s">
        <v>16</v>
      </c>
      <c r="E295" s="2">
        <v>46092</v>
      </c>
      <c r="F295" s="2">
        <v>46091</v>
      </c>
      <c r="G295" t="s">
        <v>73</v>
      </c>
      <c r="H295">
        <v>112715400</v>
      </c>
      <c r="I295">
        <v>181161000</v>
      </c>
      <c r="J295">
        <v>4520000</v>
      </c>
      <c r="K295">
        <v>27330000</v>
      </c>
      <c r="M295">
        <f t="shared" si="8"/>
        <v>91255600</v>
      </c>
      <c r="N295" t="str">
        <f t="shared" si="9"/>
        <v>Faltante</v>
      </c>
      <c r="O295" t="s">
        <v>33</v>
      </c>
      <c r="P295">
        <v>28559006</v>
      </c>
    </row>
    <row r="296" spans="1:16" x14ac:dyDescent="0.35">
      <c r="A296">
        <v>843</v>
      </c>
      <c r="B296">
        <v>6716</v>
      </c>
      <c r="C296" t="s">
        <v>16</v>
      </c>
      <c r="D296" t="s">
        <v>16</v>
      </c>
      <c r="E296" s="2">
        <v>46092</v>
      </c>
      <c r="F296" s="2">
        <v>46091</v>
      </c>
      <c r="G296" t="s">
        <v>186</v>
      </c>
      <c r="H296">
        <v>147471800</v>
      </c>
      <c r="I296">
        <v>162062800</v>
      </c>
      <c r="J296">
        <v>29630000</v>
      </c>
      <c r="K296">
        <v>7140000</v>
      </c>
      <c r="M296">
        <f t="shared" si="8"/>
        <v>-7899000</v>
      </c>
      <c r="N296" t="str">
        <f t="shared" si="9"/>
        <v>Sobrante</v>
      </c>
      <c r="O296" t="s">
        <v>270</v>
      </c>
      <c r="P296">
        <v>1122728358</v>
      </c>
    </row>
    <row r="297" spans="1:16" x14ac:dyDescent="0.35">
      <c r="A297">
        <v>371</v>
      </c>
      <c r="B297">
        <v>6718</v>
      </c>
      <c r="C297" t="s">
        <v>16</v>
      </c>
      <c r="D297" t="s">
        <v>16</v>
      </c>
      <c r="E297" s="2">
        <v>46092</v>
      </c>
      <c r="F297" s="2">
        <v>46091</v>
      </c>
      <c r="G297" t="s">
        <v>53</v>
      </c>
      <c r="H297">
        <v>387051950</v>
      </c>
      <c r="I297">
        <v>393301950</v>
      </c>
      <c r="J297">
        <v>9950000</v>
      </c>
      <c r="K297">
        <v>0</v>
      </c>
      <c r="M297">
        <f t="shared" si="8"/>
        <v>-3700000</v>
      </c>
      <c r="N297" t="str">
        <f t="shared" si="9"/>
        <v>Sobrante</v>
      </c>
      <c r="O297" t="s">
        <v>270</v>
      </c>
      <c r="P297">
        <v>39279278</v>
      </c>
    </row>
    <row r="298" spans="1:16" x14ac:dyDescent="0.35">
      <c r="A298">
        <v>506</v>
      </c>
      <c r="B298">
        <v>7316</v>
      </c>
      <c r="C298" t="s">
        <v>22</v>
      </c>
      <c r="D298" t="s">
        <v>16</v>
      </c>
      <c r="E298" s="2">
        <v>46092</v>
      </c>
      <c r="F298" s="2">
        <v>46091</v>
      </c>
      <c r="G298" t="s">
        <v>282</v>
      </c>
      <c r="H298">
        <v>206374450</v>
      </c>
      <c r="I298">
        <v>199850050</v>
      </c>
      <c r="J298">
        <v>530000</v>
      </c>
      <c r="K298">
        <v>5128000</v>
      </c>
      <c r="M298">
        <f t="shared" si="8"/>
        <v>-1926400</v>
      </c>
      <c r="N298" t="str">
        <f t="shared" si="9"/>
        <v>Sobrante</v>
      </c>
      <c r="O298" t="s">
        <v>270</v>
      </c>
      <c r="P298">
        <v>1102824257</v>
      </c>
    </row>
    <row r="299" spans="1:16" x14ac:dyDescent="0.35">
      <c r="A299">
        <v>812</v>
      </c>
      <c r="B299">
        <v>7613</v>
      </c>
      <c r="C299" t="s">
        <v>22</v>
      </c>
      <c r="D299" t="s">
        <v>22</v>
      </c>
      <c r="E299" s="2">
        <v>46092</v>
      </c>
      <c r="F299" s="2">
        <v>46091</v>
      </c>
      <c r="G299" t="s">
        <v>283</v>
      </c>
      <c r="H299">
        <v>95478850</v>
      </c>
      <c r="I299">
        <v>91637950</v>
      </c>
      <c r="J299">
        <v>4800000</v>
      </c>
      <c r="K299">
        <v>2675000</v>
      </c>
      <c r="L299">
        <v>-2130900</v>
      </c>
      <c r="M299">
        <f t="shared" si="8"/>
        <v>-3835000</v>
      </c>
      <c r="N299" t="str">
        <f t="shared" si="9"/>
        <v>Sobrante</v>
      </c>
      <c r="O299" t="s">
        <v>270</v>
      </c>
      <c r="P299">
        <v>31711383</v>
      </c>
    </row>
    <row r="300" spans="1:16" x14ac:dyDescent="0.35">
      <c r="A300">
        <v>812</v>
      </c>
      <c r="B300">
        <v>7614</v>
      </c>
      <c r="C300" t="s">
        <v>22</v>
      </c>
      <c r="D300" t="s">
        <v>22</v>
      </c>
      <c r="E300" s="2">
        <v>46092</v>
      </c>
      <c r="F300" s="2">
        <v>46091</v>
      </c>
      <c r="G300" t="s">
        <v>196</v>
      </c>
      <c r="H300">
        <v>193328250</v>
      </c>
      <c r="I300">
        <v>164466200</v>
      </c>
      <c r="J300">
        <v>1740000</v>
      </c>
      <c r="K300">
        <v>28867950</v>
      </c>
      <c r="L300">
        <v>-38100</v>
      </c>
      <c r="M300">
        <f t="shared" si="8"/>
        <v>-1696000</v>
      </c>
      <c r="N300" t="str">
        <f t="shared" si="9"/>
        <v>Sobrante</v>
      </c>
      <c r="O300" t="s">
        <v>270</v>
      </c>
      <c r="P300">
        <v>31711383</v>
      </c>
    </row>
    <row r="301" spans="1:16" x14ac:dyDescent="0.35">
      <c r="A301">
        <v>476</v>
      </c>
      <c r="B301">
        <v>7759</v>
      </c>
      <c r="C301" t="s">
        <v>22</v>
      </c>
      <c r="D301" t="s">
        <v>22</v>
      </c>
      <c r="E301" s="2">
        <v>46092</v>
      </c>
      <c r="F301" s="2">
        <v>46091</v>
      </c>
      <c r="G301" t="s">
        <v>90</v>
      </c>
      <c r="H301">
        <v>76624400</v>
      </c>
      <c r="I301">
        <v>72501050</v>
      </c>
      <c r="J301">
        <v>2460000</v>
      </c>
      <c r="K301">
        <v>6500000</v>
      </c>
      <c r="M301">
        <f t="shared" si="8"/>
        <v>-83350</v>
      </c>
      <c r="N301" t="str">
        <f t="shared" si="9"/>
        <v>Sobrante</v>
      </c>
      <c r="O301" t="s">
        <v>270</v>
      </c>
      <c r="P301">
        <v>1094240170</v>
      </c>
    </row>
    <row r="302" spans="1:16" x14ac:dyDescent="0.35">
      <c r="A302">
        <v>7</v>
      </c>
      <c r="B302">
        <v>7812</v>
      </c>
      <c r="C302" t="s">
        <v>22</v>
      </c>
      <c r="D302" t="s">
        <v>22</v>
      </c>
      <c r="E302" s="2">
        <v>46092</v>
      </c>
      <c r="F302" s="2">
        <v>46091</v>
      </c>
      <c r="G302" t="s">
        <v>284</v>
      </c>
      <c r="H302">
        <v>72975250</v>
      </c>
      <c r="I302">
        <v>73365250</v>
      </c>
      <c r="J302">
        <v>4230000</v>
      </c>
      <c r="K302">
        <v>4450000</v>
      </c>
      <c r="M302">
        <f t="shared" si="8"/>
        <v>610000</v>
      </c>
      <c r="N302" t="str">
        <f t="shared" si="9"/>
        <v>Faltante</v>
      </c>
      <c r="O302" t="s">
        <v>33</v>
      </c>
      <c r="P302">
        <v>1020460907</v>
      </c>
    </row>
    <row r="303" spans="1:16" x14ac:dyDescent="0.35">
      <c r="A303">
        <v>609</v>
      </c>
      <c r="B303">
        <v>7875</v>
      </c>
      <c r="C303" t="s">
        <v>16</v>
      </c>
      <c r="D303" t="s">
        <v>16</v>
      </c>
      <c r="E303" s="2">
        <v>46092</v>
      </c>
      <c r="F303" s="2">
        <v>46091</v>
      </c>
      <c r="G303" t="s">
        <v>285</v>
      </c>
      <c r="H303">
        <v>215782650</v>
      </c>
      <c r="I303">
        <v>219490650</v>
      </c>
      <c r="J303">
        <v>48340000</v>
      </c>
      <c r="K303">
        <v>39588000</v>
      </c>
      <c r="M303">
        <f t="shared" si="8"/>
        <v>-5044000</v>
      </c>
      <c r="N303" t="str">
        <f t="shared" si="9"/>
        <v>Sobrante</v>
      </c>
      <c r="O303" t="s">
        <v>270</v>
      </c>
      <c r="P303">
        <v>98695047</v>
      </c>
    </row>
    <row r="304" spans="1:16" x14ac:dyDescent="0.35">
      <c r="A304">
        <v>609</v>
      </c>
      <c r="B304">
        <v>7888</v>
      </c>
      <c r="C304" t="s">
        <v>16</v>
      </c>
      <c r="D304" t="s">
        <v>16</v>
      </c>
      <c r="E304" s="2">
        <v>46092</v>
      </c>
      <c r="F304" s="2">
        <v>46091</v>
      </c>
      <c r="G304" t="s">
        <v>39</v>
      </c>
      <c r="H304">
        <v>175042400</v>
      </c>
      <c r="I304">
        <v>154832050</v>
      </c>
      <c r="J304">
        <v>19020000</v>
      </c>
      <c r="K304">
        <v>14932000</v>
      </c>
      <c r="M304">
        <f t="shared" si="8"/>
        <v>-24298350</v>
      </c>
      <c r="N304" t="str">
        <f t="shared" si="9"/>
        <v>Sobrante</v>
      </c>
      <c r="O304" t="s">
        <v>270</v>
      </c>
      <c r="P304">
        <v>98695047</v>
      </c>
    </row>
    <row r="305" spans="1:16" x14ac:dyDescent="0.35">
      <c r="A305">
        <v>166</v>
      </c>
      <c r="B305">
        <v>7939</v>
      </c>
      <c r="C305" t="s">
        <v>16</v>
      </c>
      <c r="D305" t="s">
        <v>16</v>
      </c>
      <c r="E305" s="2">
        <v>46092</v>
      </c>
      <c r="F305" s="2">
        <v>46091</v>
      </c>
      <c r="G305" t="s">
        <v>286</v>
      </c>
      <c r="H305">
        <v>244849450</v>
      </c>
      <c r="I305">
        <v>204451100</v>
      </c>
      <c r="J305">
        <v>1340000</v>
      </c>
      <c r="K305">
        <v>38538350</v>
      </c>
      <c r="M305">
        <f t="shared" si="8"/>
        <v>-3200000</v>
      </c>
      <c r="N305" t="str">
        <f t="shared" si="9"/>
        <v>Sobrante</v>
      </c>
      <c r="O305" t="s">
        <v>270</v>
      </c>
      <c r="P305">
        <v>50938822</v>
      </c>
    </row>
    <row r="306" spans="1:16" x14ac:dyDescent="0.35">
      <c r="A306">
        <v>166</v>
      </c>
      <c r="B306">
        <v>7940</v>
      </c>
      <c r="C306" t="s">
        <v>16</v>
      </c>
      <c r="D306" t="s">
        <v>16</v>
      </c>
      <c r="E306" s="2">
        <v>46092</v>
      </c>
      <c r="F306" s="2">
        <v>46091</v>
      </c>
      <c r="G306" t="s">
        <v>132</v>
      </c>
      <c r="H306">
        <v>109275800</v>
      </c>
      <c r="I306">
        <v>67160850</v>
      </c>
      <c r="J306">
        <v>3840000</v>
      </c>
      <c r="K306">
        <v>46594900</v>
      </c>
      <c r="L306">
        <v>639950</v>
      </c>
      <c r="M306">
        <f t="shared" si="8"/>
        <v>0</v>
      </c>
      <c r="N306" t="str">
        <f t="shared" si="9"/>
        <v>Cuadrado</v>
      </c>
      <c r="O306" t="s">
        <v>287</v>
      </c>
      <c r="P306">
        <v>50938822</v>
      </c>
    </row>
    <row r="307" spans="1:16" x14ac:dyDescent="0.35">
      <c r="A307">
        <v>419</v>
      </c>
      <c r="B307">
        <v>7980</v>
      </c>
      <c r="C307" t="s">
        <v>16</v>
      </c>
      <c r="D307" t="s">
        <v>16</v>
      </c>
      <c r="E307" s="2">
        <v>46092</v>
      </c>
      <c r="F307" s="2">
        <v>46091</v>
      </c>
      <c r="G307" t="s">
        <v>77</v>
      </c>
      <c r="H307">
        <v>112468200</v>
      </c>
      <c r="I307">
        <v>106558200</v>
      </c>
      <c r="J307">
        <v>3960000</v>
      </c>
      <c r="K307">
        <v>8520000</v>
      </c>
      <c r="M307">
        <f t="shared" si="8"/>
        <v>-1350000</v>
      </c>
      <c r="N307" t="str">
        <f t="shared" si="9"/>
        <v>Sobrante</v>
      </c>
      <c r="O307" t="s">
        <v>270</v>
      </c>
      <c r="P307">
        <v>79248430</v>
      </c>
    </row>
    <row r="308" spans="1:16" x14ac:dyDescent="0.35">
      <c r="A308">
        <v>810</v>
      </c>
      <c r="B308">
        <v>8204</v>
      </c>
      <c r="C308" t="s">
        <v>16</v>
      </c>
      <c r="D308" t="s">
        <v>16</v>
      </c>
      <c r="E308" s="2">
        <v>46092</v>
      </c>
      <c r="F308" s="2">
        <v>46091</v>
      </c>
      <c r="G308" t="s">
        <v>288</v>
      </c>
      <c r="H308">
        <v>239025150</v>
      </c>
      <c r="I308">
        <v>197021350</v>
      </c>
      <c r="J308">
        <v>2060000</v>
      </c>
      <c r="K308">
        <v>43083800</v>
      </c>
      <c r="L308">
        <v>-980000</v>
      </c>
      <c r="M308">
        <f t="shared" si="8"/>
        <v>0</v>
      </c>
      <c r="N308" t="str">
        <f t="shared" si="9"/>
        <v>Cuadrado</v>
      </c>
      <c r="O308" t="s">
        <v>20</v>
      </c>
      <c r="P308">
        <v>29682644</v>
      </c>
    </row>
    <row r="309" spans="1:16" x14ac:dyDescent="0.35">
      <c r="A309">
        <v>915</v>
      </c>
      <c r="B309">
        <v>8314</v>
      </c>
      <c r="C309" t="s">
        <v>16</v>
      </c>
      <c r="D309" t="s">
        <v>16</v>
      </c>
      <c r="E309" s="2">
        <v>46092</v>
      </c>
      <c r="F309" s="2">
        <v>46091</v>
      </c>
      <c r="G309" t="s">
        <v>289</v>
      </c>
      <c r="H309">
        <v>97882500</v>
      </c>
      <c r="I309">
        <v>83281000</v>
      </c>
      <c r="J309">
        <v>2260000</v>
      </c>
      <c r="K309">
        <v>16894000</v>
      </c>
      <c r="M309">
        <f t="shared" si="8"/>
        <v>32500</v>
      </c>
      <c r="N309" t="str">
        <f t="shared" si="9"/>
        <v>Faltante</v>
      </c>
      <c r="O309" t="s">
        <v>268</v>
      </c>
      <c r="P309">
        <v>52279779</v>
      </c>
    </row>
    <row r="310" spans="1:16" x14ac:dyDescent="0.35">
      <c r="A310">
        <v>495</v>
      </c>
      <c r="B310">
        <v>8482</v>
      </c>
      <c r="C310" t="s">
        <v>16</v>
      </c>
      <c r="D310" t="s">
        <v>16</v>
      </c>
      <c r="E310" s="2">
        <v>46092</v>
      </c>
      <c r="F310" s="2">
        <v>46091</v>
      </c>
      <c r="G310" t="s">
        <v>51</v>
      </c>
      <c r="H310">
        <v>242178600</v>
      </c>
      <c r="I310">
        <v>219369600</v>
      </c>
      <c r="J310">
        <v>4000000</v>
      </c>
      <c r="K310">
        <v>27241000</v>
      </c>
      <c r="L310">
        <v>452000</v>
      </c>
      <c r="M310">
        <f t="shared" si="8"/>
        <v>-20000</v>
      </c>
      <c r="N310" t="str">
        <f t="shared" si="9"/>
        <v>Sobrante</v>
      </c>
      <c r="O310" t="s">
        <v>270</v>
      </c>
      <c r="P310">
        <v>1052081923</v>
      </c>
    </row>
    <row r="311" spans="1:16" x14ac:dyDescent="0.35">
      <c r="A311">
        <v>193</v>
      </c>
      <c r="B311">
        <v>8537</v>
      </c>
      <c r="C311" t="s">
        <v>16</v>
      </c>
      <c r="D311" t="s">
        <v>16</v>
      </c>
      <c r="E311" s="2">
        <v>46092</v>
      </c>
      <c r="F311" s="2">
        <v>46091</v>
      </c>
      <c r="G311" t="s">
        <v>290</v>
      </c>
      <c r="H311">
        <v>229716950</v>
      </c>
      <c r="I311">
        <v>216614950</v>
      </c>
      <c r="J311">
        <v>5650000</v>
      </c>
      <c r="K311">
        <v>18771250</v>
      </c>
      <c r="M311">
        <f t="shared" si="8"/>
        <v>19250</v>
      </c>
      <c r="N311" t="str">
        <f t="shared" si="9"/>
        <v>Faltante</v>
      </c>
      <c r="O311" t="s">
        <v>268</v>
      </c>
      <c r="P311">
        <v>52048601</v>
      </c>
    </row>
    <row r="312" spans="1:16" x14ac:dyDescent="0.35">
      <c r="A312">
        <v>33</v>
      </c>
      <c r="B312">
        <v>8861</v>
      </c>
      <c r="C312" t="s">
        <v>16</v>
      </c>
      <c r="D312" t="s">
        <v>16</v>
      </c>
      <c r="E312" s="2">
        <v>46092</v>
      </c>
      <c r="F312" s="2">
        <v>46091</v>
      </c>
      <c r="G312" t="s">
        <v>194</v>
      </c>
      <c r="H312">
        <v>282990000</v>
      </c>
      <c r="I312">
        <v>263685000</v>
      </c>
      <c r="J312">
        <v>7040000</v>
      </c>
      <c r="K312">
        <v>0</v>
      </c>
      <c r="M312">
        <f t="shared" si="8"/>
        <v>-26345000</v>
      </c>
      <c r="N312" t="str">
        <f t="shared" si="9"/>
        <v>Sobrante</v>
      </c>
      <c r="O312" t="s">
        <v>270</v>
      </c>
      <c r="P312">
        <v>79659379</v>
      </c>
    </row>
    <row r="313" spans="1:16" x14ac:dyDescent="0.35">
      <c r="A313">
        <v>225</v>
      </c>
      <c r="B313">
        <v>8869</v>
      </c>
      <c r="C313" t="s">
        <v>16</v>
      </c>
      <c r="D313" t="s">
        <v>16</v>
      </c>
      <c r="E313" s="2">
        <v>46092</v>
      </c>
      <c r="F313" s="2">
        <v>46091</v>
      </c>
      <c r="G313" t="s">
        <v>49</v>
      </c>
      <c r="H313">
        <v>190294450</v>
      </c>
      <c r="I313">
        <v>336681450</v>
      </c>
      <c r="J313">
        <v>14350000</v>
      </c>
      <c r="K313">
        <v>49502000</v>
      </c>
      <c r="L313" t="s">
        <v>291</v>
      </c>
      <c r="M313" t="e">
        <f t="shared" si="8"/>
        <v>#VALUE!</v>
      </c>
      <c r="N313" t="e">
        <f t="shared" si="9"/>
        <v>#VALUE!</v>
      </c>
      <c r="O313" t="s">
        <v>20</v>
      </c>
      <c r="P313">
        <v>80212698</v>
      </c>
    </row>
    <row r="314" spans="1:16" x14ac:dyDescent="0.35">
      <c r="A314">
        <v>721</v>
      </c>
      <c r="B314">
        <v>8896</v>
      </c>
      <c r="C314" t="s">
        <v>16</v>
      </c>
      <c r="D314" t="s">
        <v>16</v>
      </c>
      <c r="E314" s="2">
        <v>46092</v>
      </c>
      <c r="F314" s="2">
        <v>46091</v>
      </c>
      <c r="G314" t="s">
        <v>201</v>
      </c>
      <c r="H314">
        <v>145619900</v>
      </c>
      <c r="I314">
        <v>109303300</v>
      </c>
      <c r="J314">
        <v>9170000</v>
      </c>
      <c r="K314">
        <v>42120300</v>
      </c>
      <c r="M314">
        <f t="shared" si="8"/>
        <v>-3366300</v>
      </c>
      <c r="N314" t="str">
        <f t="shared" si="9"/>
        <v>Sobrante</v>
      </c>
      <c r="O314" t="s">
        <v>270</v>
      </c>
      <c r="P314">
        <v>1088262262</v>
      </c>
    </row>
    <row r="315" spans="1:16" x14ac:dyDescent="0.35">
      <c r="A315">
        <v>721</v>
      </c>
      <c r="B315">
        <v>8897</v>
      </c>
      <c r="C315" t="s">
        <v>22</v>
      </c>
      <c r="D315" t="s">
        <v>22</v>
      </c>
      <c r="E315" s="2">
        <v>46092</v>
      </c>
      <c r="F315" s="2">
        <v>46091</v>
      </c>
      <c r="G315" t="s">
        <v>292</v>
      </c>
      <c r="H315">
        <v>281783800</v>
      </c>
      <c r="I315">
        <v>269926100</v>
      </c>
      <c r="J315">
        <v>4790000</v>
      </c>
      <c r="K315">
        <v>16833100</v>
      </c>
      <c r="M315">
        <f t="shared" si="8"/>
        <v>185400</v>
      </c>
      <c r="N315" t="str">
        <f t="shared" si="9"/>
        <v>Faltante</v>
      </c>
      <c r="O315" t="s">
        <v>33</v>
      </c>
      <c r="P315">
        <v>1088262262</v>
      </c>
    </row>
    <row r="316" spans="1:16" x14ac:dyDescent="0.35">
      <c r="A316">
        <v>890</v>
      </c>
      <c r="B316">
        <v>9584</v>
      </c>
      <c r="C316" t="s">
        <v>16</v>
      </c>
      <c r="D316" t="s">
        <v>16</v>
      </c>
      <c r="E316" s="2">
        <v>46092</v>
      </c>
      <c r="F316" s="2">
        <v>46091</v>
      </c>
      <c r="G316" t="s">
        <v>293</v>
      </c>
      <c r="H316">
        <v>57023150</v>
      </c>
      <c r="I316">
        <v>50063150</v>
      </c>
      <c r="J316">
        <v>0</v>
      </c>
      <c r="K316">
        <v>0</v>
      </c>
      <c r="L316">
        <v>-6960000</v>
      </c>
      <c r="M316">
        <f t="shared" si="8"/>
        <v>0</v>
      </c>
      <c r="N316" t="str">
        <f t="shared" si="9"/>
        <v>Cuadrado</v>
      </c>
      <c r="O316" t="s">
        <v>20</v>
      </c>
      <c r="P316">
        <v>1053835867</v>
      </c>
    </row>
    <row r="317" spans="1:16" x14ac:dyDescent="0.35">
      <c r="A317">
        <v>229</v>
      </c>
      <c r="B317">
        <v>9604</v>
      </c>
      <c r="C317" t="s">
        <v>16</v>
      </c>
      <c r="D317" t="s">
        <v>16</v>
      </c>
      <c r="E317" s="2">
        <v>46092</v>
      </c>
      <c r="F317" s="2">
        <v>46091</v>
      </c>
      <c r="G317" t="s">
        <v>279</v>
      </c>
      <c r="H317">
        <v>185072000</v>
      </c>
      <c r="I317">
        <v>177817050</v>
      </c>
      <c r="J317">
        <v>9210000</v>
      </c>
      <c r="K317">
        <v>16810000</v>
      </c>
      <c r="L317">
        <v>345050</v>
      </c>
      <c r="M317">
        <f t="shared" si="8"/>
        <v>0</v>
      </c>
      <c r="N317" t="str">
        <f t="shared" si="9"/>
        <v>Cuadrado</v>
      </c>
      <c r="O317" t="s">
        <v>294</v>
      </c>
      <c r="P317">
        <v>79653318</v>
      </c>
    </row>
    <row r="318" spans="1:16" x14ac:dyDescent="0.35">
      <c r="A318">
        <v>229</v>
      </c>
      <c r="B318">
        <v>9605</v>
      </c>
      <c r="C318" t="s">
        <v>16</v>
      </c>
      <c r="D318" t="s">
        <v>16</v>
      </c>
      <c r="E318" s="2">
        <v>46092</v>
      </c>
      <c r="F318" s="2">
        <v>46091</v>
      </c>
      <c r="G318" t="s">
        <v>295</v>
      </c>
      <c r="H318">
        <v>182128200</v>
      </c>
      <c r="I318">
        <v>138128200</v>
      </c>
      <c r="J318">
        <v>14820000</v>
      </c>
      <c r="K318">
        <v>1810000</v>
      </c>
      <c r="M318">
        <f t="shared" si="8"/>
        <v>-57010000</v>
      </c>
      <c r="N318" t="str">
        <f t="shared" si="9"/>
        <v>Sobrante</v>
      </c>
      <c r="O318" t="s">
        <v>33</v>
      </c>
      <c r="P318">
        <v>79653318</v>
      </c>
    </row>
    <row r="319" spans="1:16" x14ac:dyDescent="0.35">
      <c r="A319">
        <v>849</v>
      </c>
      <c r="B319">
        <v>9724</v>
      </c>
      <c r="C319" t="s">
        <v>16</v>
      </c>
      <c r="D319" t="s">
        <v>16</v>
      </c>
      <c r="E319" s="2">
        <v>46092</v>
      </c>
      <c r="F319" s="2">
        <v>46091</v>
      </c>
      <c r="G319" t="s">
        <v>56</v>
      </c>
      <c r="H319">
        <v>31837750</v>
      </c>
      <c r="I319">
        <v>233606750</v>
      </c>
      <c r="J319">
        <v>9030000</v>
      </c>
      <c r="K319">
        <v>14470000</v>
      </c>
      <c r="L319">
        <v>207209000</v>
      </c>
      <c r="M319">
        <f t="shared" si="8"/>
        <v>0</v>
      </c>
      <c r="N319" t="str">
        <f t="shared" si="9"/>
        <v>Cuadrado</v>
      </c>
      <c r="O319" t="s">
        <v>20</v>
      </c>
      <c r="P319">
        <v>86063461</v>
      </c>
    </row>
    <row r="320" spans="1:16" x14ac:dyDescent="0.35">
      <c r="A320">
        <v>849</v>
      </c>
      <c r="B320">
        <v>9725</v>
      </c>
      <c r="C320" t="s">
        <v>16</v>
      </c>
      <c r="D320" t="s">
        <v>16</v>
      </c>
      <c r="E320" s="2">
        <v>46092</v>
      </c>
      <c r="F320" s="2">
        <v>46091</v>
      </c>
      <c r="G320" t="s">
        <v>265</v>
      </c>
      <c r="H320">
        <v>31231000</v>
      </c>
      <c r="I320">
        <v>196933000</v>
      </c>
      <c r="J320">
        <v>7090000</v>
      </c>
      <c r="K320">
        <v>16247000</v>
      </c>
      <c r="L320">
        <v>174859000</v>
      </c>
      <c r="M320">
        <f t="shared" si="8"/>
        <v>0</v>
      </c>
      <c r="N320" t="str">
        <f t="shared" si="9"/>
        <v>Cuadrado</v>
      </c>
      <c r="O320" t="s">
        <v>20</v>
      </c>
      <c r="P320">
        <v>86063461</v>
      </c>
    </row>
    <row r="321" spans="1:16" x14ac:dyDescent="0.35">
      <c r="A321">
        <v>499</v>
      </c>
      <c r="B321">
        <v>9811</v>
      </c>
      <c r="C321" t="s">
        <v>16</v>
      </c>
      <c r="D321" t="s">
        <v>16</v>
      </c>
      <c r="E321" s="2">
        <v>46092</v>
      </c>
      <c r="F321" s="2">
        <v>46091</v>
      </c>
      <c r="G321" t="s">
        <v>296</v>
      </c>
      <c r="H321">
        <v>114936100</v>
      </c>
      <c r="I321">
        <v>155994400</v>
      </c>
      <c r="J321">
        <v>0</v>
      </c>
      <c r="K321">
        <v>7870000</v>
      </c>
      <c r="M321">
        <f t="shared" si="8"/>
        <v>48928300</v>
      </c>
      <c r="N321" t="str">
        <f t="shared" si="9"/>
        <v>Faltante</v>
      </c>
      <c r="O321" t="s">
        <v>297</v>
      </c>
      <c r="P321">
        <v>71337474</v>
      </c>
    </row>
    <row r="322" spans="1:16" x14ac:dyDescent="0.35">
      <c r="A322">
        <v>264</v>
      </c>
      <c r="B322">
        <v>9906</v>
      </c>
      <c r="C322" t="s">
        <v>16</v>
      </c>
      <c r="D322" t="s">
        <v>16</v>
      </c>
      <c r="E322" s="2">
        <v>46092</v>
      </c>
      <c r="F322" s="2">
        <v>46091</v>
      </c>
      <c r="G322" t="s">
        <v>260</v>
      </c>
      <c r="H322">
        <v>74860000</v>
      </c>
      <c r="I322">
        <v>77325700</v>
      </c>
      <c r="J322">
        <v>7900000</v>
      </c>
      <c r="K322">
        <v>5421000</v>
      </c>
      <c r="M322">
        <f t="shared" ref="M322:M385" si="10">I322-(H322+J322-K322)- L322</f>
        <v>-13300</v>
      </c>
      <c r="N322" t="str">
        <f t="shared" ref="N322:N385" si="11">IF(M322=0,"Cuadrado",IF(M322&gt;0,"Faltante","Sobrante"))</f>
        <v>Sobrante</v>
      </c>
      <c r="O322" t="s">
        <v>270</v>
      </c>
      <c r="P322">
        <v>1069722520</v>
      </c>
    </row>
    <row r="323" spans="1:16" x14ac:dyDescent="0.35">
      <c r="A323">
        <v>61</v>
      </c>
      <c r="B323">
        <v>788</v>
      </c>
      <c r="C323" t="s">
        <v>16</v>
      </c>
      <c r="D323" t="s">
        <v>16</v>
      </c>
      <c r="E323" s="2">
        <v>46092</v>
      </c>
      <c r="F323" s="2">
        <v>46091</v>
      </c>
      <c r="G323" t="s">
        <v>298</v>
      </c>
      <c r="H323">
        <v>135628750</v>
      </c>
      <c r="I323">
        <v>127320750</v>
      </c>
      <c r="J323">
        <v>31040000</v>
      </c>
      <c r="K323">
        <v>39348000</v>
      </c>
      <c r="M323">
        <f t="shared" si="10"/>
        <v>0</v>
      </c>
      <c r="N323" t="str">
        <f t="shared" si="11"/>
        <v>Cuadrado</v>
      </c>
      <c r="O323" t="s">
        <v>20</v>
      </c>
      <c r="P323">
        <v>16497924</v>
      </c>
    </row>
    <row r="324" spans="1:16" x14ac:dyDescent="0.35">
      <c r="A324">
        <v>277</v>
      </c>
      <c r="B324">
        <v>5021</v>
      </c>
      <c r="C324" t="s">
        <v>16</v>
      </c>
      <c r="D324" t="s">
        <v>16</v>
      </c>
      <c r="E324" s="2">
        <v>46092</v>
      </c>
      <c r="F324" s="2">
        <v>46091</v>
      </c>
      <c r="G324" t="s">
        <v>299</v>
      </c>
      <c r="H324">
        <v>201270350</v>
      </c>
      <c r="I324">
        <v>211422350</v>
      </c>
      <c r="J324">
        <v>11030000</v>
      </c>
      <c r="K324">
        <v>878000</v>
      </c>
      <c r="L324">
        <v>0</v>
      </c>
      <c r="M324">
        <f t="shared" si="10"/>
        <v>0</v>
      </c>
      <c r="N324" t="str">
        <f t="shared" si="11"/>
        <v>Cuadrado</v>
      </c>
      <c r="O324" t="s">
        <v>300</v>
      </c>
      <c r="P324">
        <v>32184677</v>
      </c>
    </row>
    <row r="325" spans="1:16" x14ac:dyDescent="0.35">
      <c r="A325">
        <v>511</v>
      </c>
      <c r="B325">
        <v>5122</v>
      </c>
      <c r="C325" t="s">
        <v>16</v>
      </c>
      <c r="D325" t="s">
        <v>16</v>
      </c>
      <c r="E325" s="2">
        <v>46092</v>
      </c>
      <c r="F325" s="2">
        <v>46091</v>
      </c>
      <c r="G325" t="s">
        <v>301</v>
      </c>
      <c r="H325">
        <v>281279000</v>
      </c>
      <c r="I325">
        <v>281279000</v>
      </c>
      <c r="J325">
        <v>0</v>
      </c>
      <c r="K325">
        <v>0</v>
      </c>
      <c r="M325">
        <f t="shared" si="10"/>
        <v>0</v>
      </c>
      <c r="N325" t="str">
        <f t="shared" si="11"/>
        <v>Cuadrado</v>
      </c>
      <c r="O325" t="s">
        <v>20</v>
      </c>
      <c r="P325">
        <v>1152438348</v>
      </c>
    </row>
    <row r="326" spans="1:16" x14ac:dyDescent="0.35">
      <c r="A326">
        <v>300</v>
      </c>
      <c r="B326">
        <v>5139</v>
      </c>
      <c r="C326" t="s">
        <v>16</v>
      </c>
      <c r="D326" t="s">
        <v>16</v>
      </c>
      <c r="E326" s="2">
        <v>46092</v>
      </c>
      <c r="F326" s="2">
        <v>46091</v>
      </c>
      <c r="G326" t="s">
        <v>49</v>
      </c>
      <c r="H326">
        <v>152779650</v>
      </c>
      <c r="I326">
        <v>140756650</v>
      </c>
      <c r="J326">
        <v>25720000</v>
      </c>
      <c r="K326">
        <v>37743000</v>
      </c>
      <c r="M326">
        <f t="shared" si="10"/>
        <v>0</v>
      </c>
      <c r="N326" t="str">
        <f t="shared" si="11"/>
        <v>Cuadrado</v>
      </c>
      <c r="O326" t="s">
        <v>20</v>
      </c>
      <c r="P326">
        <v>53097567</v>
      </c>
    </row>
    <row r="327" spans="1:16" x14ac:dyDescent="0.35">
      <c r="A327">
        <v>888</v>
      </c>
      <c r="B327">
        <v>6818</v>
      </c>
      <c r="C327" t="s">
        <v>16</v>
      </c>
      <c r="D327" t="s">
        <v>16</v>
      </c>
      <c r="E327" s="2">
        <v>46092</v>
      </c>
      <c r="F327" s="2">
        <v>46091</v>
      </c>
      <c r="G327" t="s">
        <v>302</v>
      </c>
      <c r="H327">
        <v>218620200</v>
      </c>
      <c r="I327">
        <v>227790200</v>
      </c>
      <c r="J327">
        <v>9170000</v>
      </c>
      <c r="K327">
        <v>0</v>
      </c>
      <c r="M327">
        <f t="shared" si="10"/>
        <v>0</v>
      </c>
      <c r="N327" t="str">
        <f t="shared" si="11"/>
        <v>Cuadrado</v>
      </c>
      <c r="O327" t="s">
        <v>20</v>
      </c>
      <c r="P327">
        <v>1085921765</v>
      </c>
    </row>
    <row r="328" spans="1:16" x14ac:dyDescent="0.35">
      <c r="A328">
        <v>651</v>
      </c>
      <c r="B328">
        <v>7318</v>
      </c>
      <c r="C328" t="s">
        <v>22</v>
      </c>
      <c r="D328" t="s">
        <v>16</v>
      </c>
      <c r="E328" s="2">
        <v>46092</v>
      </c>
      <c r="F328" s="2">
        <v>46091</v>
      </c>
      <c r="G328" t="s">
        <v>303</v>
      </c>
      <c r="H328">
        <v>145784350</v>
      </c>
      <c r="I328">
        <v>138463000</v>
      </c>
      <c r="J328">
        <v>7150000</v>
      </c>
      <c r="K328">
        <v>14471350</v>
      </c>
      <c r="L328">
        <v>0</v>
      </c>
      <c r="M328">
        <f t="shared" si="10"/>
        <v>0</v>
      </c>
      <c r="N328" t="str">
        <f t="shared" si="11"/>
        <v>Cuadrado</v>
      </c>
      <c r="O328" t="s">
        <v>304</v>
      </c>
      <c r="P328">
        <v>70136398</v>
      </c>
    </row>
    <row r="329" spans="1:16" x14ac:dyDescent="0.35">
      <c r="A329">
        <v>287</v>
      </c>
      <c r="B329">
        <v>907</v>
      </c>
      <c r="C329" t="s">
        <v>22</v>
      </c>
      <c r="D329" t="s">
        <v>22</v>
      </c>
      <c r="E329" s="2">
        <v>46093</v>
      </c>
      <c r="F329" s="2">
        <v>46092</v>
      </c>
      <c r="G329" t="s">
        <v>60</v>
      </c>
      <c r="H329">
        <v>166877150</v>
      </c>
      <c r="I329">
        <v>156296250</v>
      </c>
      <c r="J329">
        <v>19840000</v>
      </c>
      <c r="K329">
        <v>23116000</v>
      </c>
      <c r="M329">
        <f t="shared" si="10"/>
        <v>-7304900</v>
      </c>
      <c r="N329" t="str">
        <f t="shared" si="11"/>
        <v>Sobrante</v>
      </c>
      <c r="O329" t="s">
        <v>305</v>
      </c>
      <c r="P329">
        <v>13566403</v>
      </c>
    </row>
    <row r="330" spans="1:16" x14ac:dyDescent="0.35">
      <c r="A330">
        <v>481</v>
      </c>
      <c r="B330">
        <v>1011</v>
      </c>
      <c r="C330" t="s">
        <v>16</v>
      </c>
      <c r="D330" t="s">
        <v>16</v>
      </c>
      <c r="E330" s="2">
        <v>46093</v>
      </c>
      <c r="F330" s="2">
        <v>46092</v>
      </c>
      <c r="G330" t="s">
        <v>284</v>
      </c>
      <c r="H330">
        <v>294327300</v>
      </c>
      <c r="I330">
        <v>277987300</v>
      </c>
      <c r="J330">
        <v>3520000</v>
      </c>
      <c r="K330">
        <v>11080000</v>
      </c>
      <c r="M330">
        <f t="shared" si="10"/>
        <v>-8780000</v>
      </c>
      <c r="N330" t="str">
        <f t="shared" si="11"/>
        <v>Sobrante</v>
      </c>
      <c r="O330" t="s">
        <v>306</v>
      </c>
      <c r="P330">
        <v>1143439387</v>
      </c>
    </row>
    <row r="331" spans="1:16" x14ac:dyDescent="0.35">
      <c r="A331">
        <v>795</v>
      </c>
      <c r="B331">
        <v>1027</v>
      </c>
      <c r="C331" t="s">
        <v>16</v>
      </c>
      <c r="D331" t="s">
        <v>16</v>
      </c>
      <c r="E331" s="2">
        <v>46093</v>
      </c>
      <c r="F331" s="2">
        <v>46092</v>
      </c>
      <c r="G331" t="s">
        <v>307</v>
      </c>
      <c r="H331">
        <v>240081000</v>
      </c>
      <c r="I331">
        <v>240733000</v>
      </c>
      <c r="J331">
        <v>5760000</v>
      </c>
      <c r="K331">
        <v>5100000</v>
      </c>
      <c r="M331">
        <f t="shared" si="10"/>
        <v>-8000</v>
      </c>
      <c r="N331" t="str">
        <f t="shared" si="11"/>
        <v>Sobrante</v>
      </c>
      <c r="O331" t="s">
        <v>306</v>
      </c>
      <c r="P331">
        <v>91274094</v>
      </c>
    </row>
    <row r="332" spans="1:16" x14ac:dyDescent="0.35">
      <c r="A332">
        <v>795</v>
      </c>
      <c r="B332">
        <v>1028</v>
      </c>
      <c r="C332" t="s">
        <v>16</v>
      </c>
      <c r="D332" t="s">
        <v>16</v>
      </c>
      <c r="E332" s="2">
        <v>46093</v>
      </c>
      <c r="F332" s="2">
        <v>46092</v>
      </c>
      <c r="G332" t="s">
        <v>308</v>
      </c>
      <c r="H332">
        <v>191401850</v>
      </c>
      <c r="I332">
        <v>183691850</v>
      </c>
      <c r="J332">
        <v>500000</v>
      </c>
      <c r="K332">
        <v>1906000</v>
      </c>
      <c r="M332">
        <f t="shared" si="10"/>
        <v>-6304000</v>
      </c>
      <c r="N332" t="str">
        <f t="shared" si="11"/>
        <v>Sobrante</v>
      </c>
      <c r="O332" t="s">
        <v>306</v>
      </c>
      <c r="P332">
        <v>91274094</v>
      </c>
    </row>
    <row r="333" spans="1:16" x14ac:dyDescent="0.35">
      <c r="A333">
        <v>745</v>
      </c>
      <c r="B333">
        <v>1477</v>
      </c>
      <c r="C333" t="s">
        <v>16</v>
      </c>
      <c r="D333" t="s">
        <v>16</v>
      </c>
      <c r="E333" s="2">
        <v>46093</v>
      </c>
      <c r="F333" s="2">
        <v>46092</v>
      </c>
      <c r="G333" t="s">
        <v>309</v>
      </c>
      <c r="H333">
        <v>100915000</v>
      </c>
      <c r="I333">
        <v>86865150</v>
      </c>
      <c r="J333">
        <v>13520000</v>
      </c>
      <c r="K333">
        <v>27116000</v>
      </c>
      <c r="M333">
        <f t="shared" si="10"/>
        <v>-453850</v>
      </c>
      <c r="N333" t="str">
        <f t="shared" si="11"/>
        <v>Sobrante</v>
      </c>
      <c r="O333" t="s">
        <v>306</v>
      </c>
      <c r="P333">
        <v>94543241</v>
      </c>
    </row>
    <row r="334" spans="1:16" x14ac:dyDescent="0.35">
      <c r="A334">
        <v>777</v>
      </c>
      <c r="B334">
        <v>4868</v>
      </c>
      <c r="C334" t="s">
        <v>22</v>
      </c>
      <c r="D334" t="s">
        <v>22</v>
      </c>
      <c r="E334" s="2">
        <v>46093</v>
      </c>
      <c r="F334" s="2">
        <v>46092</v>
      </c>
      <c r="G334" t="s">
        <v>289</v>
      </c>
      <c r="H334">
        <v>62648950</v>
      </c>
      <c r="I334">
        <v>50010950</v>
      </c>
      <c r="J334">
        <v>2860000</v>
      </c>
      <c r="K334">
        <v>15783000</v>
      </c>
      <c r="L334">
        <v>377000</v>
      </c>
      <c r="M334">
        <f t="shared" si="10"/>
        <v>-92000</v>
      </c>
      <c r="N334" t="str">
        <f t="shared" si="11"/>
        <v>Sobrante</v>
      </c>
      <c r="O334" t="s">
        <v>306</v>
      </c>
      <c r="P334">
        <v>1192816639</v>
      </c>
    </row>
    <row r="335" spans="1:16" x14ac:dyDescent="0.35">
      <c r="A335">
        <v>6</v>
      </c>
      <c r="B335">
        <v>5001</v>
      </c>
      <c r="C335" t="s">
        <v>16</v>
      </c>
      <c r="D335" t="s">
        <v>16</v>
      </c>
      <c r="E335" s="2">
        <v>46093</v>
      </c>
      <c r="F335" s="2">
        <v>46092</v>
      </c>
      <c r="G335" t="s">
        <v>247</v>
      </c>
      <c r="H335">
        <v>228798100</v>
      </c>
      <c r="I335">
        <v>171991100</v>
      </c>
      <c r="J335">
        <v>15970000</v>
      </c>
      <c r="K335">
        <v>1202000</v>
      </c>
      <c r="L335">
        <v>-66000000</v>
      </c>
      <c r="M335">
        <f t="shared" si="10"/>
        <v>-5575000</v>
      </c>
      <c r="N335" t="str">
        <f t="shared" si="11"/>
        <v>Sobrante</v>
      </c>
      <c r="O335" t="s">
        <v>306</v>
      </c>
      <c r="P335">
        <v>71336970</v>
      </c>
    </row>
    <row r="336" spans="1:16" x14ac:dyDescent="0.35">
      <c r="A336">
        <v>361</v>
      </c>
      <c r="B336">
        <v>5005</v>
      </c>
      <c r="C336" t="s">
        <v>16</v>
      </c>
      <c r="D336" t="s">
        <v>16</v>
      </c>
      <c r="E336" s="2">
        <v>46093</v>
      </c>
      <c r="F336" s="2">
        <v>46092</v>
      </c>
      <c r="G336" t="s">
        <v>310</v>
      </c>
      <c r="H336">
        <v>170671300</v>
      </c>
      <c r="I336">
        <v>118993650</v>
      </c>
      <c r="J336">
        <v>8930000</v>
      </c>
      <c r="K336">
        <v>19931000</v>
      </c>
      <c r="M336">
        <f t="shared" si="10"/>
        <v>-40676650</v>
      </c>
      <c r="N336" t="str">
        <f t="shared" si="11"/>
        <v>Sobrante</v>
      </c>
      <c r="O336" t="s">
        <v>306</v>
      </c>
      <c r="P336">
        <v>79819397</v>
      </c>
    </row>
    <row r="337" spans="1:16" x14ac:dyDescent="0.35">
      <c r="A337">
        <v>777</v>
      </c>
      <c r="B337">
        <v>5009</v>
      </c>
      <c r="C337" t="s">
        <v>16</v>
      </c>
      <c r="D337" t="s">
        <v>16</v>
      </c>
      <c r="E337" s="2">
        <v>46093</v>
      </c>
      <c r="F337" s="2">
        <v>46092</v>
      </c>
      <c r="G337" t="s">
        <v>31</v>
      </c>
      <c r="H337">
        <v>195305050</v>
      </c>
      <c r="I337">
        <v>106085050</v>
      </c>
      <c r="J337">
        <v>9250000</v>
      </c>
      <c r="K337">
        <v>99200000</v>
      </c>
      <c r="L337">
        <v>738000</v>
      </c>
      <c r="M337">
        <f t="shared" si="10"/>
        <v>-8000</v>
      </c>
      <c r="N337" t="str">
        <f t="shared" si="11"/>
        <v>Sobrante</v>
      </c>
      <c r="O337" t="s">
        <v>306</v>
      </c>
      <c r="P337">
        <v>1192816639</v>
      </c>
    </row>
    <row r="338" spans="1:16" x14ac:dyDescent="0.35">
      <c r="A338">
        <v>277</v>
      </c>
      <c r="B338">
        <v>5021</v>
      </c>
      <c r="C338" t="s">
        <v>16</v>
      </c>
      <c r="D338" t="s">
        <v>16</v>
      </c>
      <c r="E338" s="2">
        <v>46093</v>
      </c>
      <c r="F338" s="2">
        <v>46092</v>
      </c>
      <c r="G338" t="s">
        <v>76</v>
      </c>
      <c r="H338">
        <v>189501350</v>
      </c>
      <c r="I338">
        <v>199140350</v>
      </c>
      <c r="J338">
        <v>11260000</v>
      </c>
      <c r="K338">
        <v>3531000</v>
      </c>
      <c r="L338">
        <v>1910000</v>
      </c>
      <c r="M338">
        <f t="shared" si="10"/>
        <v>0</v>
      </c>
      <c r="N338" t="str">
        <f t="shared" si="11"/>
        <v>Cuadrado</v>
      </c>
      <c r="O338" t="s">
        <v>20</v>
      </c>
      <c r="P338">
        <v>32184677</v>
      </c>
    </row>
    <row r="339" spans="1:16" x14ac:dyDescent="0.35">
      <c r="A339">
        <v>723</v>
      </c>
      <c r="B339">
        <v>5046</v>
      </c>
      <c r="C339" t="s">
        <v>16</v>
      </c>
      <c r="D339" t="s">
        <v>16</v>
      </c>
      <c r="E339" s="2">
        <v>46093</v>
      </c>
      <c r="F339" s="2">
        <v>46092</v>
      </c>
      <c r="G339" t="s">
        <v>311</v>
      </c>
      <c r="H339">
        <v>138407500</v>
      </c>
      <c r="I339">
        <v>141531050</v>
      </c>
      <c r="J339">
        <v>35550000</v>
      </c>
      <c r="K339">
        <v>140174000</v>
      </c>
      <c r="L339">
        <v>179280000</v>
      </c>
      <c r="M339">
        <f t="shared" si="10"/>
        <v>-71532450</v>
      </c>
      <c r="N339" t="str">
        <f t="shared" si="11"/>
        <v>Sobrante</v>
      </c>
      <c r="O339" t="s">
        <v>33</v>
      </c>
      <c r="P339">
        <v>1088273268</v>
      </c>
    </row>
    <row r="340" spans="1:16" x14ac:dyDescent="0.35">
      <c r="A340">
        <v>769</v>
      </c>
      <c r="B340">
        <v>5051</v>
      </c>
      <c r="C340" t="s">
        <v>16</v>
      </c>
      <c r="D340" t="s">
        <v>16</v>
      </c>
      <c r="E340" s="2">
        <v>46093</v>
      </c>
      <c r="F340" s="2">
        <v>46092</v>
      </c>
      <c r="G340" t="s">
        <v>196</v>
      </c>
      <c r="H340">
        <v>123936300</v>
      </c>
      <c r="I340">
        <v>118732300</v>
      </c>
      <c r="J340">
        <v>2250000</v>
      </c>
      <c r="K340">
        <v>15806900</v>
      </c>
      <c r="L340">
        <v>-1030000</v>
      </c>
      <c r="M340">
        <f t="shared" si="10"/>
        <v>9382900</v>
      </c>
      <c r="N340" t="str">
        <f t="shared" si="11"/>
        <v>Faltante</v>
      </c>
      <c r="O340" t="s">
        <v>33</v>
      </c>
      <c r="P340">
        <v>1129580385</v>
      </c>
    </row>
    <row r="341" spans="1:16" x14ac:dyDescent="0.35">
      <c r="A341">
        <v>19</v>
      </c>
      <c r="B341">
        <v>5078</v>
      </c>
      <c r="C341" t="s">
        <v>16</v>
      </c>
      <c r="D341" t="s">
        <v>16</v>
      </c>
      <c r="E341" s="2">
        <v>46093</v>
      </c>
      <c r="F341" s="2">
        <v>46092</v>
      </c>
      <c r="G341" t="s">
        <v>259</v>
      </c>
      <c r="H341">
        <v>86922350</v>
      </c>
      <c r="I341">
        <v>70087350</v>
      </c>
      <c r="J341">
        <v>9160000</v>
      </c>
      <c r="K341">
        <v>24901000</v>
      </c>
      <c r="M341">
        <f t="shared" si="10"/>
        <v>-1094000</v>
      </c>
      <c r="N341" t="str">
        <f t="shared" si="11"/>
        <v>Sobrante</v>
      </c>
      <c r="O341" t="s">
        <v>306</v>
      </c>
      <c r="P341">
        <v>43588535</v>
      </c>
    </row>
    <row r="342" spans="1:16" x14ac:dyDescent="0.35">
      <c r="A342">
        <v>291</v>
      </c>
      <c r="B342">
        <v>5114</v>
      </c>
      <c r="C342" t="s">
        <v>16</v>
      </c>
      <c r="D342" t="s">
        <v>16</v>
      </c>
      <c r="E342" s="2">
        <v>46093</v>
      </c>
      <c r="F342" s="2">
        <v>46092</v>
      </c>
      <c r="G342" t="s">
        <v>247</v>
      </c>
      <c r="H342">
        <v>311523400</v>
      </c>
      <c r="I342">
        <v>311907400</v>
      </c>
      <c r="J342">
        <v>10370000</v>
      </c>
      <c r="K342">
        <v>9980000</v>
      </c>
      <c r="M342">
        <f t="shared" si="10"/>
        <v>-6000</v>
      </c>
      <c r="N342" t="str">
        <f t="shared" si="11"/>
        <v>Sobrante</v>
      </c>
      <c r="O342" t="s">
        <v>306</v>
      </c>
      <c r="P342">
        <v>1095930956</v>
      </c>
    </row>
    <row r="343" spans="1:16" x14ac:dyDescent="0.35">
      <c r="A343">
        <v>91</v>
      </c>
      <c r="B343">
        <v>5148</v>
      </c>
      <c r="C343" t="s">
        <v>16</v>
      </c>
      <c r="D343" t="s">
        <v>16</v>
      </c>
      <c r="E343" s="2">
        <v>46093</v>
      </c>
      <c r="F343" s="2">
        <v>46092</v>
      </c>
      <c r="G343" t="s">
        <v>36</v>
      </c>
      <c r="H343">
        <v>474899700</v>
      </c>
      <c r="I343">
        <v>452386550</v>
      </c>
      <c r="J343">
        <v>3360000</v>
      </c>
      <c r="K343">
        <v>15000000</v>
      </c>
      <c r="M343">
        <f t="shared" si="10"/>
        <v>-10873150</v>
      </c>
      <c r="N343" t="str">
        <f t="shared" si="11"/>
        <v>Sobrante</v>
      </c>
      <c r="O343" t="s">
        <v>306</v>
      </c>
      <c r="P343">
        <v>1067844638</v>
      </c>
    </row>
    <row r="344" spans="1:16" x14ac:dyDescent="0.35">
      <c r="A344">
        <v>806</v>
      </c>
      <c r="B344">
        <v>5156</v>
      </c>
      <c r="C344" t="s">
        <v>16</v>
      </c>
      <c r="D344" t="s">
        <v>16</v>
      </c>
      <c r="E344" s="2">
        <v>46093</v>
      </c>
      <c r="F344" s="2">
        <v>46092</v>
      </c>
      <c r="G344" t="s">
        <v>312</v>
      </c>
      <c r="H344">
        <v>59166300</v>
      </c>
      <c r="I344">
        <v>64432300</v>
      </c>
      <c r="J344">
        <v>12750000</v>
      </c>
      <c r="K344">
        <v>3308000</v>
      </c>
      <c r="M344">
        <f t="shared" si="10"/>
        <v>-4176000</v>
      </c>
      <c r="N344" t="str">
        <f t="shared" si="11"/>
        <v>Sobrante</v>
      </c>
      <c r="O344" t="s">
        <v>306</v>
      </c>
      <c r="P344">
        <v>7335993</v>
      </c>
    </row>
    <row r="345" spans="1:16" x14ac:dyDescent="0.35">
      <c r="A345">
        <v>750</v>
      </c>
      <c r="B345">
        <v>5157</v>
      </c>
      <c r="C345" t="s">
        <v>16</v>
      </c>
      <c r="D345" t="s">
        <v>16</v>
      </c>
      <c r="E345" s="2">
        <v>46093</v>
      </c>
      <c r="F345" s="2">
        <v>46092</v>
      </c>
      <c r="G345" t="s">
        <v>313</v>
      </c>
      <c r="H345">
        <v>156805850</v>
      </c>
      <c r="I345">
        <v>145853050</v>
      </c>
      <c r="J345">
        <v>4880000</v>
      </c>
      <c r="K345">
        <v>20922800</v>
      </c>
      <c r="L345">
        <v>1929550</v>
      </c>
      <c r="M345">
        <f t="shared" si="10"/>
        <v>3160450</v>
      </c>
      <c r="N345" t="str">
        <f t="shared" si="11"/>
        <v>Faltante</v>
      </c>
      <c r="O345" t="s">
        <v>314</v>
      </c>
      <c r="P345">
        <v>31529631</v>
      </c>
    </row>
    <row r="346" spans="1:16" x14ac:dyDescent="0.35">
      <c r="A346">
        <v>253</v>
      </c>
      <c r="B346">
        <v>5176</v>
      </c>
      <c r="C346" t="s">
        <v>16</v>
      </c>
      <c r="D346" t="s">
        <v>16</v>
      </c>
      <c r="E346" s="2">
        <v>46093</v>
      </c>
      <c r="F346" s="2">
        <v>46092</v>
      </c>
      <c r="G346" t="s">
        <v>71</v>
      </c>
      <c r="H346">
        <v>247521750</v>
      </c>
      <c r="I346">
        <v>234089750</v>
      </c>
      <c r="J346">
        <v>0</v>
      </c>
      <c r="K346">
        <v>4490000</v>
      </c>
      <c r="L346">
        <v>-6902000</v>
      </c>
      <c r="M346">
        <f t="shared" si="10"/>
        <v>-2040000</v>
      </c>
      <c r="N346" t="str">
        <f t="shared" si="11"/>
        <v>Sobrante</v>
      </c>
      <c r="O346" t="s">
        <v>306</v>
      </c>
      <c r="P346">
        <v>1017241432</v>
      </c>
    </row>
    <row r="347" spans="1:16" x14ac:dyDescent="0.35">
      <c r="A347">
        <v>198</v>
      </c>
      <c r="B347">
        <v>5179</v>
      </c>
      <c r="C347" t="s">
        <v>16</v>
      </c>
      <c r="D347" t="s">
        <v>16</v>
      </c>
      <c r="E347" s="2">
        <v>46093</v>
      </c>
      <c r="F347" s="2">
        <v>46092</v>
      </c>
      <c r="G347" t="s">
        <v>315</v>
      </c>
      <c r="H347">
        <v>161929700</v>
      </c>
      <c r="I347">
        <v>173903700</v>
      </c>
      <c r="J347">
        <v>6300000</v>
      </c>
      <c r="K347">
        <v>201000</v>
      </c>
      <c r="L347">
        <v>5875000</v>
      </c>
      <c r="M347">
        <f t="shared" si="10"/>
        <v>0</v>
      </c>
      <c r="N347" t="str">
        <f t="shared" si="11"/>
        <v>Cuadrado</v>
      </c>
      <c r="O347" t="s">
        <v>316</v>
      </c>
      <c r="P347">
        <v>53031419</v>
      </c>
    </row>
    <row r="348" spans="1:16" x14ac:dyDescent="0.35">
      <c r="A348">
        <v>664</v>
      </c>
      <c r="B348">
        <v>5191</v>
      </c>
      <c r="C348" t="s">
        <v>16</v>
      </c>
      <c r="D348" t="s">
        <v>16</v>
      </c>
      <c r="E348" s="2">
        <v>46093</v>
      </c>
      <c r="F348" s="2">
        <v>46092</v>
      </c>
      <c r="G348" t="s">
        <v>206</v>
      </c>
      <c r="H348">
        <v>199055400</v>
      </c>
      <c r="I348">
        <v>223414550</v>
      </c>
      <c r="J348">
        <v>43480000</v>
      </c>
      <c r="K348">
        <v>75451000</v>
      </c>
      <c r="L348">
        <v>86306000</v>
      </c>
      <c r="M348">
        <f t="shared" si="10"/>
        <v>-29975850</v>
      </c>
      <c r="N348" t="str">
        <f t="shared" si="11"/>
        <v>Sobrante</v>
      </c>
      <c r="O348" t="s">
        <v>306</v>
      </c>
      <c r="P348">
        <v>53052650</v>
      </c>
    </row>
    <row r="349" spans="1:16" x14ac:dyDescent="0.35">
      <c r="A349">
        <v>77</v>
      </c>
      <c r="B349">
        <v>5204</v>
      </c>
      <c r="C349" t="s">
        <v>16</v>
      </c>
      <c r="D349" t="s">
        <v>16</v>
      </c>
      <c r="E349" s="2">
        <v>46093</v>
      </c>
      <c r="F349" s="2">
        <v>46092</v>
      </c>
      <c r="G349" t="s">
        <v>51</v>
      </c>
      <c r="H349">
        <v>176326300</v>
      </c>
      <c r="I349">
        <v>162865300</v>
      </c>
      <c r="J349">
        <v>13450000</v>
      </c>
      <c r="K349">
        <v>22954000</v>
      </c>
      <c r="M349">
        <f t="shared" si="10"/>
        <v>-3957000</v>
      </c>
      <c r="N349" t="str">
        <f t="shared" si="11"/>
        <v>Sobrante</v>
      </c>
      <c r="O349" t="s">
        <v>306</v>
      </c>
      <c r="P349">
        <v>94493031</v>
      </c>
    </row>
    <row r="350" spans="1:16" x14ac:dyDescent="0.35">
      <c r="A350">
        <v>793</v>
      </c>
      <c r="B350">
        <v>5216</v>
      </c>
      <c r="C350" t="s">
        <v>16</v>
      </c>
      <c r="D350" t="s">
        <v>16</v>
      </c>
      <c r="E350" s="2">
        <v>46093</v>
      </c>
      <c r="F350" s="2">
        <v>46092</v>
      </c>
      <c r="G350" t="s">
        <v>37</v>
      </c>
      <c r="H350">
        <v>233648900</v>
      </c>
      <c r="I350">
        <v>233187900</v>
      </c>
      <c r="J350">
        <v>8890000</v>
      </c>
      <c r="K350">
        <v>6322000</v>
      </c>
      <c r="M350">
        <f t="shared" si="10"/>
        <v>-3029000</v>
      </c>
      <c r="N350" t="str">
        <f t="shared" si="11"/>
        <v>Sobrante</v>
      </c>
      <c r="O350" t="s">
        <v>306</v>
      </c>
      <c r="P350">
        <v>80218400</v>
      </c>
    </row>
    <row r="351" spans="1:16" x14ac:dyDescent="0.35">
      <c r="A351">
        <v>16</v>
      </c>
      <c r="B351">
        <v>5219</v>
      </c>
      <c r="C351" t="s">
        <v>16</v>
      </c>
      <c r="D351" t="s">
        <v>16</v>
      </c>
      <c r="E351" s="2">
        <v>46093</v>
      </c>
      <c r="F351" s="2">
        <v>46092</v>
      </c>
      <c r="G351" t="s">
        <v>94</v>
      </c>
      <c r="H351">
        <v>216062250</v>
      </c>
      <c r="I351">
        <v>227953400</v>
      </c>
      <c r="J351">
        <v>1190000</v>
      </c>
      <c r="K351">
        <v>2400000</v>
      </c>
      <c r="L351">
        <v>13101150</v>
      </c>
      <c r="M351">
        <f t="shared" si="10"/>
        <v>0</v>
      </c>
      <c r="N351" t="str">
        <f t="shared" si="11"/>
        <v>Cuadrado</v>
      </c>
      <c r="O351" t="s">
        <v>317</v>
      </c>
      <c r="P351">
        <v>1128405320</v>
      </c>
    </row>
    <row r="352" spans="1:16" x14ac:dyDescent="0.35">
      <c r="A352">
        <v>221</v>
      </c>
      <c r="B352">
        <v>5221</v>
      </c>
      <c r="C352" t="s">
        <v>16</v>
      </c>
      <c r="D352" t="s">
        <v>16</v>
      </c>
      <c r="E352" s="2">
        <v>46093</v>
      </c>
      <c r="F352" s="2">
        <v>46092</v>
      </c>
      <c r="G352" t="s">
        <v>318</v>
      </c>
      <c r="H352">
        <v>274694500</v>
      </c>
      <c r="I352">
        <v>273604500</v>
      </c>
      <c r="J352">
        <v>2400000</v>
      </c>
      <c r="K352">
        <v>0</v>
      </c>
      <c r="M352">
        <f t="shared" si="10"/>
        <v>-3490000</v>
      </c>
      <c r="N352" t="str">
        <f t="shared" si="11"/>
        <v>Sobrante</v>
      </c>
      <c r="O352" t="s">
        <v>306</v>
      </c>
      <c r="P352">
        <v>52833254</v>
      </c>
    </row>
    <row r="353" spans="1:16" x14ac:dyDescent="0.35">
      <c r="A353">
        <v>946</v>
      </c>
      <c r="B353">
        <v>5225</v>
      </c>
      <c r="C353" t="s">
        <v>16</v>
      </c>
      <c r="D353" t="s">
        <v>16</v>
      </c>
      <c r="E353" s="2">
        <v>46093</v>
      </c>
      <c r="F353" s="2">
        <v>46092</v>
      </c>
      <c r="G353" t="s">
        <v>319</v>
      </c>
      <c r="H353">
        <v>205201950</v>
      </c>
      <c r="I353">
        <v>227981950</v>
      </c>
      <c r="J353">
        <v>25120000</v>
      </c>
      <c r="K353">
        <v>2220000</v>
      </c>
      <c r="M353">
        <f t="shared" si="10"/>
        <v>-120000</v>
      </c>
      <c r="N353" t="str">
        <f t="shared" si="11"/>
        <v>Sobrante</v>
      </c>
      <c r="O353" t="s">
        <v>306</v>
      </c>
      <c r="P353">
        <v>20500181</v>
      </c>
    </row>
    <row r="354" spans="1:16" x14ac:dyDescent="0.35">
      <c r="A354">
        <v>678</v>
      </c>
      <c r="B354">
        <v>5227</v>
      </c>
      <c r="C354" t="s">
        <v>16</v>
      </c>
      <c r="D354" t="s">
        <v>16</v>
      </c>
      <c r="E354" s="2">
        <v>46093</v>
      </c>
      <c r="F354" s="2">
        <v>46092</v>
      </c>
      <c r="G354" t="s">
        <v>320</v>
      </c>
      <c r="H354">
        <v>54968400</v>
      </c>
      <c r="I354">
        <v>103002400</v>
      </c>
      <c r="J354">
        <v>13340000</v>
      </c>
      <c r="K354">
        <v>57275000</v>
      </c>
      <c r="L354">
        <v>91969000</v>
      </c>
      <c r="M354">
        <f t="shared" si="10"/>
        <v>0</v>
      </c>
      <c r="N354" t="str">
        <f t="shared" si="11"/>
        <v>Cuadrado</v>
      </c>
      <c r="O354" t="s">
        <v>20</v>
      </c>
      <c r="P354">
        <v>1102586250</v>
      </c>
    </row>
    <row r="355" spans="1:16" x14ac:dyDescent="0.35">
      <c r="A355">
        <v>820</v>
      </c>
      <c r="B355">
        <v>6174</v>
      </c>
      <c r="C355" t="s">
        <v>16</v>
      </c>
      <c r="D355" t="s">
        <v>16</v>
      </c>
      <c r="E355" s="2">
        <v>46093</v>
      </c>
      <c r="F355" s="2">
        <v>46092</v>
      </c>
      <c r="G355" t="s">
        <v>321</v>
      </c>
      <c r="H355">
        <v>208087100</v>
      </c>
      <c r="I355">
        <v>16700100</v>
      </c>
      <c r="J355">
        <v>24570000</v>
      </c>
      <c r="K355">
        <v>37264000</v>
      </c>
      <c r="L355">
        <v>-195393100</v>
      </c>
      <c r="M355">
        <f t="shared" si="10"/>
        <v>16700100</v>
      </c>
      <c r="N355" t="str">
        <f t="shared" si="11"/>
        <v>Faltante</v>
      </c>
      <c r="O355" t="s">
        <v>322</v>
      </c>
      <c r="P355">
        <v>1090400247</v>
      </c>
    </row>
    <row r="356" spans="1:16" x14ac:dyDescent="0.35">
      <c r="A356">
        <v>477</v>
      </c>
      <c r="B356">
        <v>6251</v>
      </c>
      <c r="C356" t="s">
        <v>16</v>
      </c>
      <c r="D356" t="s">
        <v>16</v>
      </c>
      <c r="E356" s="2">
        <v>46093</v>
      </c>
      <c r="F356" s="2">
        <v>46092</v>
      </c>
      <c r="G356" t="s">
        <v>323</v>
      </c>
      <c r="H356">
        <v>35598550</v>
      </c>
      <c r="I356">
        <v>34009050</v>
      </c>
      <c r="J356">
        <v>7800000</v>
      </c>
      <c r="K356">
        <v>9490000</v>
      </c>
      <c r="L356">
        <v>100500</v>
      </c>
      <c r="M356">
        <f t="shared" si="10"/>
        <v>0</v>
      </c>
      <c r="N356" t="str">
        <f t="shared" si="11"/>
        <v>Cuadrado</v>
      </c>
      <c r="O356" t="s">
        <v>324</v>
      </c>
      <c r="P356">
        <v>1140850613</v>
      </c>
    </row>
    <row r="357" spans="1:16" x14ac:dyDescent="0.35">
      <c r="A357">
        <v>337</v>
      </c>
      <c r="B357">
        <v>6253</v>
      </c>
      <c r="C357" t="s">
        <v>16</v>
      </c>
      <c r="D357" t="s">
        <v>16</v>
      </c>
      <c r="E357" s="2">
        <v>46093</v>
      </c>
      <c r="F357" s="2">
        <v>46092</v>
      </c>
      <c r="G357" t="s">
        <v>325</v>
      </c>
      <c r="H357">
        <v>205292550</v>
      </c>
      <c r="I357">
        <v>179881750</v>
      </c>
      <c r="J357">
        <v>32140000</v>
      </c>
      <c r="K357">
        <v>74651800</v>
      </c>
      <c r="M357">
        <f t="shared" si="10"/>
        <v>17101000</v>
      </c>
      <c r="N357" t="str">
        <f t="shared" si="11"/>
        <v>Faltante</v>
      </c>
      <c r="O357" t="s">
        <v>33</v>
      </c>
      <c r="P357">
        <v>80386330</v>
      </c>
    </row>
    <row r="358" spans="1:16" x14ac:dyDescent="0.35">
      <c r="A358">
        <v>379</v>
      </c>
      <c r="B358">
        <v>6465</v>
      </c>
      <c r="C358" t="s">
        <v>16</v>
      </c>
      <c r="D358" t="s">
        <v>16</v>
      </c>
      <c r="E358" s="2">
        <v>46093</v>
      </c>
      <c r="F358" s="2">
        <v>46092</v>
      </c>
      <c r="G358" t="s">
        <v>154</v>
      </c>
      <c r="H358">
        <v>47484000</v>
      </c>
      <c r="I358">
        <v>146544950</v>
      </c>
      <c r="J358">
        <v>7320000</v>
      </c>
      <c r="K358">
        <v>44098050</v>
      </c>
      <c r="L358">
        <v>142319000</v>
      </c>
      <c r="M358">
        <f t="shared" si="10"/>
        <v>-6480000</v>
      </c>
      <c r="N358" t="str">
        <f t="shared" si="11"/>
        <v>Sobrante</v>
      </c>
      <c r="O358" t="s">
        <v>306</v>
      </c>
      <c r="P358">
        <v>1020440431</v>
      </c>
    </row>
    <row r="359" spans="1:16" x14ac:dyDescent="0.35">
      <c r="A359">
        <v>352</v>
      </c>
      <c r="B359">
        <v>6618</v>
      </c>
      <c r="C359" t="s">
        <v>16</v>
      </c>
      <c r="D359" t="s">
        <v>16</v>
      </c>
      <c r="E359" s="2">
        <v>46093</v>
      </c>
      <c r="F359" s="2">
        <v>46091</v>
      </c>
      <c r="G359" t="s">
        <v>73</v>
      </c>
      <c r="H359">
        <v>194220400</v>
      </c>
      <c r="I359">
        <v>181161000</v>
      </c>
      <c r="J359">
        <v>4520000</v>
      </c>
      <c r="K359">
        <v>27330000</v>
      </c>
      <c r="M359">
        <f t="shared" si="10"/>
        <v>9750600</v>
      </c>
      <c r="N359" t="str">
        <f t="shared" si="11"/>
        <v>Faltante</v>
      </c>
      <c r="O359" t="s">
        <v>326</v>
      </c>
      <c r="P359">
        <v>28559006</v>
      </c>
    </row>
    <row r="360" spans="1:16" x14ac:dyDescent="0.35">
      <c r="A360">
        <v>96</v>
      </c>
      <c r="B360">
        <v>6735</v>
      </c>
      <c r="C360" t="s">
        <v>16</v>
      </c>
      <c r="D360" t="s">
        <v>16</v>
      </c>
      <c r="E360" s="2">
        <v>46093</v>
      </c>
      <c r="F360" s="2">
        <v>46092</v>
      </c>
      <c r="G360" t="s">
        <v>91</v>
      </c>
      <c r="H360">
        <v>246463750</v>
      </c>
      <c r="I360">
        <v>247037750</v>
      </c>
      <c r="J360">
        <v>22850000</v>
      </c>
      <c r="K360">
        <v>22720000</v>
      </c>
      <c r="M360">
        <f t="shared" si="10"/>
        <v>444000</v>
      </c>
      <c r="N360" t="str">
        <f t="shared" si="11"/>
        <v>Faltante</v>
      </c>
      <c r="O360" t="s">
        <v>326</v>
      </c>
      <c r="P360">
        <v>39491642</v>
      </c>
    </row>
    <row r="361" spans="1:16" x14ac:dyDescent="0.35">
      <c r="A361">
        <v>677</v>
      </c>
      <c r="B361">
        <v>7124</v>
      </c>
      <c r="C361" t="s">
        <v>22</v>
      </c>
      <c r="D361" t="s">
        <v>16</v>
      </c>
      <c r="E361" s="2">
        <v>46093</v>
      </c>
      <c r="F361" s="2">
        <v>46092</v>
      </c>
      <c r="G361" t="s">
        <v>327</v>
      </c>
      <c r="H361">
        <v>199097100</v>
      </c>
      <c r="I361">
        <v>200915700</v>
      </c>
      <c r="J361">
        <v>16040000</v>
      </c>
      <c r="K361">
        <v>15710000</v>
      </c>
      <c r="L361">
        <v>1488550</v>
      </c>
      <c r="M361">
        <f t="shared" si="10"/>
        <v>50</v>
      </c>
      <c r="N361" t="str">
        <f t="shared" si="11"/>
        <v>Faltante</v>
      </c>
      <c r="O361" t="s">
        <v>328</v>
      </c>
      <c r="P361">
        <v>1103101789</v>
      </c>
    </row>
    <row r="362" spans="1:16" x14ac:dyDescent="0.35">
      <c r="A362">
        <v>484</v>
      </c>
      <c r="B362">
        <v>7125</v>
      </c>
      <c r="C362" t="s">
        <v>22</v>
      </c>
      <c r="D362" t="s">
        <v>16</v>
      </c>
      <c r="E362" s="2">
        <v>46093</v>
      </c>
      <c r="F362" s="2">
        <v>46092</v>
      </c>
      <c r="G362" t="s">
        <v>329</v>
      </c>
      <c r="H362">
        <v>253567650</v>
      </c>
      <c r="I362">
        <v>249657650</v>
      </c>
      <c r="J362">
        <v>1090000</v>
      </c>
      <c r="K362">
        <v>0</v>
      </c>
      <c r="M362">
        <f t="shared" si="10"/>
        <v>-5000000</v>
      </c>
      <c r="N362" t="str">
        <f t="shared" si="11"/>
        <v>Sobrante</v>
      </c>
      <c r="O362" t="s">
        <v>306</v>
      </c>
      <c r="P362">
        <v>1052972256</v>
      </c>
    </row>
    <row r="363" spans="1:16" x14ac:dyDescent="0.35">
      <c r="A363">
        <v>41</v>
      </c>
      <c r="B363">
        <v>7341</v>
      </c>
      <c r="C363" t="s">
        <v>22</v>
      </c>
      <c r="D363" t="s">
        <v>16</v>
      </c>
      <c r="E363" s="2">
        <v>46093</v>
      </c>
      <c r="F363" s="2">
        <v>46092</v>
      </c>
      <c r="G363" t="s">
        <v>330</v>
      </c>
      <c r="H363">
        <v>130250400</v>
      </c>
      <c r="I363">
        <v>211470400</v>
      </c>
      <c r="J363">
        <v>0</v>
      </c>
      <c r="K363">
        <v>0</v>
      </c>
      <c r="L363" t="s">
        <v>331</v>
      </c>
      <c r="M363" t="e">
        <f t="shared" si="10"/>
        <v>#VALUE!</v>
      </c>
      <c r="N363" t="e">
        <f t="shared" si="11"/>
        <v>#VALUE!</v>
      </c>
      <c r="O363" t="s">
        <v>20</v>
      </c>
      <c r="P363">
        <v>94508187</v>
      </c>
    </row>
    <row r="364" spans="1:16" x14ac:dyDescent="0.35">
      <c r="A364">
        <v>172</v>
      </c>
      <c r="B364">
        <v>7429</v>
      </c>
      <c r="C364" t="s">
        <v>16</v>
      </c>
      <c r="D364" t="s">
        <v>16</v>
      </c>
      <c r="E364" s="2">
        <v>46093</v>
      </c>
      <c r="F364" s="2">
        <v>46092</v>
      </c>
      <c r="G364" t="s">
        <v>35</v>
      </c>
      <c r="H364">
        <v>241706750</v>
      </c>
      <c r="I364">
        <v>243504250</v>
      </c>
      <c r="J364">
        <v>1800000</v>
      </c>
      <c r="K364">
        <v>0</v>
      </c>
      <c r="M364">
        <f t="shared" si="10"/>
        <v>-2500</v>
      </c>
      <c r="N364" t="str">
        <f t="shared" si="11"/>
        <v>Sobrante</v>
      </c>
      <c r="O364" t="s">
        <v>306</v>
      </c>
      <c r="P364">
        <v>52156260</v>
      </c>
    </row>
    <row r="365" spans="1:16" x14ac:dyDescent="0.35">
      <c r="A365">
        <v>318</v>
      </c>
      <c r="B365">
        <v>7680</v>
      </c>
      <c r="C365" t="s">
        <v>16</v>
      </c>
      <c r="D365" t="s">
        <v>16</v>
      </c>
      <c r="E365" s="2">
        <v>46093</v>
      </c>
      <c r="F365" s="2">
        <v>46092</v>
      </c>
      <c r="G365" t="s">
        <v>332</v>
      </c>
      <c r="H365">
        <v>317454750</v>
      </c>
      <c r="I365">
        <v>328714750</v>
      </c>
      <c r="J365">
        <v>8980000</v>
      </c>
      <c r="K365">
        <v>0</v>
      </c>
      <c r="L365">
        <v>2280000</v>
      </c>
      <c r="M365">
        <f t="shared" si="10"/>
        <v>0</v>
      </c>
      <c r="N365" t="str">
        <f t="shared" si="11"/>
        <v>Cuadrado</v>
      </c>
      <c r="O365" t="s">
        <v>333</v>
      </c>
      <c r="P365">
        <v>1065862494</v>
      </c>
    </row>
    <row r="366" spans="1:16" x14ac:dyDescent="0.35">
      <c r="A366">
        <v>91</v>
      </c>
      <c r="B366">
        <v>7943</v>
      </c>
      <c r="C366" t="s">
        <v>22</v>
      </c>
      <c r="D366" t="s">
        <v>22</v>
      </c>
      <c r="E366" s="2">
        <v>46093</v>
      </c>
      <c r="F366" s="2">
        <v>46092</v>
      </c>
      <c r="G366" t="s">
        <v>185</v>
      </c>
      <c r="H366">
        <v>267821450</v>
      </c>
      <c r="I366">
        <v>253664450</v>
      </c>
      <c r="J366">
        <v>0</v>
      </c>
      <c r="K366">
        <v>5002000</v>
      </c>
      <c r="L366">
        <v>-1874000</v>
      </c>
      <c r="M366">
        <f t="shared" si="10"/>
        <v>-7281000</v>
      </c>
      <c r="N366" t="str">
        <f t="shared" si="11"/>
        <v>Sobrante</v>
      </c>
      <c r="O366" t="s">
        <v>306</v>
      </c>
      <c r="P366">
        <v>1067844638</v>
      </c>
    </row>
    <row r="367" spans="1:16" x14ac:dyDescent="0.35">
      <c r="A367">
        <v>693</v>
      </c>
      <c r="B367">
        <v>7979</v>
      </c>
      <c r="C367" t="s">
        <v>16</v>
      </c>
      <c r="D367" t="s">
        <v>16</v>
      </c>
      <c r="E367" s="2">
        <v>46093</v>
      </c>
      <c r="F367" s="2">
        <v>46092</v>
      </c>
      <c r="G367" t="s">
        <v>31</v>
      </c>
      <c r="H367">
        <v>104759900</v>
      </c>
      <c r="I367">
        <v>89777050</v>
      </c>
      <c r="J367">
        <v>1000000</v>
      </c>
      <c r="K367">
        <v>15352850</v>
      </c>
      <c r="M367">
        <f t="shared" si="10"/>
        <v>-630000</v>
      </c>
      <c r="N367" t="str">
        <f t="shared" si="11"/>
        <v>Sobrante</v>
      </c>
      <c r="O367" t="s">
        <v>306</v>
      </c>
      <c r="P367">
        <v>98557134</v>
      </c>
    </row>
    <row r="368" spans="1:16" x14ac:dyDescent="0.35">
      <c r="A368">
        <v>569</v>
      </c>
      <c r="B368">
        <v>8129</v>
      </c>
      <c r="C368" t="s">
        <v>22</v>
      </c>
      <c r="D368" t="s">
        <v>22</v>
      </c>
      <c r="E368" s="2">
        <v>46093</v>
      </c>
      <c r="F368" s="2">
        <v>46092</v>
      </c>
      <c r="G368" t="s">
        <v>93</v>
      </c>
      <c r="H368">
        <v>244617900</v>
      </c>
      <c r="I368">
        <v>250763150</v>
      </c>
      <c r="J368">
        <v>6150000</v>
      </c>
      <c r="K368">
        <v>0</v>
      </c>
      <c r="M368">
        <f t="shared" si="10"/>
        <v>-4750</v>
      </c>
      <c r="N368" t="str">
        <f t="shared" si="11"/>
        <v>Sobrante</v>
      </c>
      <c r="O368" t="s">
        <v>306</v>
      </c>
      <c r="P368">
        <v>10779993</v>
      </c>
    </row>
    <row r="369" spans="1:16" x14ac:dyDescent="0.35">
      <c r="A369">
        <v>291</v>
      </c>
      <c r="B369">
        <v>8139</v>
      </c>
      <c r="C369" t="s">
        <v>22</v>
      </c>
      <c r="D369" t="s">
        <v>22</v>
      </c>
      <c r="E369" s="2">
        <v>46093</v>
      </c>
      <c r="F369" s="2">
        <v>46092</v>
      </c>
      <c r="G369" t="s">
        <v>67</v>
      </c>
      <c r="H369">
        <v>191207450</v>
      </c>
      <c r="I369">
        <v>190428450</v>
      </c>
      <c r="J369">
        <v>0</v>
      </c>
      <c r="K369">
        <v>650000</v>
      </c>
      <c r="M369">
        <f t="shared" si="10"/>
        <v>-129000</v>
      </c>
      <c r="N369" t="str">
        <f t="shared" si="11"/>
        <v>Sobrante</v>
      </c>
      <c r="O369" t="s">
        <v>306</v>
      </c>
      <c r="P369">
        <v>1095930956</v>
      </c>
    </row>
    <row r="370" spans="1:16" x14ac:dyDescent="0.35">
      <c r="A370">
        <v>769</v>
      </c>
      <c r="B370">
        <v>8679</v>
      </c>
      <c r="C370" t="s">
        <v>16</v>
      </c>
      <c r="D370" t="s">
        <v>16</v>
      </c>
      <c r="E370" s="2">
        <v>46093</v>
      </c>
      <c r="F370" s="2">
        <v>46092</v>
      </c>
      <c r="G370" t="s">
        <v>52</v>
      </c>
      <c r="H370">
        <v>75467600</v>
      </c>
      <c r="I370">
        <v>62265600</v>
      </c>
      <c r="J370">
        <v>810000</v>
      </c>
      <c r="K370">
        <v>4080000</v>
      </c>
      <c r="M370">
        <f t="shared" si="10"/>
        <v>-9932000</v>
      </c>
      <c r="N370" t="str">
        <f t="shared" si="11"/>
        <v>Sobrante</v>
      </c>
      <c r="O370" t="s">
        <v>33</v>
      </c>
      <c r="P370">
        <v>1129580385</v>
      </c>
    </row>
    <row r="371" spans="1:16" x14ac:dyDescent="0.35">
      <c r="A371">
        <v>85</v>
      </c>
      <c r="B371">
        <v>8974</v>
      </c>
      <c r="C371" t="s">
        <v>16</v>
      </c>
      <c r="D371" t="s">
        <v>16</v>
      </c>
      <c r="E371" s="2">
        <v>46093</v>
      </c>
      <c r="F371" s="2">
        <v>46092</v>
      </c>
      <c r="G371" t="s">
        <v>334</v>
      </c>
      <c r="H371">
        <v>185138700</v>
      </c>
      <c r="I371">
        <v>125304500</v>
      </c>
      <c r="J371">
        <v>11770000</v>
      </c>
      <c r="K371">
        <v>177784000</v>
      </c>
      <c r="L371">
        <v>106614000</v>
      </c>
      <c r="M371">
        <f t="shared" si="10"/>
        <v>-434200</v>
      </c>
      <c r="N371" t="str">
        <f t="shared" si="11"/>
        <v>Sobrante</v>
      </c>
      <c r="O371" t="s">
        <v>306</v>
      </c>
      <c r="P371">
        <v>1047413788</v>
      </c>
    </row>
    <row r="372" spans="1:16" x14ac:dyDescent="0.35">
      <c r="A372">
        <v>957</v>
      </c>
      <c r="B372">
        <v>9512</v>
      </c>
      <c r="C372" t="s">
        <v>16</v>
      </c>
      <c r="D372" t="s">
        <v>16</v>
      </c>
      <c r="E372" s="2">
        <v>46093</v>
      </c>
      <c r="F372" s="2">
        <v>46092</v>
      </c>
      <c r="G372" t="s">
        <v>178</v>
      </c>
      <c r="H372">
        <v>177716500</v>
      </c>
      <c r="I372">
        <v>169729500</v>
      </c>
      <c r="J372">
        <v>7910000</v>
      </c>
      <c r="K372">
        <v>15947000</v>
      </c>
      <c r="M372">
        <f t="shared" si="10"/>
        <v>50000</v>
      </c>
      <c r="N372" t="str">
        <f t="shared" si="11"/>
        <v>Faltante</v>
      </c>
      <c r="O372" t="s">
        <v>18</v>
      </c>
      <c r="P372">
        <v>72290314</v>
      </c>
    </row>
    <row r="373" spans="1:16" x14ac:dyDescent="0.35">
      <c r="A373">
        <v>957</v>
      </c>
      <c r="B373">
        <v>9513</v>
      </c>
      <c r="C373" t="s">
        <v>16</v>
      </c>
      <c r="D373" t="s">
        <v>16</v>
      </c>
      <c r="E373" s="2">
        <v>46093</v>
      </c>
      <c r="F373" s="2">
        <v>46092</v>
      </c>
      <c r="G373" t="s">
        <v>259</v>
      </c>
      <c r="H373">
        <v>87742600</v>
      </c>
      <c r="I373">
        <v>63605900</v>
      </c>
      <c r="J373">
        <v>10600000</v>
      </c>
      <c r="K373">
        <v>35691000</v>
      </c>
      <c r="M373">
        <f t="shared" si="10"/>
        <v>954300</v>
      </c>
      <c r="N373" t="str">
        <f t="shared" si="11"/>
        <v>Faltante</v>
      </c>
      <c r="O373" t="s">
        <v>326</v>
      </c>
      <c r="P373">
        <v>72290314</v>
      </c>
    </row>
    <row r="374" spans="1:16" x14ac:dyDescent="0.35">
      <c r="A374">
        <v>516</v>
      </c>
      <c r="B374">
        <v>9729</v>
      </c>
      <c r="C374" t="s">
        <v>16</v>
      </c>
      <c r="D374" t="s">
        <v>16</v>
      </c>
      <c r="E374" s="2">
        <v>46093</v>
      </c>
      <c r="F374" s="2">
        <v>46092</v>
      </c>
      <c r="G374" t="s">
        <v>123</v>
      </c>
      <c r="H374">
        <v>254974150</v>
      </c>
      <c r="I374">
        <v>307136750</v>
      </c>
      <c r="J374">
        <v>0</v>
      </c>
      <c r="K374">
        <v>0</v>
      </c>
      <c r="L374">
        <v>-1377400</v>
      </c>
      <c r="M374">
        <f t="shared" si="10"/>
        <v>53540000</v>
      </c>
      <c r="N374" t="str">
        <f t="shared" si="11"/>
        <v>Faltante</v>
      </c>
      <c r="O374" t="s">
        <v>33</v>
      </c>
      <c r="P374">
        <v>1102850956</v>
      </c>
    </row>
    <row r="375" spans="1:16" x14ac:dyDescent="0.35">
      <c r="A375">
        <v>481</v>
      </c>
      <c r="B375">
        <v>1010</v>
      </c>
      <c r="C375" t="s">
        <v>16</v>
      </c>
      <c r="D375" t="s">
        <v>16</v>
      </c>
      <c r="E375" s="2">
        <v>46093</v>
      </c>
      <c r="F375" s="2">
        <v>46092</v>
      </c>
      <c r="G375" t="s">
        <v>194</v>
      </c>
      <c r="H375">
        <v>205089950</v>
      </c>
      <c r="I375">
        <v>205089950</v>
      </c>
      <c r="J375">
        <v>0</v>
      </c>
      <c r="K375">
        <v>0</v>
      </c>
      <c r="M375">
        <f t="shared" si="10"/>
        <v>0</v>
      </c>
      <c r="N375" t="str">
        <f t="shared" si="11"/>
        <v>Cuadrado</v>
      </c>
      <c r="O375" t="s">
        <v>20</v>
      </c>
      <c r="P375">
        <v>1143439387</v>
      </c>
    </row>
    <row r="376" spans="1:16" x14ac:dyDescent="0.35">
      <c r="A376">
        <v>795</v>
      </c>
      <c r="B376">
        <v>1029</v>
      </c>
      <c r="C376" t="s">
        <v>16</v>
      </c>
      <c r="D376" t="s">
        <v>16</v>
      </c>
      <c r="E376" s="2">
        <v>46093</v>
      </c>
      <c r="F376" s="2">
        <v>46092</v>
      </c>
      <c r="G376" t="s">
        <v>292</v>
      </c>
      <c r="H376">
        <v>118626650</v>
      </c>
      <c r="I376">
        <v>116766650</v>
      </c>
      <c r="J376">
        <v>6750000</v>
      </c>
      <c r="K376">
        <v>8610000</v>
      </c>
      <c r="M376">
        <f t="shared" si="10"/>
        <v>0</v>
      </c>
      <c r="N376" t="str">
        <f t="shared" si="11"/>
        <v>Cuadrado</v>
      </c>
      <c r="O376" t="s">
        <v>20</v>
      </c>
      <c r="P376">
        <v>91274094</v>
      </c>
    </row>
    <row r="377" spans="1:16" x14ac:dyDescent="0.35">
      <c r="A377">
        <v>32</v>
      </c>
      <c r="B377">
        <v>5027</v>
      </c>
      <c r="C377" t="s">
        <v>16</v>
      </c>
      <c r="D377" t="s">
        <v>16</v>
      </c>
      <c r="E377" s="2">
        <v>46093</v>
      </c>
      <c r="F377" s="2">
        <v>46092</v>
      </c>
      <c r="G377" t="s">
        <v>120</v>
      </c>
      <c r="H377">
        <v>454630750</v>
      </c>
      <c r="I377">
        <v>454630750</v>
      </c>
      <c r="J377">
        <v>0</v>
      </c>
      <c r="K377">
        <v>0</v>
      </c>
      <c r="M377">
        <f t="shared" si="10"/>
        <v>0</v>
      </c>
      <c r="N377" t="str">
        <f t="shared" si="11"/>
        <v>Cuadrado</v>
      </c>
      <c r="O377" t="s">
        <v>20</v>
      </c>
      <c r="P377">
        <v>79750158</v>
      </c>
    </row>
    <row r="378" spans="1:16" x14ac:dyDescent="0.35">
      <c r="A378">
        <v>517</v>
      </c>
      <c r="B378">
        <v>5053</v>
      </c>
      <c r="C378" t="s">
        <v>16</v>
      </c>
      <c r="D378" t="s">
        <v>16</v>
      </c>
      <c r="E378" s="2">
        <v>46093</v>
      </c>
      <c r="F378" s="2">
        <v>46092</v>
      </c>
      <c r="G378" t="s">
        <v>59</v>
      </c>
      <c r="H378">
        <v>241524550</v>
      </c>
      <c r="I378">
        <v>241524550</v>
      </c>
      <c r="J378">
        <v>0</v>
      </c>
      <c r="K378">
        <v>0</v>
      </c>
      <c r="M378">
        <f t="shared" si="10"/>
        <v>0</v>
      </c>
      <c r="N378" t="str">
        <f t="shared" si="11"/>
        <v>Cuadrado</v>
      </c>
      <c r="O378" t="s">
        <v>20</v>
      </c>
      <c r="P378">
        <v>1083026284</v>
      </c>
    </row>
    <row r="379" spans="1:16" x14ac:dyDescent="0.35">
      <c r="A379">
        <v>115</v>
      </c>
      <c r="B379">
        <v>5080</v>
      </c>
      <c r="C379" t="s">
        <v>16</v>
      </c>
      <c r="D379" t="s">
        <v>16</v>
      </c>
      <c r="E379" s="2">
        <v>46093</v>
      </c>
      <c r="F379" s="2">
        <v>46092</v>
      </c>
      <c r="G379" t="s">
        <v>47</v>
      </c>
      <c r="H379">
        <v>307006600</v>
      </c>
      <c r="I379">
        <v>295086600</v>
      </c>
      <c r="J379">
        <v>180000</v>
      </c>
      <c r="K379">
        <v>12100000</v>
      </c>
      <c r="M379">
        <f t="shared" si="10"/>
        <v>0</v>
      </c>
      <c r="N379" t="str">
        <f t="shared" si="11"/>
        <v>Cuadrado</v>
      </c>
      <c r="O379" t="s">
        <v>20</v>
      </c>
      <c r="P379">
        <v>42158306</v>
      </c>
    </row>
    <row r="380" spans="1:16" x14ac:dyDescent="0.35">
      <c r="A380">
        <v>318</v>
      </c>
      <c r="B380">
        <v>5136</v>
      </c>
      <c r="C380" t="s">
        <v>16</v>
      </c>
      <c r="D380" t="s">
        <v>16</v>
      </c>
      <c r="E380" s="2">
        <v>46093</v>
      </c>
      <c r="F380" s="2">
        <v>46092</v>
      </c>
      <c r="G380" t="s">
        <v>176</v>
      </c>
      <c r="H380">
        <v>394667050</v>
      </c>
      <c r="I380">
        <v>310297050</v>
      </c>
      <c r="J380">
        <v>2880000</v>
      </c>
      <c r="K380">
        <v>87250000</v>
      </c>
      <c r="M380">
        <f t="shared" si="10"/>
        <v>0</v>
      </c>
      <c r="N380" t="str">
        <f t="shared" si="11"/>
        <v>Cuadrado</v>
      </c>
      <c r="O380" t="s">
        <v>20</v>
      </c>
      <c r="P380">
        <v>1065862494</v>
      </c>
    </row>
    <row r="381" spans="1:16" x14ac:dyDescent="0.35">
      <c r="A381">
        <v>725</v>
      </c>
      <c r="B381">
        <v>5166</v>
      </c>
      <c r="C381" t="s">
        <v>16</v>
      </c>
      <c r="D381" t="s">
        <v>16</v>
      </c>
      <c r="E381" s="2">
        <v>46093</v>
      </c>
      <c r="F381" s="2">
        <v>46092</v>
      </c>
      <c r="G381" t="s">
        <v>84</v>
      </c>
      <c r="H381">
        <v>249486000</v>
      </c>
      <c r="I381">
        <v>216256000</v>
      </c>
      <c r="J381">
        <v>770000</v>
      </c>
      <c r="K381">
        <v>34000000</v>
      </c>
      <c r="L381">
        <v>0</v>
      </c>
      <c r="M381">
        <f t="shared" si="10"/>
        <v>0</v>
      </c>
      <c r="N381" t="str">
        <f t="shared" si="11"/>
        <v>Cuadrado</v>
      </c>
      <c r="O381" t="s">
        <v>335</v>
      </c>
      <c r="P381">
        <v>1093220078</v>
      </c>
    </row>
    <row r="382" spans="1:16" x14ac:dyDescent="0.35">
      <c r="A382">
        <v>302</v>
      </c>
      <c r="B382">
        <v>5170</v>
      </c>
      <c r="C382" t="s">
        <v>16</v>
      </c>
      <c r="D382" t="s">
        <v>16</v>
      </c>
      <c r="E382" s="2">
        <v>46093</v>
      </c>
      <c r="F382" s="2">
        <v>46092</v>
      </c>
      <c r="G382" t="s">
        <v>209</v>
      </c>
      <c r="H382">
        <v>165896900</v>
      </c>
      <c r="I382">
        <v>176856900</v>
      </c>
      <c r="J382">
        <v>11760000</v>
      </c>
      <c r="K382">
        <v>800000</v>
      </c>
      <c r="L382">
        <v>10000</v>
      </c>
      <c r="M382">
        <f t="shared" si="10"/>
        <v>-10000</v>
      </c>
      <c r="N382" t="str">
        <f t="shared" si="11"/>
        <v>Sobrante</v>
      </c>
      <c r="O382" t="s">
        <v>306</v>
      </c>
      <c r="P382">
        <v>1102374502</v>
      </c>
    </row>
    <row r="383" spans="1:16" x14ac:dyDescent="0.35">
      <c r="A383">
        <v>93</v>
      </c>
      <c r="B383">
        <v>7126</v>
      </c>
      <c r="C383" t="s">
        <v>16</v>
      </c>
      <c r="D383" t="s">
        <v>16</v>
      </c>
      <c r="E383" s="2">
        <v>46093</v>
      </c>
      <c r="F383" s="2">
        <v>46092</v>
      </c>
      <c r="G383" t="s">
        <v>251</v>
      </c>
      <c r="H383">
        <v>249527800</v>
      </c>
      <c r="I383">
        <v>231651150</v>
      </c>
      <c r="J383">
        <v>13790000</v>
      </c>
      <c r="K383">
        <v>31666650</v>
      </c>
      <c r="M383">
        <f t="shared" si="10"/>
        <v>0</v>
      </c>
      <c r="N383" t="str">
        <f t="shared" si="11"/>
        <v>Cuadrado</v>
      </c>
      <c r="O383" t="s">
        <v>20</v>
      </c>
      <c r="P383">
        <v>1067931735</v>
      </c>
    </row>
    <row r="384" spans="1:16" x14ac:dyDescent="0.35">
      <c r="A384">
        <v>725</v>
      </c>
      <c r="B384">
        <v>8090</v>
      </c>
      <c r="C384" t="s">
        <v>16</v>
      </c>
      <c r="D384" t="s">
        <v>16</v>
      </c>
      <c r="E384" s="2">
        <v>46093</v>
      </c>
      <c r="F384" s="2">
        <v>46092</v>
      </c>
      <c r="G384" t="s">
        <v>222</v>
      </c>
      <c r="H384">
        <v>147875200</v>
      </c>
      <c r="I384">
        <v>145705200</v>
      </c>
      <c r="J384">
        <v>2380000</v>
      </c>
      <c r="K384">
        <v>4550000</v>
      </c>
      <c r="M384">
        <f t="shared" si="10"/>
        <v>0</v>
      </c>
      <c r="N384" t="str">
        <f t="shared" si="11"/>
        <v>Cuadrado</v>
      </c>
      <c r="O384" t="s">
        <v>20</v>
      </c>
      <c r="P384">
        <v>1093220078</v>
      </c>
    </row>
    <row r="385" spans="1:16" x14ac:dyDescent="0.35">
      <c r="A385">
        <v>556</v>
      </c>
      <c r="B385">
        <v>8333</v>
      </c>
      <c r="C385" t="s">
        <v>16</v>
      </c>
      <c r="D385" t="s">
        <v>16</v>
      </c>
      <c r="E385" s="2">
        <v>46093</v>
      </c>
      <c r="F385" s="2">
        <v>46092</v>
      </c>
      <c r="G385" t="s">
        <v>91</v>
      </c>
      <c r="H385">
        <v>532663450</v>
      </c>
      <c r="I385">
        <v>521247450</v>
      </c>
      <c r="J385">
        <v>2340000</v>
      </c>
      <c r="K385">
        <v>13756000</v>
      </c>
      <c r="M385">
        <f t="shared" si="10"/>
        <v>0</v>
      </c>
      <c r="N385" t="str">
        <f t="shared" si="11"/>
        <v>Cuadrado</v>
      </c>
      <c r="O385" t="s">
        <v>20</v>
      </c>
      <c r="P385">
        <v>39450196</v>
      </c>
    </row>
    <row r="386" spans="1:16" x14ac:dyDescent="0.35">
      <c r="A386">
        <v>333</v>
      </c>
      <c r="B386">
        <v>442</v>
      </c>
      <c r="C386" t="s">
        <v>22</v>
      </c>
      <c r="D386" t="s">
        <v>22</v>
      </c>
      <c r="E386" s="2">
        <v>46094</v>
      </c>
      <c r="F386" s="2">
        <v>46093</v>
      </c>
      <c r="G386" t="s">
        <v>161</v>
      </c>
      <c r="H386">
        <v>121666050</v>
      </c>
      <c r="I386">
        <v>221716600</v>
      </c>
      <c r="J386">
        <v>13930000</v>
      </c>
      <c r="K386">
        <v>87218000</v>
      </c>
      <c r="L386" t="s">
        <v>336</v>
      </c>
      <c r="M386" t="e">
        <f t="shared" ref="M386:M449" si="12">I386-(H386+J386-K386)- L386</f>
        <v>#VALUE!</v>
      </c>
      <c r="N386" t="e">
        <f t="shared" ref="N386:N449" si="13">IF(M386=0,"Cuadrado",IF(M386&gt;0,"Faltante","Sobrante"))</f>
        <v>#VALUE!</v>
      </c>
      <c r="O386" t="s">
        <v>337</v>
      </c>
      <c r="P386">
        <v>1036606819</v>
      </c>
    </row>
    <row r="387" spans="1:16" x14ac:dyDescent="0.35">
      <c r="A387">
        <v>331</v>
      </c>
      <c r="B387">
        <v>574</v>
      </c>
      <c r="C387" t="s">
        <v>16</v>
      </c>
      <c r="D387" t="s">
        <v>16</v>
      </c>
      <c r="E387" s="2">
        <v>46094</v>
      </c>
      <c r="F387" s="2">
        <v>46093</v>
      </c>
      <c r="G387" t="s">
        <v>338</v>
      </c>
      <c r="H387">
        <v>172377600</v>
      </c>
      <c r="I387">
        <v>121317000</v>
      </c>
      <c r="J387">
        <v>9690000</v>
      </c>
      <c r="K387">
        <v>21919000</v>
      </c>
      <c r="M387">
        <f t="shared" si="12"/>
        <v>-38831600</v>
      </c>
      <c r="N387" t="str">
        <f t="shared" si="13"/>
        <v>Sobrante</v>
      </c>
      <c r="O387" t="s">
        <v>339</v>
      </c>
      <c r="P387">
        <v>32244978</v>
      </c>
    </row>
    <row r="388" spans="1:16" x14ac:dyDescent="0.35">
      <c r="A388">
        <v>907</v>
      </c>
      <c r="B388">
        <v>4830</v>
      </c>
      <c r="C388" t="s">
        <v>16</v>
      </c>
      <c r="D388" t="s">
        <v>16</v>
      </c>
      <c r="E388" s="2">
        <v>46094</v>
      </c>
      <c r="F388" s="2">
        <v>46093</v>
      </c>
      <c r="G388" t="s">
        <v>340</v>
      </c>
      <c r="H388">
        <v>247178100</v>
      </c>
      <c r="I388">
        <v>153400650</v>
      </c>
      <c r="J388">
        <v>18240000</v>
      </c>
      <c r="K388">
        <v>114317450</v>
      </c>
      <c r="L388">
        <v>2300000</v>
      </c>
      <c r="M388">
        <f t="shared" si="12"/>
        <v>0</v>
      </c>
      <c r="N388" t="str">
        <f t="shared" si="13"/>
        <v>Cuadrado</v>
      </c>
      <c r="O388" t="s">
        <v>341</v>
      </c>
      <c r="P388">
        <v>71339401</v>
      </c>
    </row>
    <row r="389" spans="1:16" x14ac:dyDescent="0.35">
      <c r="A389">
        <v>59</v>
      </c>
      <c r="B389">
        <v>5002</v>
      </c>
      <c r="C389" t="s">
        <v>16</v>
      </c>
      <c r="D389" t="s">
        <v>16</v>
      </c>
      <c r="E389" s="2">
        <v>46094</v>
      </c>
      <c r="F389" s="2">
        <v>46093</v>
      </c>
      <c r="G389" t="s">
        <v>289</v>
      </c>
      <c r="H389">
        <v>266439600</v>
      </c>
      <c r="I389">
        <v>274699650</v>
      </c>
      <c r="J389">
        <v>15350000</v>
      </c>
      <c r="K389">
        <v>340000</v>
      </c>
      <c r="M389">
        <f t="shared" si="12"/>
        <v>-6749950</v>
      </c>
      <c r="N389" t="str">
        <f t="shared" si="13"/>
        <v>Sobrante</v>
      </c>
      <c r="O389" t="s">
        <v>339</v>
      </c>
      <c r="P389">
        <v>1060652821</v>
      </c>
    </row>
    <row r="390" spans="1:16" x14ac:dyDescent="0.35">
      <c r="A390">
        <v>907</v>
      </c>
      <c r="B390">
        <v>5019</v>
      </c>
      <c r="C390" t="s">
        <v>16</v>
      </c>
      <c r="D390" t="s">
        <v>16</v>
      </c>
      <c r="E390" s="2">
        <v>46094</v>
      </c>
      <c r="F390" s="2">
        <v>46093</v>
      </c>
      <c r="G390" t="s">
        <v>342</v>
      </c>
      <c r="H390">
        <v>251036450</v>
      </c>
      <c r="I390">
        <v>251376400</v>
      </c>
      <c r="J390">
        <v>14480000</v>
      </c>
      <c r="K390">
        <v>17090000</v>
      </c>
      <c r="L390">
        <v>2949950</v>
      </c>
      <c r="M390">
        <f t="shared" si="12"/>
        <v>0</v>
      </c>
      <c r="N390" t="str">
        <f t="shared" si="13"/>
        <v>Cuadrado</v>
      </c>
      <c r="O390" t="s">
        <v>343</v>
      </c>
      <c r="P390">
        <v>71339401</v>
      </c>
    </row>
    <row r="391" spans="1:16" x14ac:dyDescent="0.35">
      <c r="A391">
        <v>882</v>
      </c>
      <c r="B391">
        <v>5020</v>
      </c>
      <c r="C391" t="s">
        <v>16</v>
      </c>
      <c r="D391" t="s">
        <v>16</v>
      </c>
      <c r="E391" s="2">
        <v>46094</v>
      </c>
      <c r="F391" s="2">
        <v>46093</v>
      </c>
      <c r="G391" t="s">
        <v>72</v>
      </c>
      <c r="H391">
        <v>182972850</v>
      </c>
      <c r="I391">
        <v>183721250</v>
      </c>
      <c r="J391">
        <v>8140000</v>
      </c>
      <c r="K391">
        <v>7189400</v>
      </c>
      <c r="M391">
        <f t="shared" si="12"/>
        <v>-202200</v>
      </c>
      <c r="N391" t="str">
        <f t="shared" si="13"/>
        <v>Sobrante</v>
      </c>
      <c r="O391" t="s">
        <v>339</v>
      </c>
      <c r="P391">
        <v>33369487</v>
      </c>
    </row>
    <row r="392" spans="1:16" x14ac:dyDescent="0.35">
      <c r="A392">
        <v>824</v>
      </c>
      <c r="B392">
        <v>5040</v>
      </c>
      <c r="C392" t="s">
        <v>16</v>
      </c>
      <c r="D392" t="s">
        <v>16</v>
      </c>
      <c r="E392" s="2">
        <v>46094</v>
      </c>
      <c r="F392" s="2">
        <v>46093</v>
      </c>
      <c r="G392" t="s">
        <v>344</v>
      </c>
      <c r="H392">
        <v>95376650</v>
      </c>
      <c r="I392">
        <v>219004650</v>
      </c>
      <c r="J392">
        <v>19940000</v>
      </c>
      <c r="K392">
        <v>40741000</v>
      </c>
      <c r="L392">
        <v>146629000</v>
      </c>
      <c r="M392">
        <f t="shared" si="12"/>
        <v>-2200000</v>
      </c>
      <c r="N392" t="str">
        <f t="shared" si="13"/>
        <v>Sobrante</v>
      </c>
      <c r="O392" t="s">
        <v>339</v>
      </c>
      <c r="P392">
        <v>88259624</v>
      </c>
    </row>
    <row r="393" spans="1:16" x14ac:dyDescent="0.35">
      <c r="A393">
        <v>879</v>
      </c>
      <c r="B393">
        <v>5045</v>
      </c>
      <c r="C393" t="s">
        <v>16</v>
      </c>
      <c r="D393" t="s">
        <v>16</v>
      </c>
      <c r="E393" s="2">
        <v>46094</v>
      </c>
      <c r="F393" s="2">
        <v>46093</v>
      </c>
      <c r="G393" t="s">
        <v>345</v>
      </c>
      <c r="H393">
        <v>199026700</v>
      </c>
      <c r="I393">
        <v>285448950</v>
      </c>
      <c r="J393">
        <v>14230000</v>
      </c>
      <c r="K393">
        <v>208977750</v>
      </c>
      <c r="L393">
        <v>293070000</v>
      </c>
      <c r="M393">
        <f t="shared" si="12"/>
        <v>-11900000</v>
      </c>
      <c r="N393" t="str">
        <f t="shared" si="13"/>
        <v>Sobrante</v>
      </c>
      <c r="O393" t="s">
        <v>339</v>
      </c>
      <c r="P393">
        <v>1085303632</v>
      </c>
    </row>
    <row r="394" spans="1:16" x14ac:dyDescent="0.35">
      <c r="A394">
        <v>723</v>
      </c>
      <c r="B394">
        <v>5046</v>
      </c>
      <c r="C394" t="s">
        <v>16</v>
      </c>
      <c r="D394" t="s">
        <v>16</v>
      </c>
      <c r="E394" s="2">
        <v>46094</v>
      </c>
      <c r="F394" s="2">
        <v>46093</v>
      </c>
      <c r="G394" t="s">
        <v>346</v>
      </c>
      <c r="H394">
        <v>97589500</v>
      </c>
      <c r="I394">
        <v>-28651950</v>
      </c>
      <c r="J394">
        <v>11550000</v>
      </c>
      <c r="K394">
        <v>66259000</v>
      </c>
      <c r="L394">
        <v>-20000000</v>
      </c>
      <c r="M394">
        <f t="shared" si="12"/>
        <v>-51532450</v>
      </c>
      <c r="N394" t="str">
        <f t="shared" si="13"/>
        <v>Sobrante</v>
      </c>
      <c r="O394" t="s">
        <v>339</v>
      </c>
      <c r="P394">
        <v>1088273268</v>
      </c>
    </row>
    <row r="395" spans="1:16" x14ac:dyDescent="0.35">
      <c r="A395">
        <v>261</v>
      </c>
      <c r="B395">
        <v>5048</v>
      </c>
      <c r="C395" t="s">
        <v>16</v>
      </c>
      <c r="D395" t="s">
        <v>16</v>
      </c>
      <c r="E395" s="2">
        <v>46094</v>
      </c>
      <c r="F395" s="2">
        <v>46093</v>
      </c>
      <c r="G395" t="s">
        <v>347</v>
      </c>
      <c r="H395">
        <v>285540550</v>
      </c>
      <c r="I395">
        <v>281433550</v>
      </c>
      <c r="J395">
        <v>490000</v>
      </c>
      <c r="K395">
        <v>4587000</v>
      </c>
      <c r="M395">
        <f t="shared" si="12"/>
        <v>-10000</v>
      </c>
      <c r="N395" t="str">
        <f t="shared" si="13"/>
        <v>Sobrante</v>
      </c>
      <c r="O395" t="s">
        <v>339</v>
      </c>
      <c r="P395">
        <v>34327627</v>
      </c>
    </row>
    <row r="396" spans="1:16" x14ac:dyDescent="0.35">
      <c r="A396">
        <v>916</v>
      </c>
      <c r="B396">
        <v>5052</v>
      </c>
      <c r="C396" t="s">
        <v>16</v>
      </c>
      <c r="D396" t="s">
        <v>16</v>
      </c>
      <c r="E396" s="2">
        <v>46094</v>
      </c>
      <c r="F396" s="2">
        <v>46093</v>
      </c>
      <c r="G396" t="s">
        <v>348</v>
      </c>
      <c r="H396">
        <v>164187650</v>
      </c>
      <c r="I396">
        <v>164089650</v>
      </c>
      <c r="J396">
        <v>0</v>
      </c>
      <c r="K396">
        <v>0</v>
      </c>
      <c r="M396">
        <f t="shared" si="12"/>
        <v>-98000</v>
      </c>
      <c r="N396" t="str">
        <f t="shared" si="13"/>
        <v>Sobrante</v>
      </c>
      <c r="O396" t="s">
        <v>339</v>
      </c>
      <c r="P396">
        <v>1082887437</v>
      </c>
    </row>
    <row r="397" spans="1:16" x14ac:dyDescent="0.35">
      <c r="A397">
        <v>652</v>
      </c>
      <c r="B397">
        <v>5070</v>
      </c>
      <c r="C397" t="s">
        <v>16</v>
      </c>
      <c r="D397" t="s">
        <v>16</v>
      </c>
      <c r="E397" s="2">
        <v>46094</v>
      </c>
      <c r="F397" s="2">
        <v>46093</v>
      </c>
      <c r="G397" t="s">
        <v>249</v>
      </c>
      <c r="H397">
        <v>169534650</v>
      </c>
      <c r="I397">
        <v>168891300</v>
      </c>
      <c r="J397">
        <v>30440000</v>
      </c>
      <c r="K397">
        <v>31824600</v>
      </c>
      <c r="M397">
        <f t="shared" si="12"/>
        <v>741250</v>
      </c>
      <c r="N397" t="str">
        <f t="shared" si="13"/>
        <v>Faltante</v>
      </c>
      <c r="O397" t="s">
        <v>18</v>
      </c>
      <c r="P397">
        <v>1010190714</v>
      </c>
    </row>
    <row r="398" spans="1:16" x14ac:dyDescent="0.35">
      <c r="A398">
        <v>265</v>
      </c>
      <c r="B398">
        <v>5083</v>
      </c>
      <c r="C398" t="s">
        <v>16</v>
      </c>
      <c r="D398" t="s">
        <v>16</v>
      </c>
      <c r="E398" s="2">
        <v>46094</v>
      </c>
      <c r="F398" s="2">
        <v>46093</v>
      </c>
      <c r="G398" t="s">
        <v>132</v>
      </c>
      <c r="H398">
        <v>168718750</v>
      </c>
      <c r="I398">
        <v>163720750</v>
      </c>
      <c r="J398">
        <v>10140000</v>
      </c>
      <c r="K398">
        <v>15135000</v>
      </c>
      <c r="M398">
        <f t="shared" si="12"/>
        <v>-3000</v>
      </c>
      <c r="N398" t="str">
        <f t="shared" si="13"/>
        <v>Sobrante</v>
      </c>
      <c r="O398" t="s">
        <v>339</v>
      </c>
      <c r="P398">
        <v>1107081130</v>
      </c>
    </row>
    <row r="399" spans="1:16" x14ac:dyDescent="0.35">
      <c r="A399">
        <v>197</v>
      </c>
      <c r="B399">
        <v>5084</v>
      </c>
      <c r="C399" t="s">
        <v>16</v>
      </c>
      <c r="D399" t="s">
        <v>16</v>
      </c>
      <c r="E399" s="2">
        <v>46094</v>
      </c>
      <c r="F399" s="2">
        <v>46093</v>
      </c>
      <c r="G399" t="s">
        <v>234</v>
      </c>
      <c r="H399">
        <v>126202900</v>
      </c>
      <c r="I399">
        <v>335703700</v>
      </c>
      <c r="J399">
        <v>8820000</v>
      </c>
      <c r="K399">
        <v>123940200</v>
      </c>
      <c r="L399">
        <v>326401000</v>
      </c>
      <c r="M399">
        <f t="shared" si="12"/>
        <v>-1780000</v>
      </c>
      <c r="N399" t="str">
        <f t="shared" si="13"/>
        <v>Sobrante</v>
      </c>
      <c r="O399" t="s">
        <v>339</v>
      </c>
      <c r="P399">
        <v>1065652660</v>
      </c>
    </row>
    <row r="400" spans="1:16" x14ac:dyDescent="0.35">
      <c r="A400">
        <v>634</v>
      </c>
      <c r="B400">
        <v>5087</v>
      </c>
      <c r="C400" t="s">
        <v>16</v>
      </c>
      <c r="D400" t="s">
        <v>16</v>
      </c>
      <c r="E400" s="2">
        <v>46094</v>
      </c>
      <c r="F400" s="2">
        <v>46093</v>
      </c>
      <c r="G400" t="s">
        <v>221</v>
      </c>
      <c r="H400">
        <v>184957000</v>
      </c>
      <c r="I400">
        <v>200857000</v>
      </c>
      <c r="J400">
        <v>19380000</v>
      </c>
      <c r="K400">
        <v>6550000</v>
      </c>
      <c r="L400">
        <v>3070000</v>
      </c>
      <c r="M400">
        <f t="shared" si="12"/>
        <v>0</v>
      </c>
      <c r="N400" t="str">
        <f t="shared" si="13"/>
        <v>Cuadrado</v>
      </c>
      <c r="O400" t="s">
        <v>349</v>
      </c>
      <c r="P400">
        <v>1032424944</v>
      </c>
    </row>
    <row r="401" spans="1:16" x14ac:dyDescent="0.35">
      <c r="A401">
        <v>88</v>
      </c>
      <c r="B401">
        <v>5111</v>
      </c>
      <c r="C401" t="s">
        <v>16</v>
      </c>
      <c r="D401" t="s">
        <v>16</v>
      </c>
      <c r="E401" s="2">
        <v>46094</v>
      </c>
      <c r="F401" s="2">
        <v>46093</v>
      </c>
      <c r="G401" t="s">
        <v>350</v>
      </c>
      <c r="H401">
        <v>373087100</v>
      </c>
      <c r="I401">
        <v>381382100</v>
      </c>
      <c r="J401">
        <v>8090000</v>
      </c>
      <c r="K401">
        <v>0</v>
      </c>
      <c r="M401">
        <f t="shared" si="12"/>
        <v>205000</v>
      </c>
      <c r="N401" t="str">
        <f t="shared" si="13"/>
        <v>Faltante</v>
      </c>
      <c r="O401" t="s">
        <v>33</v>
      </c>
      <c r="P401">
        <v>27697484</v>
      </c>
    </row>
    <row r="402" spans="1:16" x14ac:dyDescent="0.35">
      <c r="A402">
        <v>291</v>
      </c>
      <c r="B402">
        <v>5114</v>
      </c>
      <c r="C402" t="s">
        <v>16</v>
      </c>
      <c r="D402" t="s">
        <v>16</v>
      </c>
      <c r="E402" s="2">
        <v>46094</v>
      </c>
      <c r="F402" s="2">
        <v>46093</v>
      </c>
      <c r="G402" t="s">
        <v>66</v>
      </c>
      <c r="H402">
        <v>117934000</v>
      </c>
      <c r="I402">
        <v>120999000</v>
      </c>
      <c r="J402">
        <v>9680000</v>
      </c>
      <c r="K402">
        <v>4609000</v>
      </c>
      <c r="L402">
        <v>-6000</v>
      </c>
      <c r="M402">
        <f t="shared" si="12"/>
        <v>-2000000</v>
      </c>
      <c r="N402" t="str">
        <f t="shared" si="13"/>
        <v>Sobrante</v>
      </c>
      <c r="O402" t="s">
        <v>339</v>
      </c>
      <c r="P402">
        <v>1095930956</v>
      </c>
    </row>
    <row r="403" spans="1:16" x14ac:dyDescent="0.35">
      <c r="A403">
        <v>76</v>
      </c>
      <c r="B403">
        <v>5126</v>
      </c>
      <c r="C403" t="s">
        <v>16</v>
      </c>
      <c r="D403" t="s">
        <v>16</v>
      </c>
      <c r="E403" s="2">
        <v>46094</v>
      </c>
      <c r="F403" s="2">
        <v>46093</v>
      </c>
      <c r="G403" t="s">
        <v>351</v>
      </c>
      <c r="H403">
        <v>98635700</v>
      </c>
      <c r="I403">
        <v>106975700</v>
      </c>
      <c r="J403">
        <v>24850000</v>
      </c>
      <c r="K403">
        <v>16853000</v>
      </c>
      <c r="L403">
        <v>343000</v>
      </c>
      <c r="M403">
        <f t="shared" si="12"/>
        <v>0</v>
      </c>
      <c r="N403" t="str">
        <f t="shared" si="13"/>
        <v>Cuadrado</v>
      </c>
      <c r="O403" t="s">
        <v>20</v>
      </c>
      <c r="P403">
        <v>7688705</v>
      </c>
    </row>
    <row r="404" spans="1:16" x14ac:dyDescent="0.35">
      <c r="A404">
        <v>829</v>
      </c>
      <c r="B404">
        <v>5137</v>
      </c>
      <c r="C404" t="s">
        <v>16</v>
      </c>
      <c r="D404" t="s">
        <v>16</v>
      </c>
      <c r="E404" s="2">
        <v>46094</v>
      </c>
      <c r="F404" s="2">
        <v>46093</v>
      </c>
      <c r="G404" t="s">
        <v>318</v>
      </c>
      <c r="H404">
        <v>167145500</v>
      </c>
      <c r="I404">
        <v>139165000</v>
      </c>
      <c r="J404">
        <v>1290000</v>
      </c>
      <c r="K404">
        <v>17770000</v>
      </c>
      <c r="L404">
        <v>-3910500</v>
      </c>
      <c r="M404">
        <f t="shared" si="12"/>
        <v>-7590000</v>
      </c>
      <c r="N404" t="str">
        <f t="shared" si="13"/>
        <v>Sobrante</v>
      </c>
      <c r="O404" t="s">
        <v>339</v>
      </c>
      <c r="P404">
        <v>31306454</v>
      </c>
    </row>
    <row r="405" spans="1:16" x14ac:dyDescent="0.35">
      <c r="A405">
        <v>258</v>
      </c>
      <c r="B405">
        <v>5155</v>
      </c>
      <c r="C405" t="s">
        <v>16</v>
      </c>
      <c r="D405" t="s">
        <v>16</v>
      </c>
      <c r="E405" s="2">
        <v>46094</v>
      </c>
      <c r="F405" s="2">
        <v>46093</v>
      </c>
      <c r="G405" t="s">
        <v>352</v>
      </c>
      <c r="H405">
        <v>219171850</v>
      </c>
      <c r="I405">
        <v>213369650</v>
      </c>
      <c r="J405">
        <v>0</v>
      </c>
      <c r="K405">
        <v>0</v>
      </c>
      <c r="M405">
        <f t="shared" si="12"/>
        <v>-5802200</v>
      </c>
      <c r="N405" t="str">
        <f t="shared" si="13"/>
        <v>Sobrante</v>
      </c>
      <c r="O405" t="s">
        <v>339</v>
      </c>
      <c r="P405">
        <v>1049625867</v>
      </c>
    </row>
    <row r="406" spans="1:16" x14ac:dyDescent="0.35">
      <c r="A406">
        <v>70</v>
      </c>
      <c r="B406">
        <v>5164</v>
      </c>
      <c r="C406" t="s">
        <v>16</v>
      </c>
      <c r="D406" t="s">
        <v>16</v>
      </c>
      <c r="E406" s="2">
        <v>46094</v>
      </c>
      <c r="F406" s="2">
        <v>46093</v>
      </c>
      <c r="G406" t="s">
        <v>244</v>
      </c>
      <c r="H406">
        <v>61802150</v>
      </c>
      <c r="I406">
        <v>143882150</v>
      </c>
      <c r="J406">
        <v>10760000</v>
      </c>
      <c r="K406">
        <v>18060000</v>
      </c>
      <c r="L406">
        <v>93155000</v>
      </c>
      <c r="M406">
        <f t="shared" si="12"/>
        <v>-3775000</v>
      </c>
      <c r="N406" t="str">
        <f t="shared" si="13"/>
        <v>Sobrante</v>
      </c>
      <c r="O406" t="s">
        <v>339</v>
      </c>
      <c r="P406">
        <v>1053770486</v>
      </c>
    </row>
    <row r="407" spans="1:16" x14ac:dyDescent="0.35">
      <c r="A407">
        <v>420</v>
      </c>
      <c r="B407">
        <v>5173</v>
      </c>
      <c r="C407" t="s">
        <v>16</v>
      </c>
      <c r="D407" t="s">
        <v>16</v>
      </c>
      <c r="E407" s="2">
        <v>46094</v>
      </c>
      <c r="F407" s="2">
        <v>46093</v>
      </c>
      <c r="G407" t="s">
        <v>353</v>
      </c>
      <c r="H407">
        <v>117980200</v>
      </c>
      <c r="I407">
        <v>115825200</v>
      </c>
      <c r="J407">
        <v>3370000</v>
      </c>
      <c r="K407">
        <v>3380000</v>
      </c>
      <c r="M407">
        <f t="shared" si="12"/>
        <v>-2145000</v>
      </c>
      <c r="N407" t="str">
        <f t="shared" si="13"/>
        <v>Sobrante</v>
      </c>
      <c r="O407" t="s">
        <v>339</v>
      </c>
      <c r="P407">
        <v>1020436470</v>
      </c>
    </row>
    <row r="408" spans="1:16" x14ac:dyDescent="0.35">
      <c r="A408">
        <v>198</v>
      </c>
      <c r="B408">
        <v>5179</v>
      </c>
      <c r="C408" t="s">
        <v>16</v>
      </c>
      <c r="D408" t="s">
        <v>16</v>
      </c>
      <c r="E408" s="2">
        <v>46094</v>
      </c>
      <c r="F408" s="2">
        <v>46093</v>
      </c>
      <c r="G408" t="s">
        <v>354</v>
      </c>
      <c r="H408">
        <v>178003800</v>
      </c>
      <c r="I408">
        <v>185488800</v>
      </c>
      <c r="J408">
        <v>9620000</v>
      </c>
      <c r="K408">
        <v>8389950</v>
      </c>
      <c r="L408">
        <v>6254950</v>
      </c>
      <c r="M408">
        <f t="shared" si="12"/>
        <v>0</v>
      </c>
      <c r="N408" t="str">
        <f t="shared" si="13"/>
        <v>Cuadrado</v>
      </c>
      <c r="O408" t="s">
        <v>355</v>
      </c>
      <c r="P408">
        <v>53031419</v>
      </c>
    </row>
    <row r="409" spans="1:16" x14ac:dyDescent="0.35">
      <c r="A409">
        <v>383</v>
      </c>
      <c r="B409">
        <v>5194</v>
      </c>
      <c r="C409" t="s">
        <v>16</v>
      </c>
      <c r="D409" t="s">
        <v>16</v>
      </c>
      <c r="E409" s="2">
        <v>46094</v>
      </c>
      <c r="F409" s="2">
        <v>46093</v>
      </c>
      <c r="G409" t="s">
        <v>356</v>
      </c>
      <c r="H409">
        <v>128733000</v>
      </c>
      <c r="I409">
        <v>9909000</v>
      </c>
      <c r="J409">
        <v>2550000</v>
      </c>
      <c r="K409">
        <v>5100000</v>
      </c>
      <c r="M409">
        <f t="shared" si="12"/>
        <v>-116274000</v>
      </c>
      <c r="N409" t="str">
        <f t="shared" si="13"/>
        <v>Sobrante</v>
      </c>
      <c r="O409" t="s">
        <v>339</v>
      </c>
      <c r="P409">
        <v>1073160492</v>
      </c>
    </row>
    <row r="410" spans="1:16" x14ac:dyDescent="0.35">
      <c r="A410">
        <v>816</v>
      </c>
      <c r="B410">
        <v>5205</v>
      </c>
      <c r="C410" t="s">
        <v>16</v>
      </c>
      <c r="D410" t="s">
        <v>16</v>
      </c>
      <c r="E410" s="2">
        <v>46094</v>
      </c>
      <c r="F410" s="2">
        <v>46093</v>
      </c>
      <c r="G410" t="s">
        <v>282</v>
      </c>
      <c r="H410">
        <v>102244950</v>
      </c>
      <c r="I410">
        <v>86572850</v>
      </c>
      <c r="J410">
        <v>580000</v>
      </c>
      <c r="K410">
        <v>13500000</v>
      </c>
      <c r="M410">
        <f t="shared" si="12"/>
        <v>-2752100</v>
      </c>
      <c r="N410" t="str">
        <f t="shared" si="13"/>
        <v>Sobrante</v>
      </c>
      <c r="O410" t="s">
        <v>339</v>
      </c>
      <c r="P410">
        <v>60396209</v>
      </c>
    </row>
    <row r="411" spans="1:16" x14ac:dyDescent="0.35">
      <c r="A411">
        <v>455</v>
      </c>
      <c r="B411">
        <v>5206</v>
      </c>
      <c r="C411" t="s">
        <v>16</v>
      </c>
      <c r="D411" t="s">
        <v>16</v>
      </c>
      <c r="E411" s="2">
        <v>46094</v>
      </c>
      <c r="F411" s="2">
        <v>46093</v>
      </c>
      <c r="G411" t="s">
        <v>68</v>
      </c>
      <c r="H411">
        <v>191508150</v>
      </c>
      <c r="I411">
        <v>173237600</v>
      </c>
      <c r="J411">
        <v>2070000</v>
      </c>
      <c r="K411">
        <v>17940000</v>
      </c>
      <c r="M411">
        <f t="shared" si="12"/>
        <v>-2400550</v>
      </c>
      <c r="N411" t="str">
        <f t="shared" si="13"/>
        <v>Sobrante</v>
      </c>
      <c r="O411" t="s">
        <v>339</v>
      </c>
      <c r="P411">
        <v>1083896352</v>
      </c>
    </row>
    <row r="412" spans="1:16" x14ac:dyDescent="0.35">
      <c r="A412">
        <v>16</v>
      </c>
      <c r="B412">
        <v>5219</v>
      </c>
      <c r="C412" t="s">
        <v>16</v>
      </c>
      <c r="D412" t="s">
        <v>16</v>
      </c>
      <c r="E412" s="2">
        <v>46094</v>
      </c>
      <c r="F412" s="2">
        <v>46093</v>
      </c>
      <c r="G412" t="s">
        <v>303</v>
      </c>
      <c r="H412">
        <v>128031250</v>
      </c>
      <c r="I412">
        <v>134121400</v>
      </c>
      <c r="J412">
        <v>6440000</v>
      </c>
      <c r="K412">
        <v>13451000</v>
      </c>
      <c r="L412">
        <v>13101150</v>
      </c>
      <c r="M412">
        <f t="shared" si="12"/>
        <v>0</v>
      </c>
      <c r="N412" t="str">
        <f t="shared" si="13"/>
        <v>Cuadrado</v>
      </c>
      <c r="O412" t="s">
        <v>20</v>
      </c>
      <c r="P412">
        <v>1128405320</v>
      </c>
    </row>
    <row r="413" spans="1:16" x14ac:dyDescent="0.35">
      <c r="A413">
        <v>844</v>
      </c>
      <c r="B413">
        <v>6169</v>
      </c>
      <c r="C413" t="s">
        <v>16</v>
      </c>
      <c r="D413" t="s">
        <v>16</v>
      </c>
      <c r="E413" s="2">
        <v>46094</v>
      </c>
      <c r="F413" s="2">
        <v>46093</v>
      </c>
      <c r="G413" t="s">
        <v>357</v>
      </c>
      <c r="H413">
        <v>60723800</v>
      </c>
      <c r="I413">
        <v>70080600</v>
      </c>
      <c r="J413">
        <v>34430000</v>
      </c>
      <c r="K413">
        <v>38075000</v>
      </c>
      <c r="L413" t="s">
        <v>358</v>
      </c>
      <c r="M413" t="e">
        <f t="shared" si="12"/>
        <v>#VALUE!</v>
      </c>
      <c r="N413" t="e">
        <f t="shared" si="13"/>
        <v>#VALUE!</v>
      </c>
      <c r="O413" t="s">
        <v>339</v>
      </c>
      <c r="P413">
        <v>1121898145</v>
      </c>
    </row>
    <row r="414" spans="1:16" x14ac:dyDescent="0.35">
      <c r="A414">
        <v>820</v>
      </c>
      <c r="B414">
        <v>6174</v>
      </c>
      <c r="C414" t="s">
        <v>16</v>
      </c>
      <c r="D414" t="s">
        <v>16</v>
      </c>
      <c r="E414" s="2">
        <v>46094</v>
      </c>
      <c r="F414" s="2">
        <v>46093</v>
      </c>
      <c r="G414" t="s">
        <v>105</v>
      </c>
      <c r="H414">
        <v>210582100</v>
      </c>
      <c r="I414">
        <v>230572200</v>
      </c>
      <c r="J414">
        <v>5340000</v>
      </c>
      <c r="K414">
        <v>2050000</v>
      </c>
      <c r="L414">
        <v>55699000</v>
      </c>
      <c r="M414">
        <f t="shared" si="12"/>
        <v>-38998900</v>
      </c>
      <c r="N414" t="str">
        <f t="shared" si="13"/>
        <v>Sobrante</v>
      </c>
      <c r="O414" t="s">
        <v>339</v>
      </c>
      <c r="P414">
        <v>1090400247</v>
      </c>
    </row>
    <row r="415" spans="1:16" x14ac:dyDescent="0.35">
      <c r="A415">
        <v>688</v>
      </c>
      <c r="B415">
        <v>6209</v>
      </c>
      <c r="C415" t="s">
        <v>22</v>
      </c>
      <c r="D415" t="s">
        <v>16</v>
      </c>
      <c r="E415" s="2">
        <v>46094</v>
      </c>
      <c r="F415" s="2">
        <v>46093</v>
      </c>
      <c r="G415" t="s">
        <v>130</v>
      </c>
      <c r="H415">
        <v>270578200</v>
      </c>
      <c r="I415">
        <v>223172200</v>
      </c>
      <c r="J415">
        <v>37190000</v>
      </c>
      <c r="K415">
        <v>69596000</v>
      </c>
      <c r="L415">
        <v>-15000000</v>
      </c>
      <c r="M415">
        <f t="shared" si="12"/>
        <v>0</v>
      </c>
      <c r="N415" t="str">
        <f t="shared" si="13"/>
        <v>Cuadrado</v>
      </c>
      <c r="O415" t="s">
        <v>20</v>
      </c>
      <c r="P415">
        <v>1010183662</v>
      </c>
    </row>
    <row r="416" spans="1:16" x14ac:dyDescent="0.35">
      <c r="A416">
        <v>74</v>
      </c>
      <c r="B416">
        <v>6215</v>
      </c>
      <c r="C416" t="s">
        <v>22</v>
      </c>
      <c r="D416" t="s">
        <v>22</v>
      </c>
      <c r="E416" s="2">
        <v>46094</v>
      </c>
      <c r="F416" s="2">
        <v>46093</v>
      </c>
      <c r="G416" t="s">
        <v>323</v>
      </c>
      <c r="H416">
        <v>106897450</v>
      </c>
      <c r="I416">
        <v>88349450</v>
      </c>
      <c r="J416">
        <v>1000000</v>
      </c>
      <c r="K416">
        <v>15150000</v>
      </c>
      <c r="L416">
        <v>-1693000</v>
      </c>
      <c r="M416">
        <f t="shared" si="12"/>
        <v>-2705000</v>
      </c>
      <c r="N416" t="str">
        <f t="shared" si="13"/>
        <v>Sobrante</v>
      </c>
      <c r="O416" t="s">
        <v>339</v>
      </c>
      <c r="P416">
        <v>59314706</v>
      </c>
    </row>
    <row r="417" spans="1:16" x14ac:dyDescent="0.35">
      <c r="A417">
        <v>236</v>
      </c>
      <c r="B417">
        <v>6242</v>
      </c>
      <c r="C417" t="s">
        <v>16</v>
      </c>
      <c r="D417" t="s">
        <v>16</v>
      </c>
      <c r="E417" s="2">
        <v>46094</v>
      </c>
      <c r="F417" s="2">
        <v>46093</v>
      </c>
      <c r="G417" t="s">
        <v>133</v>
      </c>
      <c r="H417">
        <v>210004600</v>
      </c>
      <c r="I417">
        <v>249923600</v>
      </c>
      <c r="J417">
        <v>0</v>
      </c>
      <c r="K417">
        <v>0</v>
      </c>
      <c r="M417">
        <f t="shared" si="12"/>
        <v>39919000</v>
      </c>
      <c r="N417" t="str">
        <f t="shared" si="13"/>
        <v>Faltante</v>
      </c>
      <c r="O417" t="s">
        <v>33</v>
      </c>
      <c r="P417">
        <v>71369714</v>
      </c>
    </row>
    <row r="418" spans="1:16" x14ac:dyDescent="0.35">
      <c r="A418">
        <v>79</v>
      </c>
      <c r="B418">
        <v>6245</v>
      </c>
      <c r="C418" t="s">
        <v>16</v>
      </c>
      <c r="D418" t="s">
        <v>16</v>
      </c>
      <c r="E418" s="2">
        <v>46094</v>
      </c>
      <c r="F418" s="2">
        <v>46093</v>
      </c>
      <c r="G418" t="s">
        <v>359</v>
      </c>
      <c r="H418">
        <v>3189950</v>
      </c>
      <c r="I418">
        <v>375845000</v>
      </c>
      <c r="J418">
        <v>0</v>
      </c>
      <c r="K418">
        <v>6025000</v>
      </c>
      <c r="L418">
        <v>383680000</v>
      </c>
      <c r="M418">
        <f t="shared" si="12"/>
        <v>-4999950</v>
      </c>
      <c r="N418" t="str">
        <f t="shared" si="13"/>
        <v>Sobrante</v>
      </c>
      <c r="O418" t="s">
        <v>339</v>
      </c>
      <c r="P418">
        <v>79772242</v>
      </c>
    </row>
    <row r="419" spans="1:16" x14ac:dyDescent="0.35">
      <c r="A419">
        <v>78</v>
      </c>
      <c r="B419">
        <v>6246</v>
      </c>
      <c r="C419" t="s">
        <v>16</v>
      </c>
      <c r="D419" t="s">
        <v>16</v>
      </c>
      <c r="E419" s="2">
        <v>46094</v>
      </c>
      <c r="F419" s="2">
        <v>46093</v>
      </c>
      <c r="G419" t="s">
        <v>129</v>
      </c>
      <c r="H419">
        <v>240659850</v>
      </c>
      <c r="I419">
        <v>247209850</v>
      </c>
      <c r="J419">
        <v>990000</v>
      </c>
      <c r="K419">
        <v>0</v>
      </c>
      <c r="L419">
        <v>5560000</v>
      </c>
      <c r="M419">
        <f t="shared" si="12"/>
        <v>0</v>
      </c>
      <c r="N419" t="str">
        <f t="shared" si="13"/>
        <v>Cuadrado</v>
      </c>
      <c r="O419" t="s">
        <v>360</v>
      </c>
      <c r="P419">
        <v>1098657131</v>
      </c>
    </row>
    <row r="420" spans="1:16" x14ac:dyDescent="0.35">
      <c r="A420">
        <v>524</v>
      </c>
      <c r="B420">
        <v>6336</v>
      </c>
      <c r="C420" t="s">
        <v>16</v>
      </c>
      <c r="D420" t="s">
        <v>16</v>
      </c>
      <c r="E420" s="2">
        <v>46094</v>
      </c>
      <c r="F420" s="2">
        <v>46093</v>
      </c>
      <c r="G420" t="s">
        <v>361</v>
      </c>
      <c r="H420">
        <v>28358950</v>
      </c>
      <c r="I420">
        <v>28462950</v>
      </c>
      <c r="J420">
        <v>500000</v>
      </c>
      <c r="K420">
        <v>400000</v>
      </c>
      <c r="M420">
        <f t="shared" si="12"/>
        <v>4000</v>
      </c>
      <c r="N420" t="str">
        <f t="shared" si="13"/>
        <v>Faltante</v>
      </c>
      <c r="O420" t="s">
        <v>337</v>
      </c>
      <c r="P420">
        <v>1004211532</v>
      </c>
    </row>
    <row r="421" spans="1:16" x14ac:dyDescent="0.35">
      <c r="A421">
        <v>237</v>
      </c>
      <c r="B421">
        <v>6467</v>
      </c>
      <c r="C421" t="s">
        <v>16</v>
      </c>
      <c r="D421" t="s">
        <v>16</v>
      </c>
      <c r="E421" s="2">
        <v>46094</v>
      </c>
      <c r="F421" s="2">
        <v>46093</v>
      </c>
      <c r="G421" t="s">
        <v>53</v>
      </c>
      <c r="H421">
        <v>116595550</v>
      </c>
      <c r="I421">
        <v>117060550</v>
      </c>
      <c r="J421">
        <v>710000</v>
      </c>
      <c r="K421">
        <v>400000</v>
      </c>
      <c r="L421">
        <v>155000</v>
      </c>
      <c r="M421">
        <f t="shared" si="12"/>
        <v>0</v>
      </c>
      <c r="N421" t="str">
        <f t="shared" si="13"/>
        <v>Cuadrado</v>
      </c>
      <c r="O421" t="s">
        <v>362</v>
      </c>
      <c r="P421">
        <v>1016078081</v>
      </c>
    </row>
    <row r="422" spans="1:16" x14ac:dyDescent="0.35">
      <c r="A422">
        <v>352</v>
      </c>
      <c r="B422">
        <v>6618</v>
      </c>
      <c r="C422" t="s">
        <v>16</v>
      </c>
      <c r="D422" t="s">
        <v>16</v>
      </c>
      <c r="E422" s="2">
        <v>46094</v>
      </c>
      <c r="F422" s="2">
        <v>46093</v>
      </c>
      <c r="G422" t="s">
        <v>363</v>
      </c>
      <c r="H422">
        <v>252384600</v>
      </c>
      <c r="I422">
        <v>261196200</v>
      </c>
      <c r="J422">
        <v>42950000</v>
      </c>
      <c r="K422">
        <v>43885000</v>
      </c>
      <c r="L422">
        <v>9750600</v>
      </c>
      <c r="M422">
        <f t="shared" si="12"/>
        <v>-4000</v>
      </c>
      <c r="N422" t="str">
        <f t="shared" si="13"/>
        <v>Sobrante</v>
      </c>
      <c r="O422" t="s">
        <v>339</v>
      </c>
      <c r="P422">
        <v>28559006</v>
      </c>
    </row>
    <row r="423" spans="1:16" x14ac:dyDescent="0.35">
      <c r="A423">
        <v>138</v>
      </c>
      <c r="B423">
        <v>6628</v>
      </c>
      <c r="C423" t="s">
        <v>22</v>
      </c>
      <c r="D423" t="s">
        <v>16</v>
      </c>
      <c r="E423" s="2">
        <v>46094</v>
      </c>
      <c r="F423" s="2">
        <v>46093</v>
      </c>
      <c r="G423" t="s">
        <v>364</v>
      </c>
      <c r="H423">
        <v>316378600</v>
      </c>
      <c r="I423">
        <v>316913600</v>
      </c>
      <c r="J423">
        <v>5900000</v>
      </c>
      <c r="K423">
        <v>5364000</v>
      </c>
      <c r="M423">
        <f t="shared" si="12"/>
        <v>-1000</v>
      </c>
      <c r="N423" t="str">
        <f t="shared" si="13"/>
        <v>Sobrante</v>
      </c>
      <c r="O423" t="s">
        <v>339</v>
      </c>
      <c r="P423">
        <v>1023884092</v>
      </c>
    </row>
    <row r="424" spans="1:16" x14ac:dyDescent="0.35">
      <c r="A424">
        <v>613</v>
      </c>
      <c r="B424">
        <v>6713</v>
      </c>
      <c r="C424" t="s">
        <v>22</v>
      </c>
      <c r="D424" t="s">
        <v>22</v>
      </c>
      <c r="E424" s="2">
        <v>46094</v>
      </c>
      <c r="F424" s="2">
        <v>46093</v>
      </c>
      <c r="G424" t="s">
        <v>141</v>
      </c>
      <c r="H424">
        <v>209794550</v>
      </c>
      <c r="I424">
        <v>209539550</v>
      </c>
      <c r="J424">
        <v>250000</v>
      </c>
      <c r="K424">
        <v>1302000</v>
      </c>
      <c r="L424">
        <v>797000</v>
      </c>
      <c r="M424">
        <f t="shared" si="12"/>
        <v>0</v>
      </c>
      <c r="N424" t="str">
        <f t="shared" si="13"/>
        <v>Cuadrado</v>
      </c>
      <c r="O424" t="s">
        <v>365</v>
      </c>
      <c r="P424">
        <v>1040325060</v>
      </c>
    </row>
    <row r="425" spans="1:16" x14ac:dyDescent="0.35">
      <c r="A425">
        <v>20</v>
      </c>
      <c r="B425">
        <v>6839</v>
      </c>
      <c r="C425" t="s">
        <v>16</v>
      </c>
      <c r="D425" t="s">
        <v>16</v>
      </c>
      <c r="E425" s="2">
        <v>46094</v>
      </c>
      <c r="F425" s="2">
        <v>46093</v>
      </c>
      <c r="G425" t="s">
        <v>28</v>
      </c>
      <c r="H425">
        <v>22358800</v>
      </c>
      <c r="I425">
        <v>85371800</v>
      </c>
      <c r="J425">
        <v>51740000</v>
      </c>
      <c r="K425">
        <v>23245000</v>
      </c>
      <c r="L425">
        <v>33328000</v>
      </c>
      <c r="M425">
        <f t="shared" si="12"/>
        <v>1190000</v>
      </c>
      <c r="N425" t="str">
        <f t="shared" si="13"/>
        <v>Faltante</v>
      </c>
      <c r="O425" t="s">
        <v>366</v>
      </c>
      <c r="P425">
        <v>91232943</v>
      </c>
    </row>
    <row r="426" spans="1:16" x14ac:dyDescent="0.35">
      <c r="A426">
        <v>536</v>
      </c>
      <c r="B426">
        <v>6927</v>
      </c>
      <c r="C426" t="s">
        <v>22</v>
      </c>
      <c r="D426" t="s">
        <v>16</v>
      </c>
      <c r="E426" s="2">
        <v>46094</v>
      </c>
      <c r="F426" s="2">
        <v>46093</v>
      </c>
      <c r="G426" t="s">
        <v>275</v>
      </c>
      <c r="H426">
        <v>369829900</v>
      </c>
      <c r="I426">
        <v>315219000</v>
      </c>
      <c r="J426">
        <v>20580000</v>
      </c>
      <c r="K426">
        <v>76314900</v>
      </c>
      <c r="L426">
        <v>1124000</v>
      </c>
      <c r="M426">
        <f t="shared" si="12"/>
        <v>0</v>
      </c>
      <c r="N426" t="str">
        <f t="shared" si="13"/>
        <v>Cuadrado</v>
      </c>
      <c r="O426" t="s">
        <v>367</v>
      </c>
      <c r="P426">
        <v>35891536</v>
      </c>
    </row>
    <row r="427" spans="1:16" x14ac:dyDescent="0.35">
      <c r="A427">
        <v>549</v>
      </c>
      <c r="B427">
        <v>7123</v>
      </c>
      <c r="C427" t="s">
        <v>16</v>
      </c>
      <c r="D427" t="s">
        <v>16</v>
      </c>
      <c r="E427" s="2">
        <v>46094</v>
      </c>
      <c r="F427" s="2">
        <v>46093</v>
      </c>
      <c r="G427" t="s">
        <v>368</v>
      </c>
      <c r="H427">
        <v>228423750</v>
      </c>
      <c r="I427">
        <v>281353750</v>
      </c>
      <c r="J427">
        <v>26110000</v>
      </c>
      <c r="K427">
        <v>12659000</v>
      </c>
      <c r="M427">
        <f t="shared" si="12"/>
        <v>39479000</v>
      </c>
      <c r="N427" t="str">
        <f t="shared" si="13"/>
        <v>Faltante</v>
      </c>
      <c r="O427" t="s">
        <v>18</v>
      </c>
      <c r="P427">
        <v>39428454</v>
      </c>
    </row>
    <row r="428" spans="1:16" x14ac:dyDescent="0.35">
      <c r="A428">
        <v>385</v>
      </c>
      <c r="B428">
        <v>7139</v>
      </c>
      <c r="C428" t="s">
        <v>16</v>
      </c>
      <c r="D428" t="s">
        <v>16</v>
      </c>
      <c r="E428" s="2">
        <v>46094</v>
      </c>
      <c r="F428" s="2">
        <v>46093</v>
      </c>
      <c r="G428" t="s">
        <v>307</v>
      </c>
      <c r="H428">
        <v>224195550</v>
      </c>
      <c r="I428">
        <v>243190550</v>
      </c>
      <c r="J428">
        <v>12440000</v>
      </c>
      <c r="K428">
        <v>7160000</v>
      </c>
      <c r="L428">
        <v>13715000</v>
      </c>
      <c r="M428">
        <f t="shared" si="12"/>
        <v>0</v>
      </c>
      <c r="N428" t="str">
        <f t="shared" si="13"/>
        <v>Cuadrado</v>
      </c>
      <c r="O428" t="s">
        <v>369</v>
      </c>
      <c r="P428">
        <v>1077970238</v>
      </c>
    </row>
    <row r="429" spans="1:16" x14ac:dyDescent="0.35">
      <c r="A429">
        <v>7</v>
      </c>
      <c r="B429">
        <v>7812</v>
      </c>
      <c r="C429" t="s">
        <v>22</v>
      </c>
      <c r="D429" t="s">
        <v>22</v>
      </c>
      <c r="E429" s="2">
        <v>46094</v>
      </c>
      <c r="F429" s="2">
        <v>46093</v>
      </c>
      <c r="G429" t="s">
        <v>370</v>
      </c>
      <c r="H429">
        <v>79467200</v>
      </c>
      <c r="I429">
        <v>72091200</v>
      </c>
      <c r="J429">
        <v>6330000</v>
      </c>
      <c r="K429">
        <v>24166000</v>
      </c>
      <c r="L429" t="s">
        <v>371</v>
      </c>
      <c r="M429" t="e">
        <f t="shared" si="12"/>
        <v>#VALUE!</v>
      </c>
      <c r="N429" t="e">
        <f t="shared" si="13"/>
        <v>#VALUE!</v>
      </c>
      <c r="O429" t="s">
        <v>337</v>
      </c>
      <c r="P429">
        <v>1020460907</v>
      </c>
    </row>
    <row r="430" spans="1:16" x14ac:dyDescent="0.35">
      <c r="A430">
        <v>693</v>
      </c>
      <c r="B430">
        <v>7979</v>
      </c>
      <c r="C430" t="s">
        <v>16</v>
      </c>
      <c r="D430" t="s">
        <v>16</v>
      </c>
      <c r="E430" s="2">
        <v>46094</v>
      </c>
      <c r="F430" s="2">
        <v>46093</v>
      </c>
      <c r="G430" t="s">
        <v>70</v>
      </c>
      <c r="H430">
        <v>191976900</v>
      </c>
      <c r="I430">
        <v>150361900</v>
      </c>
      <c r="J430">
        <v>5800000</v>
      </c>
      <c r="K430">
        <v>46785000</v>
      </c>
      <c r="L430">
        <v>-630000</v>
      </c>
      <c r="M430">
        <f t="shared" si="12"/>
        <v>0</v>
      </c>
      <c r="N430" t="str">
        <f t="shared" si="13"/>
        <v>Cuadrado</v>
      </c>
      <c r="O430" t="s">
        <v>20</v>
      </c>
      <c r="P430">
        <v>98557134</v>
      </c>
    </row>
    <row r="431" spans="1:16" x14ac:dyDescent="0.35">
      <c r="A431">
        <v>554</v>
      </c>
      <c r="B431">
        <v>8294</v>
      </c>
      <c r="C431" t="s">
        <v>16</v>
      </c>
      <c r="D431" t="s">
        <v>16</v>
      </c>
      <c r="E431" s="2">
        <v>46094</v>
      </c>
      <c r="F431" s="2">
        <v>46093</v>
      </c>
      <c r="G431" t="s">
        <v>209</v>
      </c>
      <c r="H431">
        <v>325339250</v>
      </c>
      <c r="I431">
        <v>330089750</v>
      </c>
      <c r="J431">
        <v>1280000</v>
      </c>
      <c r="K431">
        <v>0</v>
      </c>
      <c r="L431">
        <v>3470500</v>
      </c>
      <c r="M431">
        <f t="shared" si="12"/>
        <v>0</v>
      </c>
      <c r="N431" t="str">
        <f t="shared" si="13"/>
        <v>Cuadrado</v>
      </c>
      <c r="O431" t="s">
        <v>372</v>
      </c>
      <c r="P431">
        <v>1143151164</v>
      </c>
    </row>
    <row r="432" spans="1:16" x14ac:dyDescent="0.35">
      <c r="A432">
        <v>554</v>
      </c>
      <c r="B432">
        <v>8295</v>
      </c>
      <c r="C432" t="s">
        <v>16</v>
      </c>
      <c r="D432" t="s">
        <v>16</v>
      </c>
      <c r="E432" s="2">
        <v>46094</v>
      </c>
      <c r="F432" s="2">
        <v>46093</v>
      </c>
      <c r="G432" t="s">
        <v>30</v>
      </c>
      <c r="H432">
        <v>252268800</v>
      </c>
      <c r="I432">
        <v>229308450</v>
      </c>
      <c r="J432">
        <v>2050000</v>
      </c>
      <c r="K432">
        <v>24060000</v>
      </c>
      <c r="M432">
        <f t="shared" si="12"/>
        <v>-950350</v>
      </c>
      <c r="N432" t="str">
        <f t="shared" si="13"/>
        <v>Sobrante</v>
      </c>
      <c r="O432" t="s">
        <v>339</v>
      </c>
      <c r="P432">
        <v>1143151164</v>
      </c>
    </row>
    <row r="433" spans="1:16" x14ac:dyDescent="0.35">
      <c r="A433">
        <v>236</v>
      </c>
      <c r="B433">
        <v>8497</v>
      </c>
      <c r="C433" t="s">
        <v>16</v>
      </c>
      <c r="D433" t="s">
        <v>16</v>
      </c>
      <c r="E433" s="2">
        <v>46094</v>
      </c>
      <c r="F433" s="2">
        <v>46093</v>
      </c>
      <c r="G433" t="s">
        <v>229</v>
      </c>
      <c r="H433">
        <v>208888300</v>
      </c>
      <c r="I433">
        <v>166352300</v>
      </c>
      <c r="J433">
        <v>21070000</v>
      </c>
      <c r="K433">
        <v>59548000</v>
      </c>
      <c r="M433">
        <f t="shared" si="12"/>
        <v>-4058000</v>
      </c>
      <c r="N433" t="str">
        <f t="shared" si="13"/>
        <v>Sobrante</v>
      </c>
      <c r="O433" t="s">
        <v>339</v>
      </c>
      <c r="P433">
        <v>71369714</v>
      </c>
    </row>
    <row r="434" spans="1:16" x14ac:dyDescent="0.35">
      <c r="A434">
        <v>78</v>
      </c>
      <c r="B434">
        <v>8594</v>
      </c>
      <c r="C434" t="s">
        <v>16</v>
      </c>
      <c r="D434" t="s">
        <v>16</v>
      </c>
      <c r="E434" s="2">
        <v>46094</v>
      </c>
      <c r="F434" s="2">
        <v>46093</v>
      </c>
      <c r="G434" t="s">
        <v>373</v>
      </c>
      <c r="H434">
        <v>194525150</v>
      </c>
      <c r="I434">
        <v>185085150</v>
      </c>
      <c r="J434">
        <v>510000</v>
      </c>
      <c r="K434">
        <v>12149950</v>
      </c>
      <c r="L434">
        <v>2199950</v>
      </c>
      <c r="M434">
        <f t="shared" si="12"/>
        <v>0</v>
      </c>
      <c r="N434" t="str">
        <f t="shared" si="13"/>
        <v>Cuadrado</v>
      </c>
      <c r="O434" t="s">
        <v>374</v>
      </c>
      <c r="P434">
        <v>1098657131</v>
      </c>
    </row>
    <row r="435" spans="1:16" x14ac:dyDescent="0.35">
      <c r="A435">
        <v>866</v>
      </c>
      <c r="B435">
        <v>8662</v>
      </c>
      <c r="C435" t="s">
        <v>16</v>
      </c>
      <c r="D435" t="s">
        <v>16</v>
      </c>
      <c r="E435" s="2">
        <v>46094</v>
      </c>
      <c r="F435" s="2">
        <v>46093</v>
      </c>
      <c r="G435" t="s">
        <v>68</v>
      </c>
      <c r="H435">
        <v>268806450</v>
      </c>
      <c r="I435">
        <v>277320450</v>
      </c>
      <c r="J435">
        <v>9220000</v>
      </c>
      <c r="K435">
        <v>25000</v>
      </c>
      <c r="M435">
        <f t="shared" si="12"/>
        <v>-681000</v>
      </c>
      <c r="N435" t="str">
        <f t="shared" si="13"/>
        <v>Sobrante</v>
      </c>
      <c r="O435" t="s">
        <v>339</v>
      </c>
      <c r="P435">
        <v>1113674245</v>
      </c>
    </row>
    <row r="436" spans="1:16" x14ac:dyDescent="0.35">
      <c r="A436">
        <v>721</v>
      </c>
      <c r="B436">
        <v>8897</v>
      </c>
      <c r="C436" t="s">
        <v>22</v>
      </c>
      <c r="D436" t="s">
        <v>22</v>
      </c>
      <c r="E436" s="2">
        <v>46094</v>
      </c>
      <c r="F436" s="2">
        <v>46093</v>
      </c>
      <c r="G436" t="s">
        <v>370</v>
      </c>
      <c r="H436">
        <v>264876000</v>
      </c>
      <c r="I436">
        <v>249931500</v>
      </c>
      <c r="J436">
        <v>5030000</v>
      </c>
      <c r="K436">
        <v>20927000</v>
      </c>
      <c r="M436">
        <f t="shared" si="12"/>
        <v>952500</v>
      </c>
      <c r="N436" t="str">
        <f t="shared" si="13"/>
        <v>Faltante</v>
      </c>
      <c r="O436" t="s">
        <v>337</v>
      </c>
      <c r="P436">
        <v>1088262262</v>
      </c>
    </row>
    <row r="437" spans="1:16" x14ac:dyDescent="0.35">
      <c r="A437">
        <v>20</v>
      </c>
      <c r="B437">
        <v>8927</v>
      </c>
      <c r="C437" t="s">
        <v>16</v>
      </c>
      <c r="D437" t="s">
        <v>16</v>
      </c>
      <c r="E437" s="2">
        <v>46094</v>
      </c>
      <c r="F437" s="2">
        <v>46093</v>
      </c>
      <c r="G437" t="s">
        <v>107</v>
      </c>
      <c r="H437">
        <v>38107450</v>
      </c>
      <c r="I437">
        <v>45006550</v>
      </c>
      <c r="J437">
        <v>46590000</v>
      </c>
      <c r="K437">
        <v>10961900</v>
      </c>
      <c r="L437">
        <v>-27299000</v>
      </c>
      <c r="M437">
        <f t="shared" si="12"/>
        <v>-1430000</v>
      </c>
      <c r="N437" t="str">
        <f t="shared" si="13"/>
        <v>Sobrante</v>
      </c>
      <c r="O437" t="s">
        <v>339</v>
      </c>
      <c r="P437">
        <v>91232943</v>
      </c>
    </row>
    <row r="438" spans="1:16" x14ac:dyDescent="0.35">
      <c r="A438">
        <v>536</v>
      </c>
      <c r="B438">
        <v>8988</v>
      </c>
      <c r="C438" t="s">
        <v>22</v>
      </c>
      <c r="D438" t="s">
        <v>22</v>
      </c>
      <c r="E438" s="2">
        <v>46094</v>
      </c>
      <c r="F438" s="2">
        <v>46093</v>
      </c>
      <c r="G438" t="s">
        <v>375</v>
      </c>
      <c r="H438">
        <v>221348850</v>
      </c>
      <c r="I438">
        <v>163462950</v>
      </c>
      <c r="J438">
        <v>26220000</v>
      </c>
      <c r="K438">
        <v>83992100</v>
      </c>
      <c r="M438">
        <f t="shared" si="12"/>
        <v>-113800</v>
      </c>
      <c r="N438" t="str">
        <f t="shared" si="13"/>
        <v>Sobrante</v>
      </c>
      <c r="O438" t="s">
        <v>339</v>
      </c>
      <c r="P438">
        <v>35891536</v>
      </c>
    </row>
    <row r="439" spans="1:16" x14ac:dyDescent="0.35">
      <c r="A439">
        <v>20</v>
      </c>
      <c r="B439">
        <v>9204</v>
      </c>
      <c r="C439" t="s">
        <v>16</v>
      </c>
      <c r="D439" t="s">
        <v>16</v>
      </c>
      <c r="E439" s="2">
        <v>46094</v>
      </c>
      <c r="F439" s="2">
        <v>46093</v>
      </c>
      <c r="G439" t="s">
        <v>56</v>
      </c>
      <c r="H439">
        <v>84670650</v>
      </c>
      <c r="I439">
        <v>23463350</v>
      </c>
      <c r="J439">
        <v>30000000</v>
      </c>
      <c r="K439">
        <v>12906000</v>
      </c>
      <c r="L439">
        <v>-78755000</v>
      </c>
      <c r="M439">
        <f t="shared" si="12"/>
        <v>453700</v>
      </c>
      <c r="N439" t="str">
        <f t="shared" si="13"/>
        <v>Faltante</v>
      </c>
      <c r="O439" t="s">
        <v>18</v>
      </c>
      <c r="P439">
        <v>91232943</v>
      </c>
    </row>
    <row r="440" spans="1:16" x14ac:dyDescent="0.35">
      <c r="A440">
        <v>845</v>
      </c>
      <c r="B440">
        <v>9232</v>
      </c>
      <c r="C440" t="s">
        <v>16</v>
      </c>
      <c r="D440" t="s">
        <v>16</v>
      </c>
      <c r="E440" s="2">
        <v>46094</v>
      </c>
      <c r="F440" s="2">
        <v>46093</v>
      </c>
      <c r="G440" t="s">
        <v>80</v>
      </c>
      <c r="H440">
        <v>22717200</v>
      </c>
      <c r="I440">
        <v>104947200</v>
      </c>
      <c r="J440">
        <v>23260000</v>
      </c>
      <c r="K440">
        <v>39110000</v>
      </c>
      <c r="L440">
        <v>98080000</v>
      </c>
      <c r="M440">
        <f t="shared" si="12"/>
        <v>0</v>
      </c>
      <c r="N440" t="str">
        <f t="shared" si="13"/>
        <v>Cuadrado</v>
      </c>
      <c r="O440" t="s">
        <v>20</v>
      </c>
      <c r="P440">
        <v>1081413503</v>
      </c>
    </row>
    <row r="441" spans="1:16" x14ac:dyDescent="0.35">
      <c r="A441">
        <v>367</v>
      </c>
      <c r="B441">
        <v>9580</v>
      </c>
      <c r="C441" t="s">
        <v>16</v>
      </c>
      <c r="D441" t="s">
        <v>16</v>
      </c>
      <c r="E441" s="2">
        <v>46094</v>
      </c>
      <c r="F441" s="2">
        <v>46093</v>
      </c>
      <c r="G441" t="s">
        <v>376</v>
      </c>
      <c r="H441">
        <v>80296800</v>
      </c>
      <c r="I441">
        <v>90454800</v>
      </c>
      <c r="J441">
        <v>10350000</v>
      </c>
      <c r="K441">
        <v>102000</v>
      </c>
      <c r="M441">
        <f t="shared" si="12"/>
        <v>-90000</v>
      </c>
      <c r="N441" t="str">
        <f t="shared" si="13"/>
        <v>Sobrante</v>
      </c>
      <c r="O441" t="s">
        <v>339</v>
      </c>
      <c r="P441">
        <v>1120360426</v>
      </c>
    </row>
    <row r="442" spans="1:16" x14ac:dyDescent="0.35">
      <c r="A442">
        <v>229</v>
      </c>
      <c r="B442">
        <v>9605</v>
      </c>
      <c r="C442" t="s">
        <v>16</v>
      </c>
      <c r="D442" t="s">
        <v>16</v>
      </c>
      <c r="E442" s="2">
        <v>46094</v>
      </c>
      <c r="F442" s="2">
        <v>46093</v>
      </c>
      <c r="G442" t="s">
        <v>377</v>
      </c>
      <c r="H442">
        <v>150535100</v>
      </c>
      <c r="I442">
        <v>48733100</v>
      </c>
      <c r="J442">
        <v>26740000</v>
      </c>
      <c r="K442">
        <v>51602000</v>
      </c>
      <c r="M442">
        <f t="shared" si="12"/>
        <v>-76940000</v>
      </c>
      <c r="N442" t="str">
        <f t="shared" si="13"/>
        <v>Sobrante</v>
      </c>
      <c r="O442" t="s">
        <v>339</v>
      </c>
      <c r="P442">
        <v>79653318</v>
      </c>
    </row>
    <row r="443" spans="1:16" x14ac:dyDescent="0.35">
      <c r="A443">
        <v>551</v>
      </c>
      <c r="B443">
        <v>9644</v>
      </c>
      <c r="C443" t="s">
        <v>16</v>
      </c>
      <c r="D443" t="s">
        <v>16</v>
      </c>
      <c r="E443" s="2">
        <v>46094</v>
      </c>
      <c r="F443" s="2">
        <v>46093</v>
      </c>
      <c r="G443" t="s">
        <v>378</v>
      </c>
      <c r="H443">
        <v>88807200</v>
      </c>
      <c r="I443">
        <v>62034200</v>
      </c>
      <c r="J443">
        <v>39040000</v>
      </c>
      <c r="K443">
        <v>50934000</v>
      </c>
      <c r="M443">
        <f t="shared" si="12"/>
        <v>-14879000</v>
      </c>
      <c r="N443" t="str">
        <f t="shared" si="13"/>
        <v>Sobrante</v>
      </c>
      <c r="O443" t="s">
        <v>339</v>
      </c>
      <c r="P443">
        <v>1152213498</v>
      </c>
    </row>
    <row r="444" spans="1:16" x14ac:dyDescent="0.35">
      <c r="A444">
        <v>849</v>
      </c>
      <c r="B444">
        <v>9725</v>
      </c>
      <c r="C444" t="s">
        <v>16</v>
      </c>
      <c r="D444" t="s">
        <v>16</v>
      </c>
      <c r="E444" s="2">
        <v>46094</v>
      </c>
      <c r="F444" s="2">
        <v>46093</v>
      </c>
      <c r="G444" t="s">
        <v>181</v>
      </c>
      <c r="H444">
        <v>163977200</v>
      </c>
      <c r="I444">
        <v>162247200</v>
      </c>
      <c r="J444">
        <v>6300000</v>
      </c>
      <c r="K444">
        <v>8000000</v>
      </c>
      <c r="M444">
        <f t="shared" si="12"/>
        <v>-30000</v>
      </c>
      <c r="N444" t="str">
        <f t="shared" si="13"/>
        <v>Sobrante</v>
      </c>
      <c r="O444" t="s">
        <v>339</v>
      </c>
      <c r="P444">
        <v>86063461</v>
      </c>
    </row>
    <row r="445" spans="1:16" x14ac:dyDescent="0.35">
      <c r="A445">
        <v>499</v>
      </c>
      <c r="B445">
        <v>9811</v>
      </c>
      <c r="C445" t="s">
        <v>16</v>
      </c>
      <c r="D445" t="s">
        <v>16</v>
      </c>
      <c r="E445" s="2">
        <v>46094</v>
      </c>
      <c r="F445" s="2">
        <v>46093</v>
      </c>
      <c r="G445" t="s">
        <v>379</v>
      </c>
      <c r="H445">
        <v>80532100</v>
      </c>
      <c r="I445">
        <v>-15330600</v>
      </c>
      <c r="J445">
        <v>4320000</v>
      </c>
      <c r="K445">
        <v>83649950</v>
      </c>
      <c r="M445">
        <f t="shared" si="12"/>
        <v>-16532750</v>
      </c>
      <c r="N445" t="str">
        <f t="shared" si="13"/>
        <v>Sobrante</v>
      </c>
      <c r="O445" t="s">
        <v>339</v>
      </c>
      <c r="P445">
        <v>71337474</v>
      </c>
    </row>
    <row r="446" spans="1:16" x14ac:dyDescent="0.35">
      <c r="A446">
        <v>377</v>
      </c>
      <c r="B446">
        <v>1508</v>
      </c>
      <c r="C446" t="s">
        <v>22</v>
      </c>
      <c r="D446" t="s">
        <v>22</v>
      </c>
      <c r="E446" s="2">
        <v>46094</v>
      </c>
      <c r="F446" s="2">
        <v>46093</v>
      </c>
      <c r="G446" t="s">
        <v>307</v>
      </c>
      <c r="H446">
        <v>134245200</v>
      </c>
      <c r="I446">
        <v>138635200</v>
      </c>
      <c r="J446">
        <v>5360000</v>
      </c>
      <c r="K446">
        <v>970000</v>
      </c>
      <c r="M446">
        <f t="shared" si="12"/>
        <v>0</v>
      </c>
      <c r="N446" t="str">
        <f t="shared" si="13"/>
        <v>Cuadrado</v>
      </c>
      <c r="O446" t="s">
        <v>20</v>
      </c>
      <c r="P446">
        <v>71384768</v>
      </c>
    </row>
    <row r="447" spans="1:16" x14ac:dyDescent="0.35">
      <c r="A447">
        <v>333</v>
      </c>
      <c r="B447">
        <v>5076</v>
      </c>
      <c r="C447" t="s">
        <v>16</v>
      </c>
      <c r="D447" t="s">
        <v>16</v>
      </c>
      <c r="E447" s="2">
        <v>46094</v>
      </c>
      <c r="F447" s="2">
        <v>46093</v>
      </c>
      <c r="G447" t="s">
        <v>96</v>
      </c>
      <c r="H447">
        <v>257385600</v>
      </c>
      <c r="I447">
        <v>180594550</v>
      </c>
      <c r="J447">
        <v>12160000</v>
      </c>
      <c r="K447">
        <v>88951050</v>
      </c>
      <c r="M447">
        <f t="shared" si="12"/>
        <v>0</v>
      </c>
      <c r="N447" t="str">
        <f t="shared" si="13"/>
        <v>Cuadrado</v>
      </c>
      <c r="O447" t="s">
        <v>20</v>
      </c>
      <c r="P447">
        <v>1036606819</v>
      </c>
    </row>
    <row r="448" spans="1:16" x14ac:dyDescent="0.35">
      <c r="A448">
        <v>115</v>
      </c>
      <c r="B448">
        <v>5080</v>
      </c>
      <c r="C448" t="s">
        <v>16</v>
      </c>
      <c r="D448" t="s">
        <v>16</v>
      </c>
      <c r="E448" s="2">
        <v>46094</v>
      </c>
      <c r="F448" s="2">
        <v>46093</v>
      </c>
      <c r="G448" t="s">
        <v>25</v>
      </c>
      <c r="H448">
        <v>116914600</v>
      </c>
      <c r="I448">
        <v>112384600</v>
      </c>
      <c r="J448">
        <v>100000</v>
      </c>
      <c r="K448">
        <v>4630000</v>
      </c>
      <c r="M448">
        <f t="shared" si="12"/>
        <v>0</v>
      </c>
      <c r="N448" t="str">
        <f t="shared" si="13"/>
        <v>Cuadrado</v>
      </c>
      <c r="O448" t="s">
        <v>20</v>
      </c>
      <c r="P448">
        <v>42158306</v>
      </c>
    </row>
    <row r="449" spans="1:16" x14ac:dyDescent="0.35">
      <c r="A449">
        <v>743</v>
      </c>
      <c r="B449">
        <v>5106</v>
      </c>
      <c r="C449" t="s">
        <v>16</v>
      </c>
      <c r="D449" t="s">
        <v>16</v>
      </c>
      <c r="E449" s="2">
        <v>46094</v>
      </c>
      <c r="F449" s="2">
        <v>46093</v>
      </c>
      <c r="G449" t="s">
        <v>278</v>
      </c>
      <c r="H449">
        <v>92463350</v>
      </c>
      <c r="I449">
        <v>58595050</v>
      </c>
      <c r="J449">
        <v>8350000</v>
      </c>
      <c r="K449">
        <v>42218300</v>
      </c>
      <c r="M449">
        <f t="shared" si="12"/>
        <v>0</v>
      </c>
      <c r="N449" t="str">
        <f t="shared" si="13"/>
        <v>Cuadrado</v>
      </c>
      <c r="O449" t="s">
        <v>20</v>
      </c>
      <c r="P449">
        <v>79887183</v>
      </c>
    </row>
    <row r="450" spans="1:16" x14ac:dyDescent="0.35">
      <c r="A450">
        <v>674</v>
      </c>
      <c r="B450">
        <v>5200</v>
      </c>
      <c r="C450" t="s">
        <v>16</v>
      </c>
      <c r="D450" t="s">
        <v>16</v>
      </c>
      <c r="E450" s="2">
        <v>46094</v>
      </c>
      <c r="F450" s="2">
        <v>46093</v>
      </c>
      <c r="G450" t="s">
        <v>282</v>
      </c>
      <c r="H450">
        <v>144812250</v>
      </c>
      <c r="I450">
        <v>148132250</v>
      </c>
      <c r="J450">
        <v>3420000</v>
      </c>
      <c r="K450">
        <v>100000</v>
      </c>
      <c r="L450">
        <v>0</v>
      </c>
      <c r="M450">
        <f t="shared" ref="M450:M494" si="14">I450-(H450+J450-K450)- L450</f>
        <v>0</v>
      </c>
      <c r="N450" t="str">
        <f t="shared" ref="N450:N494" si="15">IF(M450=0,"Cuadrado",IF(M450&gt;0,"Faltante","Sobrante"))</f>
        <v>Cuadrado</v>
      </c>
      <c r="O450" t="s">
        <v>380</v>
      </c>
      <c r="P450">
        <v>79813088</v>
      </c>
    </row>
    <row r="451" spans="1:16" x14ac:dyDescent="0.35">
      <c r="A451">
        <v>606</v>
      </c>
      <c r="B451">
        <v>5201</v>
      </c>
      <c r="C451" t="s">
        <v>16</v>
      </c>
      <c r="D451" t="s">
        <v>16</v>
      </c>
      <c r="E451" s="2">
        <v>46094</v>
      </c>
      <c r="F451" s="2">
        <v>46093</v>
      </c>
      <c r="G451" t="s">
        <v>353</v>
      </c>
      <c r="H451">
        <v>350567400</v>
      </c>
      <c r="I451">
        <v>351577400</v>
      </c>
      <c r="J451">
        <v>1010000</v>
      </c>
      <c r="K451">
        <v>0</v>
      </c>
      <c r="M451">
        <f t="shared" si="14"/>
        <v>0</v>
      </c>
      <c r="N451" t="str">
        <f t="shared" si="15"/>
        <v>Cuadrado</v>
      </c>
      <c r="O451" t="s">
        <v>20</v>
      </c>
      <c r="P451">
        <v>33368879</v>
      </c>
    </row>
    <row r="452" spans="1:16" x14ac:dyDescent="0.35">
      <c r="A452">
        <v>371</v>
      </c>
      <c r="B452">
        <v>6718</v>
      </c>
      <c r="C452" t="s">
        <v>16</v>
      </c>
      <c r="D452" t="s">
        <v>16</v>
      </c>
      <c r="E452" s="2">
        <v>46094</v>
      </c>
      <c r="F452" s="2">
        <v>46093</v>
      </c>
      <c r="G452" t="s">
        <v>97</v>
      </c>
      <c r="H452">
        <v>414348050</v>
      </c>
      <c r="I452">
        <v>257777150</v>
      </c>
      <c r="J452">
        <v>2650000</v>
      </c>
      <c r="K452">
        <v>159220900</v>
      </c>
      <c r="L452">
        <v>0</v>
      </c>
      <c r="M452">
        <f t="shared" si="14"/>
        <v>0</v>
      </c>
      <c r="N452" t="str">
        <f t="shared" si="15"/>
        <v>Cuadrado</v>
      </c>
      <c r="O452" t="s">
        <v>381</v>
      </c>
      <c r="P452">
        <v>39279278</v>
      </c>
    </row>
    <row r="453" spans="1:16" x14ac:dyDescent="0.35">
      <c r="A453">
        <v>233</v>
      </c>
      <c r="B453">
        <v>7212</v>
      </c>
      <c r="C453" t="s">
        <v>16</v>
      </c>
      <c r="D453" t="s">
        <v>16</v>
      </c>
      <c r="E453" s="2">
        <v>46094</v>
      </c>
      <c r="F453" s="2">
        <v>46093</v>
      </c>
      <c r="G453" t="s">
        <v>382</v>
      </c>
      <c r="H453">
        <v>121284400</v>
      </c>
      <c r="I453">
        <v>129786400</v>
      </c>
      <c r="J453">
        <v>12440000</v>
      </c>
      <c r="K453">
        <v>3938000</v>
      </c>
      <c r="M453">
        <f t="shared" si="14"/>
        <v>0</v>
      </c>
      <c r="N453" t="str">
        <f t="shared" si="15"/>
        <v>Cuadrado</v>
      </c>
      <c r="O453" t="s">
        <v>20</v>
      </c>
      <c r="P453">
        <v>80271480</v>
      </c>
    </row>
    <row r="454" spans="1:16" x14ac:dyDescent="0.35">
      <c r="A454">
        <v>848</v>
      </c>
      <c r="B454">
        <v>7374</v>
      </c>
      <c r="C454" t="s">
        <v>22</v>
      </c>
      <c r="D454" t="s">
        <v>22</v>
      </c>
      <c r="E454" s="2">
        <v>46094</v>
      </c>
      <c r="F454" s="2">
        <v>46093</v>
      </c>
      <c r="G454" t="s">
        <v>26</v>
      </c>
      <c r="H454">
        <v>121382500</v>
      </c>
      <c r="I454">
        <v>121982500</v>
      </c>
      <c r="J454">
        <v>1100000</v>
      </c>
      <c r="K454">
        <v>500000</v>
      </c>
      <c r="M454">
        <f t="shared" si="14"/>
        <v>0</v>
      </c>
      <c r="N454" t="str">
        <f t="shared" si="15"/>
        <v>Cuadrado</v>
      </c>
      <c r="O454" t="s">
        <v>20</v>
      </c>
      <c r="P454">
        <v>29877107</v>
      </c>
    </row>
    <row r="455" spans="1:16" x14ac:dyDescent="0.35">
      <c r="A455">
        <v>728</v>
      </c>
      <c r="B455">
        <v>8586</v>
      </c>
      <c r="C455" t="s">
        <v>16</v>
      </c>
      <c r="D455" t="s">
        <v>16</v>
      </c>
      <c r="E455" s="2">
        <v>46094</v>
      </c>
      <c r="F455" s="2">
        <v>46093</v>
      </c>
      <c r="G455" t="s">
        <v>285</v>
      </c>
      <c r="H455">
        <v>402213650</v>
      </c>
      <c r="I455">
        <v>402213650</v>
      </c>
      <c r="J455">
        <v>0</v>
      </c>
      <c r="K455">
        <v>0</v>
      </c>
      <c r="M455">
        <f t="shared" si="14"/>
        <v>0</v>
      </c>
      <c r="N455" t="str">
        <f t="shared" si="15"/>
        <v>Cuadrado</v>
      </c>
      <c r="O455" t="s">
        <v>20</v>
      </c>
      <c r="P455">
        <v>1112783690</v>
      </c>
    </row>
    <row r="456" spans="1:16" x14ac:dyDescent="0.35">
      <c r="A456">
        <v>728</v>
      </c>
      <c r="B456">
        <v>8587</v>
      </c>
      <c r="C456" t="s">
        <v>16</v>
      </c>
      <c r="D456" t="s">
        <v>16</v>
      </c>
      <c r="E456" s="2">
        <v>46094</v>
      </c>
      <c r="F456" s="2">
        <v>46093</v>
      </c>
      <c r="G456" t="s">
        <v>126</v>
      </c>
      <c r="H456">
        <v>186042750</v>
      </c>
      <c r="I456">
        <v>186692750</v>
      </c>
      <c r="J456">
        <v>650000</v>
      </c>
      <c r="K456">
        <v>0</v>
      </c>
      <c r="M456">
        <f t="shared" si="14"/>
        <v>0</v>
      </c>
      <c r="N456" t="str">
        <f t="shared" si="15"/>
        <v>Cuadrado</v>
      </c>
      <c r="O456" t="s">
        <v>20</v>
      </c>
      <c r="P456">
        <v>1112783690</v>
      </c>
    </row>
    <row r="457" spans="1:16" x14ac:dyDescent="0.35">
      <c r="A457">
        <v>451</v>
      </c>
      <c r="B457">
        <v>9434</v>
      </c>
      <c r="C457" t="s">
        <v>16</v>
      </c>
      <c r="D457" t="s">
        <v>16</v>
      </c>
      <c r="E457" s="2">
        <v>46094</v>
      </c>
      <c r="F457" s="2">
        <v>46093</v>
      </c>
      <c r="G457" t="s">
        <v>98</v>
      </c>
      <c r="H457">
        <v>27158350</v>
      </c>
      <c r="I457">
        <v>40528350</v>
      </c>
      <c r="J457">
        <v>13370000</v>
      </c>
      <c r="K457">
        <v>0</v>
      </c>
      <c r="M457">
        <f t="shared" si="14"/>
        <v>0</v>
      </c>
      <c r="N457" t="str">
        <f t="shared" si="15"/>
        <v>Cuadrado</v>
      </c>
      <c r="O457" t="s">
        <v>20</v>
      </c>
      <c r="P457">
        <v>1123206969</v>
      </c>
    </row>
    <row r="458" spans="1:16" x14ac:dyDescent="0.35">
      <c r="A458">
        <v>876</v>
      </c>
      <c r="B458">
        <v>9682</v>
      </c>
      <c r="C458" t="s">
        <v>16</v>
      </c>
      <c r="D458" t="s">
        <v>16</v>
      </c>
      <c r="E458" s="2">
        <v>46094</v>
      </c>
      <c r="F458" s="2">
        <v>46093</v>
      </c>
      <c r="G458" t="s">
        <v>42</v>
      </c>
      <c r="H458">
        <v>133251450</v>
      </c>
      <c r="I458">
        <v>108061450</v>
      </c>
      <c r="J458">
        <v>9460000</v>
      </c>
      <c r="K458">
        <v>34650000</v>
      </c>
      <c r="M458">
        <f t="shared" si="14"/>
        <v>0</v>
      </c>
      <c r="N458" t="str">
        <f t="shared" si="15"/>
        <v>Cuadrado</v>
      </c>
      <c r="O458" t="s">
        <v>20</v>
      </c>
      <c r="P458">
        <v>1002032451</v>
      </c>
    </row>
    <row r="459" spans="1:16" x14ac:dyDescent="0.35">
      <c r="A459">
        <v>348</v>
      </c>
      <c r="B459">
        <v>192</v>
      </c>
      <c r="C459" t="s">
        <v>16</v>
      </c>
      <c r="D459" t="s">
        <v>16</v>
      </c>
      <c r="E459" s="2">
        <v>46097</v>
      </c>
      <c r="F459" s="2">
        <v>46094</v>
      </c>
      <c r="G459" t="s">
        <v>383</v>
      </c>
      <c r="H459">
        <v>331471800</v>
      </c>
      <c r="I459">
        <v>237963800</v>
      </c>
      <c r="J459">
        <v>16150000</v>
      </c>
      <c r="K459">
        <v>105999950</v>
      </c>
      <c r="M459">
        <f t="shared" si="14"/>
        <v>-3658050</v>
      </c>
      <c r="N459" t="str">
        <f t="shared" si="15"/>
        <v>Sobrante</v>
      </c>
      <c r="P459">
        <v>1123633014</v>
      </c>
    </row>
    <row r="460" spans="1:16" x14ac:dyDescent="0.35">
      <c r="A460">
        <v>879</v>
      </c>
      <c r="B460">
        <v>5045</v>
      </c>
      <c r="C460" t="s">
        <v>16</v>
      </c>
      <c r="D460" t="s">
        <v>16</v>
      </c>
      <c r="E460" s="2">
        <v>46097</v>
      </c>
      <c r="F460" s="2">
        <v>46094</v>
      </c>
      <c r="G460" t="s">
        <v>384</v>
      </c>
      <c r="H460">
        <v>135333700</v>
      </c>
      <c r="I460">
        <v>60514700</v>
      </c>
      <c r="J460">
        <v>10220000</v>
      </c>
      <c r="K460">
        <v>199399000</v>
      </c>
      <c r="M460">
        <f t="shared" si="14"/>
        <v>114360000</v>
      </c>
      <c r="N460" t="str">
        <f t="shared" si="15"/>
        <v>Faltante</v>
      </c>
      <c r="O460" t="s">
        <v>20</v>
      </c>
      <c r="P460">
        <v>1085303632</v>
      </c>
    </row>
    <row r="461" spans="1:16" x14ac:dyDescent="0.35">
      <c r="A461">
        <v>769</v>
      </c>
      <c r="B461">
        <v>5051</v>
      </c>
      <c r="C461" t="s">
        <v>16</v>
      </c>
      <c r="D461" t="s">
        <v>16</v>
      </c>
      <c r="E461" s="2">
        <v>46097</v>
      </c>
      <c r="F461" s="2">
        <v>46094</v>
      </c>
      <c r="G461" t="s">
        <v>54</v>
      </c>
      <c r="H461">
        <v>135121800</v>
      </c>
      <c r="I461">
        <v>94259800</v>
      </c>
      <c r="J461">
        <v>890000</v>
      </c>
      <c r="K461">
        <v>41872000</v>
      </c>
      <c r="M461">
        <f t="shared" si="14"/>
        <v>120000</v>
      </c>
      <c r="N461" t="str">
        <f t="shared" si="15"/>
        <v>Faltante</v>
      </c>
      <c r="O461" t="s">
        <v>385</v>
      </c>
      <c r="P461">
        <v>1129580385</v>
      </c>
    </row>
    <row r="462" spans="1:16" x14ac:dyDescent="0.35">
      <c r="A462">
        <v>24</v>
      </c>
      <c r="B462">
        <v>5066</v>
      </c>
      <c r="C462" t="s">
        <v>16</v>
      </c>
      <c r="D462" t="s">
        <v>16</v>
      </c>
      <c r="E462" s="2">
        <v>46097</v>
      </c>
      <c r="F462" s="2">
        <v>46094</v>
      </c>
      <c r="G462" t="s">
        <v>386</v>
      </c>
      <c r="H462">
        <v>207331300</v>
      </c>
      <c r="I462">
        <v>172009900</v>
      </c>
      <c r="J462">
        <v>18130000</v>
      </c>
      <c r="K462">
        <v>53976400</v>
      </c>
      <c r="M462">
        <f t="shared" si="14"/>
        <v>525000</v>
      </c>
      <c r="N462" t="str">
        <f t="shared" si="15"/>
        <v>Faltante</v>
      </c>
      <c r="P462">
        <v>39447263</v>
      </c>
    </row>
    <row r="463" spans="1:16" x14ac:dyDescent="0.35">
      <c r="A463">
        <v>789</v>
      </c>
      <c r="B463">
        <v>5118</v>
      </c>
      <c r="C463" t="s">
        <v>16</v>
      </c>
      <c r="D463" t="s">
        <v>16</v>
      </c>
      <c r="E463" s="2">
        <v>46097</v>
      </c>
      <c r="F463" s="2">
        <v>46094</v>
      </c>
      <c r="G463" t="s">
        <v>275</v>
      </c>
      <c r="H463">
        <v>268698800</v>
      </c>
      <c r="I463">
        <v>141932800</v>
      </c>
      <c r="J463">
        <v>25990000</v>
      </c>
      <c r="K463">
        <v>142716000</v>
      </c>
      <c r="M463">
        <f t="shared" si="14"/>
        <v>-10040000</v>
      </c>
      <c r="N463" t="str">
        <f t="shared" si="15"/>
        <v>Sobrante</v>
      </c>
      <c r="P463">
        <v>1102835683</v>
      </c>
    </row>
    <row r="464" spans="1:16" x14ac:dyDescent="0.35">
      <c r="A464">
        <v>667</v>
      </c>
      <c r="B464">
        <v>5167</v>
      </c>
      <c r="C464" t="s">
        <v>16</v>
      </c>
      <c r="D464" t="s">
        <v>16</v>
      </c>
      <c r="E464" s="2">
        <v>46097</v>
      </c>
      <c r="F464" s="2">
        <v>46093</v>
      </c>
      <c r="G464" t="s">
        <v>359</v>
      </c>
      <c r="H464">
        <v>323195550</v>
      </c>
      <c r="I464">
        <v>323415550</v>
      </c>
      <c r="J464">
        <v>0</v>
      </c>
      <c r="K464">
        <v>0</v>
      </c>
      <c r="M464">
        <f t="shared" si="14"/>
        <v>220000</v>
      </c>
      <c r="N464" t="str">
        <f t="shared" si="15"/>
        <v>Faltante</v>
      </c>
      <c r="O464" t="s">
        <v>387</v>
      </c>
      <c r="P464">
        <v>79953058</v>
      </c>
    </row>
    <row r="465" spans="1:16" x14ac:dyDescent="0.35">
      <c r="A465">
        <v>698</v>
      </c>
      <c r="B465">
        <v>5187</v>
      </c>
      <c r="C465" t="s">
        <v>16</v>
      </c>
      <c r="D465" t="s">
        <v>16</v>
      </c>
      <c r="E465" s="2">
        <v>46097</v>
      </c>
      <c r="F465" s="2">
        <v>46094</v>
      </c>
      <c r="G465" t="s">
        <v>338</v>
      </c>
      <c r="H465">
        <v>190586250</v>
      </c>
      <c r="I465">
        <v>189606750</v>
      </c>
      <c r="J465">
        <v>1820000</v>
      </c>
      <c r="K465">
        <v>2800000</v>
      </c>
      <c r="M465">
        <f t="shared" si="14"/>
        <v>500</v>
      </c>
      <c r="N465" t="str">
        <f t="shared" si="15"/>
        <v>Faltante</v>
      </c>
      <c r="P465">
        <v>80177355</v>
      </c>
    </row>
    <row r="466" spans="1:16" x14ac:dyDescent="0.35">
      <c r="A466">
        <v>674</v>
      </c>
      <c r="B466">
        <v>5200</v>
      </c>
      <c r="C466" t="s">
        <v>16</v>
      </c>
      <c r="D466" t="s">
        <v>16</v>
      </c>
      <c r="E466" s="2">
        <v>46097</v>
      </c>
      <c r="F466" s="2">
        <v>46094</v>
      </c>
      <c r="G466" t="s">
        <v>388</v>
      </c>
      <c r="H466">
        <v>116721250</v>
      </c>
      <c r="I466">
        <v>110741250</v>
      </c>
      <c r="J466">
        <v>3960000</v>
      </c>
      <c r="K466">
        <v>9650000</v>
      </c>
      <c r="M466">
        <f t="shared" si="14"/>
        <v>-290000</v>
      </c>
      <c r="N466" t="str">
        <f t="shared" si="15"/>
        <v>Sobrante</v>
      </c>
      <c r="P466">
        <v>5200</v>
      </c>
    </row>
    <row r="467" spans="1:16" x14ac:dyDescent="0.35">
      <c r="A467">
        <v>178</v>
      </c>
      <c r="B467">
        <v>6218</v>
      </c>
      <c r="C467" t="s">
        <v>16</v>
      </c>
      <c r="D467" t="s">
        <v>16</v>
      </c>
      <c r="E467" s="2">
        <v>46097</v>
      </c>
      <c r="F467" s="2">
        <v>46094</v>
      </c>
      <c r="G467" t="s">
        <v>26</v>
      </c>
      <c r="H467">
        <v>289070150</v>
      </c>
      <c r="I467">
        <v>284740150</v>
      </c>
      <c r="J467">
        <v>4000000</v>
      </c>
      <c r="K467">
        <v>8400000</v>
      </c>
      <c r="M467">
        <f t="shared" si="14"/>
        <v>70000</v>
      </c>
      <c r="N467" t="str">
        <f t="shared" si="15"/>
        <v>Faltante</v>
      </c>
      <c r="O467" t="s">
        <v>389</v>
      </c>
      <c r="P467">
        <v>79516051</v>
      </c>
    </row>
    <row r="468" spans="1:16" x14ac:dyDescent="0.35">
      <c r="A468">
        <v>78</v>
      </c>
      <c r="B468">
        <v>6246</v>
      </c>
      <c r="C468" t="s">
        <v>16</v>
      </c>
      <c r="D468" t="s">
        <v>16</v>
      </c>
      <c r="E468" s="2">
        <v>46097</v>
      </c>
      <c r="F468" s="2">
        <v>46094</v>
      </c>
      <c r="G468" t="s">
        <v>390</v>
      </c>
      <c r="H468">
        <v>216413850</v>
      </c>
      <c r="I468">
        <v>183337250</v>
      </c>
      <c r="J468">
        <v>13610000</v>
      </c>
      <c r="K468">
        <v>53106600</v>
      </c>
      <c r="M468">
        <f t="shared" si="14"/>
        <v>6420000</v>
      </c>
      <c r="N468" t="str">
        <f t="shared" si="15"/>
        <v>Faltante</v>
      </c>
      <c r="P468">
        <v>1098657131</v>
      </c>
    </row>
    <row r="469" spans="1:16" x14ac:dyDescent="0.35">
      <c r="A469">
        <v>337</v>
      </c>
      <c r="B469">
        <v>6253</v>
      </c>
      <c r="C469" t="s">
        <v>16</v>
      </c>
      <c r="D469" t="s">
        <v>16</v>
      </c>
      <c r="E469" s="2">
        <v>46097</v>
      </c>
      <c r="F469" s="2">
        <v>46094</v>
      </c>
      <c r="G469" t="s">
        <v>391</v>
      </c>
      <c r="H469">
        <v>183608600</v>
      </c>
      <c r="I469">
        <v>217906300</v>
      </c>
      <c r="J469">
        <v>22440000</v>
      </c>
      <c r="K469">
        <v>15243300</v>
      </c>
      <c r="M469">
        <f t="shared" si="14"/>
        <v>27101000</v>
      </c>
      <c r="N469" t="str">
        <f t="shared" si="15"/>
        <v>Faltante</v>
      </c>
      <c r="O469" t="s">
        <v>392</v>
      </c>
      <c r="P469">
        <v>80386330</v>
      </c>
    </row>
    <row r="470" spans="1:16" x14ac:dyDescent="0.35">
      <c r="A470">
        <v>348</v>
      </c>
      <c r="B470">
        <v>6724</v>
      </c>
      <c r="C470" t="s">
        <v>22</v>
      </c>
      <c r="D470" t="s">
        <v>22</v>
      </c>
      <c r="E470" s="2">
        <v>46097</v>
      </c>
      <c r="F470" s="2">
        <v>46094</v>
      </c>
      <c r="G470" t="s">
        <v>393</v>
      </c>
      <c r="H470">
        <v>206070900</v>
      </c>
      <c r="I470">
        <v>172242100</v>
      </c>
      <c r="J470">
        <v>2370000</v>
      </c>
      <c r="K470">
        <v>36080400</v>
      </c>
      <c r="M470">
        <f t="shared" si="14"/>
        <v>-118400</v>
      </c>
      <c r="N470" t="str">
        <f t="shared" si="15"/>
        <v>Sobrante</v>
      </c>
      <c r="O470" t="s">
        <v>394</v>
      </c>
      <c r="P470">
        <v>1123633014</v>
      </c>
    </row>
    <row r="471" spans="1:16" x14ac:dyDescent="0.35">
      <c r="A471">
        <v>741</v>
      </c>
      <c r="B471">
        <v>6843</v>
      </c>
      <c r="C471" t="s">
        <v>22</v>
      </c>
      <c r="D471" t="s">
        <v>22</v>
      </c>
      <c r="E471" s="2">
        <v>46097</v>
      </c>
      <c r="F471" s="2">
        <v>46094</v>
      </c>
      <c r="G471" t="s">
        <v>395</v>
      </c>
      <c r="H471">
        <v>173666500</v>
      </c>
      <c r="I471">
        <v>185201500</v>
      </c>
      <c r="J471">
        <v>13390000</v>
      </c>
      <c r="K471">
        <v>1460000</v>
      </c>
      <c r="M471">
        <f t="shared" si="14"/>
        <v>-395000</v>
      </c>
      <c r="N471" t="str">
        <f t="shared" si="15"/>
        <v>Sobrante</v>
      </c>
      <c r="P471">
        <v>1130637714</v>
      </c>
    </row>
    <row r="472" spans="1:16" x14ac:dyDescent="0.35">
      <c r="A472">
        <v>385</v>
      </c>
      <c r="B472">
        <v>7139</v>
      </c>
      <c r="C472" t="s">
        <v>16</v>
      </c>
      <c r="D472" t="s">
        <v>16</v>
      </c>
      <c r="E472" s="2">
        <v>46097</v>
      </c>
      <c r="F472" s="2">
        <v>46094</v>
      </c>
      <c r="G472" t="s">
        <v>57</v>
      </c>
      <c r="H472">
        <v>164563250</v>
      </c>
      <c r="I472">
        <v>161822250</v>
      </c>
      <c r="J472">
        <v>38310000</v>
      </c>
      <c r="K472">
        <v>46141000</v>
      </c>
      <c r="M472">
        <f t="shared" si="14"/>
        <v>5090000</v>
      </c>
      <c r="N472" t="str">
        <f t="shared" si="15"/>
        <v>Faltante</v>
      </c>
      <c r="P472">
        <v>1077970238</v>
      </c>
    </row>
    <row r="473" spans="1:16" x14ac:dyDescent="0.35">
      <c r="A473">
        <v>389</v>
      </c>
      <c r="B473">
        <v>7327</v>
      </c>
      <c r="C473" t="s">
        <v>16</v>
      </c>
      <c r="D473" t="s">
        <v>16</v>
      </c>
      <c r="E473" s="2">
        <v>46097</v>
      </c>
      <c r="F473" s="2">
        <v>46094</v>
      </c>
      <c r="G473" t="s">
        <v>281</v>
      </c>
      <c r="H473">
        <v>167849800</v>
      </c>
      <c r="I473">
        <v>170587550</v>
      </c>
      <c r="J473">
        <v>2720000</v>
      </c>
      <c r="K473">
        <v>0</v>
      </c>
      <c r="M473">
        <f t="shared" si="14"/>
        <v>17750</v>
      </c>
      <c r="N473" t="str">
        <f t="shared" si="15"/>
        <v>Faltante</v>
      </c>
      <c r="P473">
        <v>14319846</v>
      </c>
    </row>
    <row r="474" spans="1:16" x14ac:dyDescent="0.35">
      <c r="A474">
        <v>453</v>
      </c>
      <c r="B474">
        <v>8018</v>
      </c>
      <c r="C474" t="s">
        <v>16</v>
      </c>
      <c r="D474" t="s">
        <v>16</v>
      </c>
      <c r="E474" s="2">
        <v>46097</v>
      </c>
      <c r="F474" s="2">
        <v>46094</v>
      </c>
      <c r="G474" t="s">
        <v>92</v>
      </c>
      <c r="H474">
        <v>398032150</v>
      </c>
      <c r="I474">
        <v>411702150</v>
      </c>
      <c r="J474">
        <v>620000</v>
      </c>
      <c r="K474">
        <v>2100000</v>
      </c>
      <c r="M474">
        <f t="shared" si="14"/>
        <v>15150000</v>
      </c>
      <c r="N474" t="str">
        <f t="shared" si="15"/>
        <v>Faltante</v>
      </c>
      <c r="O474" t="s">
        <v>396</v>
      </c>
      <c r="P474">
        <v>1083897578</v>
      </c>
    </row>
    <row r="475" spans="1:16" x14ac:dyDescent="0.35">
      <c r="A475">
        <v>453</v>
      </c>
      <c r="B475">
        <v>8019</v>
      </c>
      <c r="C475" t="s">
        <v>16</v>
      </c>
      <c r="D475" t="s">
        <v>16</v>
      </c>
      <c r="E475" s="2">
        <v>46097</v>
      </c>
      <c r="F475" s="2">
        <v>46094</v>
      </c>
      <c r="G475" t="s">
        <v>397</v>
      </c>
      <c r="H475">
        <v>214523100</v>
      </c>
      <c r="I475">
        <v>218440600</v>
      </c>
      <c r="J475">
        <v>0</v>
      </c>
      <c r="K475">
        <v>0</v>
      </c>
      <c r="M475">
        <f t="shared" si="14"/>
        <v>3917500</v>
      </c>
      <c r="N475" t="str">
        <f t="shared" si="15"/>
        <v>Faltante</v>
      </c>
      <c r="O475" t="s">
        <v>398</v>
      </c>
      <c r="P475">
        <v>1083897578</v>
      </c>
    </row>
    <row r="476" spans="1:16" x14ac:dyDescent="0.35">
      <c r="A476">
        <v>556</v>
      </c>
      <c r="B476">
        <v>8333</v>
      </c>
      <c r="C476" t="s">
        <v>16</v>
      </c>
      <c r="D476" t="s">
        <v>16</v>
      </c>
      <c r="E476" s="2">
        <v>46097</v>
      </c>
      <c r="F476" s="2">
        <v>46094</v>
      </c>
      <c r="G476" t="s">
        <v>399</v>
      </c>
      <c r="H476">
        <v>335832450</v>
      </c>
      <c r="I476">
        <v>326064500</v>
      </c>
      <c r="J476">
        <v>6820000</v>
      </c>
      <c r="K476">
        <v>16583500</v>
      </c>
      <c r="M476">
        <f t="shared" si="14"/>
        <v>-4450</v>
      </c>
      <c r="N476" t="str">
        <f t="shared" si="15"/>
        <v>Sobrante</v>
      </c>
      <c r="P476">
        <v>39450196</v>
      </c>
    </row>
    <row r="477" spans="1:16" x14ac:dyDescent="0.35">
      <c r="A477">
        <v>769</v>
      </c>
      <c r="B477">
        <v>8679</v>
      </c>
      <c r="C477" t="s">
        <v>16</v>
      </c>
      <c r="D477" t="s">
        <v>16</v>
      </c>
      <c r="E477" s="2">
        <v>46097</v>
      </c>
      <c r="F477" s="2">
        <v>46094</v>
      </c>
      <c r="G477" t="s">
        <v>76</v>
      </c>
      <c r="H477">
        <v>87502300</v>
      </c>
      <c r="I477">
        <v>65809200</v>
      </c>
      <c r="J477">
        <v>7140000</v>
      </c>
      <c r="K477">
        <v>18893100</v>
      </c>
      <c r="M477">
        <f t="shared" si="14"/>
        <v>-9940000</v>
      </c>
      <c r="N477" t="str">
        <f t="shared" si="15"/>
        <v>Sobrante</v>
      </c>
      <c r="P477">
        <v>1129580385</v>
      </c>
    </row>
    <row r="478" spans="1:16" x14ac:dyDescent="0.35">
      <c r="A478">
        <v>60</v>
      </c>
      <c r="B478">
        <v>8727</v>
      </c>
      <c r="C478" t="s">
        <v>16</v>
      </c>
      <c r="D478" t="s">
        <v>16</v>
      </c>
      <c r="E478" s="2">
        <v>46097</v>
      </c>
      <c r="F478" s="2">
        <v>46094</v>
      </c>
      <c r="G478" t="s">
        <v>400</v>
      </c>
      <c r="H478">
        <v>105704050</v>
      </c>
      <c r="I478">
        <v>243171450</v>
      </c>
      <c r="J478">
        <v>27980000</v>
      </c>
      <c r="K478">
        <v>40699600</v>
      </c>
      <c r="M478">
        <f t="shared" si="14"/>
        <v>150187000</v>
      </c>
      <c r="N478" t="str">
        <f t="shared" si="15"/>
        <v>Faltante</v>
      </c>
      <c r="O478" t="s">
        <v>401</v>
      </c>
      <c r="P478">
        <v>14697128</v>
      </c>
    </row>
    <row r="479" spans="1:16" x14ac:dyDescent="0.35">
      <c r="A479">
        <v>60</v>
      </c>
      <c r="B479">
        <v>8729</v>
      </c>
      <c r="C479" t="s">
        <v>16</v>
      </c>
      <c r="D479" t="s">
        <v>16</v>
      </c>
      <c r="E479" s="2">
        <v>46097</v>
      </c>
      <c r="F479" s="2">
        <v>46094</v>
      </c>
      <c r="G479" t="s">
        <v>107</v>
      </c>
      <c r="H479">
        <v>112531100</v>
      </c>
      <c r="I479">
        <v>-37079900</v>
      </c>
      <c r="J479">
        <v>9960000</v>
      </c>
      <c r="K479">
        <v>10484000</v>
      </c>
      <c r="M479">
        <f t="shared" si="14"/>
        <v>-149087000</v>
      </c>
      <c r="N479" t="str">
        <f t="shared" si="15"/>
        <v>Sobrante</v>
      </c>
      <c r="P479">
        <v>14697128</v>
      </c>
    </row>
    <row r="480" spans="1:16" x14ac:dyDescent="0.35">
      <c r="A480">
        <v>33</v>
      </c>
      <c r="B480">
        <v>8861</v>
      </c>
      <c r="C480" t="s">
        <v>16</v>
      </c>
      <c r="D480" t="s">
        <v>16</v>
      </c>
      <c r="E480" s="2">
        <v>46097</v>
      </c>
      <c r="F480" s="2">
        <v>46094</v>
      </c>
      <c r="G480" t="s">
        <v>298</v>
      </c>
      <c r="H480">
        <v>241416650</v>
      </c>
      <c r="I480">
        <v>252694650</v>
      </c>
      <c r="J480">
        <v>26940000</v>
      </c>
      <c r="K480">
        <v>28477000</v>
      </c>
      <c r="M480">
        <f t="shared" si="14"/>
        <v>12815000</v>
      </c>
      <c r="N480" t="str">
        <f t="shared" si="15"/>
        <v>Faltante</v>
      </c>
      <c r="O480" t="s">
        <v>402</v>
      </c>
      <c r="P480">
        <v>79659379</v>
      </c>
    </row>
    <row r="481" spans="1:16" x14ac:dyDescent="0.35">
      <c r="A481">
        <v>225</v>
      </c>
      <c r="B481">
        <v>8868</v>
      </c>
      <c r="C481" t="s">
        <v>16</v>
      </c>
      <c r="D481" t="s">
        <v>16</v>
      </c>
      <c r="E481" s="2">
        <v>46097</v>
      </c>
      <c r="F481" s="2">
        <v>46094</v>
      </c>
      <c r="G481" t="s">
        <v>403</v>
      </c>
      <c r="H481">
        <v>149615950</v>
      </c>
      <c r="I481">
        <v>141645950</v>
      </c>
      <c r="J481">
        <v>7470000</v>
      </c>
      <c r="K481">
        <v>3970000</v>
      </c>
      <c r="M481">
        <f t="shared" si="14"/>
        <v>-11470000</v>
      </c>
      <c r="N481" t="str">
        <f t="shared" si="15"/>
        <v>Sobrante</v>
      </c>
      <c r="P481">
        <v>80212698</v>
      </c>
    </row>
    <row r="482" spans="1:16" x14ac:dyDescent="0.35">
      <c r="A482">
        <v>225</v>
      </c>
      <c r="B482">
        <v>8869</v>
      </c>
      <c r="C482" t="s">
        <v>16</v>
      </c>
      <c r="D482" t="s">
        <v>16</v>
      </c>
      <c r="E482" s="2">
        <v>46097</v>
      </c>
      <c r="F482" s="2">
        <v>46094</v>
      </c>
      <c r="G482" t="s">
        <v>257</v>
      </c>
      <c r="H482">
        <v>265457950</v>
      </c>
      <c r="I482">
        <v>230207950</v>
      </c>
      <c r="J482">
        <v>19880000</v>
      </c>
      <c r="K482">
        <v>55430000</v>
      </c>
      <c r="M482">
        <f t="shared" si="14"/>
        <v>300000</v>
      </c>
      <c r="N482" t="str">
        <f t="shared" si="15"/>
        <v>Faltante</v>
      </c>
      <c r="O482" t="s">
        <v>404</v>
      </c>
      <c r="P482">
        <v>80212698</v>
      </c>
    </row>
    <row r="483" spans="1:16" x14ac:dyDescent="0.35">
      <c r="A483">
        <v>457</v>
      </c>
      <c r="B483">
        <v>9004</v>
      </c>
      <c r="C483" t="s">
        <v>16</v>
      </c>
      <c r="D483" t="s">
        <v>16</v>
      </c>
      <c r="E483" s="2">
        <v>46097</v>
      </c>
      <c r="F483" s="2">
        <v>46094</v>
      </c>
      <c r="G483" t="s">
        <v>35</v>
      </c>
      <c r="H483">
        <v>289891700</v>
      </c>
      <c r="I483">
        <v>281371500</v>
      </c>
      <c r="J483">
        <v>1330000</v>
      </c>
      <c r="K483">
        <v>9950000</v>
      </c>
      <c r="M483">
        <f t="shared" si="14"/>
        <v>99800</v>
      </c>
      <c r="N483" t="str">
        <f t="shared" si="15"/>
        <v>Faltante</v>
      </c>
      <c r="P483">
        <v>33750644</v>
      </c>
    </row>
    <row r="484" spans="1:16" x14ac:dyDescent="0.35">
      <c r="A484">
        <v>348</v>
      </c>
      <c r="B484">
        <v>9009</v>
      </c>
      <c r="C484" t="s">
        <v>16</v>
      </c>
      <c r="D484" t="s">
        <v>16</v>
      </c>
      <c r="E484" s="2">
        <v>46097</v>
      </c>
      <c r="F484" s="2">
        <v>46094</v>
      </c>
      <c r="G484" t="s">
        <v>405</v>
      </c>
      <c r="H484">
        <v>31607400</v>
      </c>
      <c r="I484">
        <v>25017400</v>
      </c>
      <c r="J484">
        <v>0</v>
      </c>
      <c r="K484">
        <v>0</v>
      </c>
      <c r="M484">
        <f t="shared" si="14"/>
        <v>-6590000</v>
      </c>
      <c r="N484" t="str">
        <f t="shared" si="15"/>
        <v>Sobrante</v>
      </c>
      <c r="P484">
        <v>1123633014</v>
      </c>
    </row>
    <row r="485" spans="1:16" x14ac:dyDescent="0.35">
      <c r="A485">
        <v>467</v>
      </c>
      <c r="B485">
        <v>9051</v>
      </c>
      <c r="C485" t="s">
        <v>16</v>
      </c>
      <c r="D485" t="s">
        <v>16</v>
      </c>
      <c r="E485" s="2">
        <v>46097</v>
      </c>
      <c r="F485" s="2">
        <v>46094</v>
      </c>
      <c r="G485" t="s">
        <v>406</v>
      </c>
      <c r="H485">
        <v>197423150</v>
      </c>
      <c r="I485">
        <v>111167050</v>
      </c>
      <c r="J485">
        <v>23350000</v>
      </c>
      <c r="K485">
        <v>33723000</v>
      </c>
      <c r="M485">
        <f t="shared" si="14"/>
        <v>-75883100</v>
      </c>
      <c r="N485" t="str">
        <f t="shared" si="15"/>
        <v>Sobrante</v>
      </c>
      <c r="P485">
        <v>52539189</v>
      </c>
    </row>
    <row r="486" spans="1:16" x14ac:dyDescent="0.35">
      <c r="A486">
        <v>467</v>
      </c>
      <c r="B486">
        <v>9052</v>
      </c>
      <c r="C486" t="s">
        <v>16</v>
      </c>
      <c r="D486" t="s">
        <v>16</v>
      </c>
      <c r="E486" s="2">
        <v>46097</v>
      </c>
      <c r="F486" s="2">
        <v>46094</v>
      </c>
      <c r="G486" t="s">
        <v>390</v>
      </c>
      <c r="H486">
        <v>180243200</v>
      </c>
      <c r="I486">
        <v>174904050</v>
      </c>
      <c r="J486">
        <v>12240000</v>
      </c>
      <c r="K486">
        <v>16331000</v>
      </c>
      <c r="M486">
        <f t="shared" si="14"/>
        <v>-1248150</v>
      </c>
      <c r="N486" t="str">
        <f t="shared" si="15"/>
        <v>Sobrante</v>
      </c>
      <c r="P486">
        <v>52539189</v>
      </c>
    </row>
    <row r="487" spans="1:16" x14ac:dyDescent="0.35">
      <c r="A487">
        <v>551</v>
      </c>
      <c r="B487">
        <v>9643</v>
      </c>
      <c r="C487" t="s">
        <v>16</v>
      </c>
      <c r="D487" t="s">
        <v>16</v>
      </c>
      <c r="E487" s="2">
        <v>46097</v>
      </c>
      <c r="F487" s="2">
        <v>46094</v>
      </c>
      <c r="G487" t="s">
        <v>407</v>
      </c>
      <c r="H487">
        <v>317417400</v>
      </c>
      <c r="I487">
        <v>275536300</v>
      </c>
      <c r="J487">
        <v>11140000</v>
      </c>
      <c r="K487">
        <v>53010000</v>
      </c>
      <c r="M487">
        <f t="shared" si="14"/>
        <v>-11100</v>
      </c>
      <c r="N487" t="str">
        <f t="shared" si="15"/>
        <v>Sobrante</v>
      </c>
      <c r="P487">
        <v>1152213498</v>
      </c>
    </row>
    <row r="488" spans="1:16" x14ac:dyDescent="0.35">
      <c r="A488">
        <v>516</v>
      </c>
      <c r="B488">
        <v>9729</v>
      </c>
      <c r="C488" t="s">
        <v>16</v>
      </c>
      <c r="D488" t="s">
        <v>16</v>
      </c>
      <c r="E488" s="2">
        <v>46097</v>
      </c>
      <c r="F488" s="2">
        <v>46094</v>
      </c>
      <c r="G488" t="s">
        <v>67</v>
      </c>
      <c r="H488">
        <v>114949850</v>
      </c>
      <c r="I488">
        <v>112262150</v>
      </c>
      <c r="J488">
        <v>14140000</v>
      </c>
      <c r="K488">
        <v>20370000</v>
      </c>
      <c r="M488">
        <f t="shared" si="14"/>
        <v>3542300</v>
      </c>
      <c r="N488" t="str">
        <f t="shared" si="15"/>
        <v>Faltante</v>
      </c>
      <c r="P488">
        <v>57292451</v>
      </c>
    </row>
    <row r="489" spans="1:16" x14ac:dyDescent="0.35">
      <c r="A489">
        <v>511</v>
      </c>
      <c r="B489">
        <v>5122</v>
      </c>
      <c r="C489" t="s">
        <v>16</v>
      </c>
      <c r="D489" t="s">
        <v>16</v>
      </c>
      <c r="E489" s="2">
        <v>46097</v>
      </c>
      <c r="F489" s="2">
        <v>46094</v>
      </c>
      <c r="G489" t="s">
        <v>144</v>
      </c>
      <c r="H489">
        <v>283207050</v>
      </c>
      <c r="I489">
        <v>284982050</v>
      </c>
      <c r="J489">
        <v>9670000</v>
      </c>
      <c r="K489">
        <v>7895000</v>
      </c>
      <c r="M489">
        <f t="shared" si="14"/>
        <v>0</v>
      </c>
      <c r="N489" t="str">
        <f t="shared" si="15"/>
        <v>Cuadrado</v>
      </c>
      <c r="O489" t="s">
        <v>20</v>
      </c>
      <c r="P489">
        <v>1152438348</v>
      </c>
    </row>
    <row r="490" spans="1:16" x14ac:dyDescent="0.35">
      <c r="A490">
        <v>300</v>
      </c>
      <c r="B490">
        <v>5139</v>
      </c>
      <c r="C490" t="s">
        <v>16</v>
      </c>
      <c r="D490" t="s">
        <v>16</v>
      </c>
      <c r="E490" s="2">
        <v>46097</v>
      </c>
      <c r="F490" s="2">
        <v>46094</v>
      </c>
      <c r="G490" t="s">
        <v>202</v>
      </c>
      <c r="H490">
        <v>281699650</v>
      </c>
      <c r="I490">
        <v>268433650</v>
      </c>
      <c r="J490">
        <v>15500000</v>
      </c>
      <c r="K490">
        <v>28766000</v>
      </c>
      <c r="M490">
        <f t="shared" si="14"/>
        <v>0</v>
      </c>
      <c r="N490" t="str">
        <f t="shared" si="15"/>
        <v>Cuadrado</v>
      </c>
      <c r="O490" t="s">
        <v>20</v>
      </c>
      <c r="P490">
        <v>53097567</v>
      </c>
    </row>
    <row r="491" spans="1:16" x14ac:dyDescent="0.35">
      <c r="A491">
        <v>718</v>
      </c>
      <c r="B491">
        <v>6248</v>
      </c>
      <c r="C491" t="s">
        <v>16</v>
      </c>
      <c r="D491" t="s">
        <v>16</v>
      </c>
      <c r="E491" s="2">
        <v>46097</v>
      </c>
      <c r="F491" s="2">
        <v>46094</v>
      </c>
      <c r="G491" t="s">
        <v>397</v>
      </c>
      <c r="H491">
        <v>180929850</v>
      </c>
      <c r="I491">
        <v>174729850</v>
      </c>
      <c r="J491">
        <v>0</v>
      </c>
      <c r="K491">
        <v>6200000</v>
      </c>
      <c r="M491">
        <f t="shared" si="14"/>
        <v>0</v>
      </c>
      <c r="N491" t="str">
        <f t="shared" si="15"/>
        <v>Cuadrado</v>
      </c>
      <c r="O491" t="s">
        <v>20</v>
      </c>
      <c r="P491">
        <v>1110458168</v>
      </c>
    </row>
    <row r="492" spans="1:16" x14ac:dyDescent="0.35">
      <c r="A492">
        <v>37</v>
      </c>
      <c r="B492">
        <v>6406</v>
      </c>
      <c r="C492" t="s">
        <v>16</v>
      </c>
      <c r="D492" t="s">
        <v>16</v>
      </c>
      <c r="E492" s="2">
        <v>46097</v>
      </c>
      <c r="F492" s="2">
        <v>46094</v>
      </c>
      <c r="G492" t="s">
        <v>274</v>
      </c>
      <c r="H492">
        <v>150351400</v>
      </c>
      <c r="I492">
        <v>150351400</v>
      </c>
      <c r="J492">
        <v>0</v>
      </c>
      <c r="K492">
        <v>0</v>
      </c>
      <c r="M492">
        <f t="shared" si="14"/>
        <v>0</v>
      </c>
      <c r="N492" t="str">
        <f t="shared" si="15"/>
        <v>Cuadrado</v>
      </c>
      <c r="O492" t="s">
        <v>20</v>
      </c>
      <c r="P492">
        <v>1018444239</v>
      </c>
    </row>
    <row r="493" spans="1:16" x14ac:dyDescent="0.35">
      <c r="A493">
        <v>728</v>
      </c>
      <c r="B493">
        <v>8586</v>
      </c>
      <c r="C493" t="s">
        <v>16</v>
      </c>
      <c r="D493" t="s">
        <v>16</v>
      </c>
      <c r="E493" s="2">
        <v>46097</v>
      </c>
      <c r="F493" s="2">
        <v>46094</v>
      </c>
      <c r="G493" t="s">
        <v>408</v>
      </c>
      <c r="H493">
        <v>71611650</v>
      </c>
      <c r="I493">
        <v>97971650</v>
      </c>
      <c r="J493">
        <v>26360000</v>
      </c>
      <c r="K493">
        <v>0</v>
      </c>
      <c r="M493">
        <f t="shared" si="14"/>
        <v>0</v>
      </c>
      <c r="N493" t="str">
        <f t="shared" si="15"/>
        <v>Cuadrado</v>
      </c>
      <c r="O493" t="s">
        <v>20</v>
      </c>
      <c r="P493">
        <v>1112783690</v>
      </c>
    </row>
    <row r="494" spans="1:16" x14ac:dyDescent="0.35">
      <c r="A494">
        <v>728</v>
      </c>
      <c r="B494">
        <v>8587</v>
      </c>
      <c r="C494" t="s">
        <v>16</v>
      </c>
      <c r="D494" t="s">
        <v>16</v>
      </c>
      <c r="E494" s="2">
        <v>46097</v>
      </c>
      <c r="F494" s="2">
        <v>46094</v>
      </c>
      <c r="G494" t="s">
        <v>409</v>
      </c>
      <c r="H494">
        <v>272030750</v>
      </c>
      <c r="I494">
        <v>146290750</v>
      </c>
      <c r="J494">
        <v>34040000</v>
      </c>
      <c r="K494">
        <v>159780000</v>
      </c>
      <c r="M494">
        <f t="shared" si="14"/>
        <v>0</v>
      </c>
      <c r="N494" t="str">
        <f t="shared" si="15"/>
        <v>Cuadrado</v>
      </c>
      <c r="O494" t="s">
        <v>20</v>
      </c>
      <c r="P494">
        <v>1112783690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9"/>
  <sheetViews>
    <sheetView workbookViewId="0"/>
  </sheetViews>
  <sheetFormatPr baseColWidth="10" defaultColWidth="8.7265625" defaultRowHeight="14.5" x14ac:dyDescent="0.35"/>
  <sheetData>
    <row r="1" spans="1:11" x14ac:dyDescent="0.35">
      <c r="A1" s="1" t="s">
        <v>410</v>
      </c>
      <c r="B1" s="1" t="s">
        <v>1</v>
      </c>
      <c r="C1" s="1" t="s">
        <v>2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</row>
    <row r="2" spans="1:11" x14ac:dyDescent="0.35">
      <c r="A2">
        <v>348</v>
      </c>
      <c r="B2">
        <v>192</v>
      </c>
      <c r="C2" t="s">
        <v>16</v>
      </c>
      <c r="D2" t="s">
        <v>419</v>
      </c>
      <c r="E2" t="s">
        <v>420</v>
      </c>
      <c r="F2" t="s">
        <v>421</v>
      </c>
      <c r="G2" t="s">
        <v>422</v>
      </c>
      <c r="H2" s="2">
        <v>46093</v>
      </c>
      <c r="K2" t="s">
        <v>423</v>
      </c>
    </row>
    <row r="3" spans="1:11" x14ac:dyDescent="0.35">
      <c r="A3">
        <v>333</v>
      </c>
      <c r="B3">
        <v>442</v>
      </c>
      <c r="C3" t="s">
        <v>22</v>
      </c>
      <c r="D3" t="s">
        <v>419</v>
      </c>
      <c r="E3" t="s">
        <v>424</v>
      </c>
      <c r="F3" t="s">
        <v>425</v>
      </c>
      <c r="G3" t="s">
        <v>426</v>
      </c>
      <c r="H3" s="2">
        <v>46086</v>
      </c>
      <c r="K3" t="s">
        <v>423</v>
      </c>
    </row>
    <row r="4" spans="1:11" x14ac:dyDescent="0.35">
      <c r="A4">
        <v>331</v>
      </c>
      <c r="B4">
        <v>574</v>
      </c>
      <c r="C4" t="s">
        <v>16</v>
      </c>
      <c r="D4" t="s">
        <v>419</v>
      </c>
      <c r="E4" t="s">
        <v>427</v>
      </c>
      <c r="F4" t="s">
        <v>428</v>
      </c>
      <c r="G4" t="s">
        <v>429</v>
      </c>
      <c r="H4" s="2">
        <v>46086</v>
      </c>
    </row>
    <row r="5" spans="1:11" x14ac:dyDescent="0.35">
      <c r="A5">
        <v>331</v>
      </c>
      <c r="B5">
        <v>575</v>
      </c>
      <c r="C5" t="s">
        <v>16</v>
      </c>
      <c r="D5" t="s">
        <v>419</v>
      </c>
      <c r="E5" t="s">
        <v>427</v>
      </c>
      <c r="F5" t="s">
        <v>428</v>
      </c>
      <c r="G5" t="s">
        <v>429</v>
      </c>
      <c r="H5" s="2">
        <v>46086</v>
      </c>
    </row>
    <row r="6" spans="1:11" x14ac:dyDescent="0.35">
      <c r="A6">
        <v>61</v>
      </c>
      <c r="B6">
        <v>788</v>
      </c>
      <c r="C6" t="s">
        <v>16</v>
      </c>
      <c r="D6" t="s">
        <v>419</v>
      </c>
      <c r="E6" t="s">
        <v>430</v>
      </c>
      <c r="F6" t="s">
        <v>431</v>
      </c>
      <c r="G6" t="s">
        <v>432</v>
      </c>
      <c r="H6" s="2">
        <v>46091</v>
      </c>
      <c r="K6" t="s">
        <v>433</v>
      </c>
    </row>
    <row r="7" spans="1:11" x14ac:dyDescent="0.35">
      <c r="A7">
        <v>287</v>
      </c>
      <c r="B7">
        <v>907</v>
      </c>
      <c r="C7" t="s">
        <v>22</v>
      </c>
      <c r="D7" t="s">
        <v>419</v>
      </c>
      <c r="E7" t="s">
        <v>434</v>
      </c>
      <c r="F7" t="s">
        <v>435</v>
      </c>
      <c r="G7" t="s">
        <v>436</v>
      </c>
      <c r="H7" s="2">
        <v>46100</v>
      </c>
      <c r="K7" t="s">
        <v>437</v>
      </c>
    </row>
    <row r="8" spans="1:11" x14ac:dyDescent="0.35">
      <c r="A8">
        <v>481</v>
      </c>
      <c r="B8">
        <v>1010</v>
      </c>
      <c r="C8" t="s">
        <v>16</v>
      </c>
      <c r="D8" t="s">
        <v>419</v>
      </c>
      <c r="E8" t="s">
        <v>438</v>
      </c>
      <c r="F8" t="s">
        <v>439</v>
      </c>
      <c r="G8" t="s">
        <v>440</v>
      </c>
      <c r="H8" s="2">
        <v>46091</v>
      </c>
    </row>
    <row r="9" spans="1:11" x14ac:dyDescent="0.35">
      <c r="A9">
        <v>481</v>
      </c>
      <c r="B9">
        <v>1011</v>
      </c>
      <c r="C9" t="s">
        <v>16</v>
      </c>
      <c r="D9" t="s">
        <v>419</v>
      </c>
      <c r="E9" t="s">
        <v>438</v>
      </c>
      <c r="F9" t="s">
        <v>439</v>
      </c>
      <c r="G9" t="s">
        <v>440</v>
      </c>
      <c r="H9" s="2">
        <v>46091</v>
      </c>
    </row>
    <row r="10" spans="1:11" x14ac:dyDescent="0.35">
      <c r="A10">
        <v>795</v>
      </c>
      <c r="B10">
        <v>1027</v>
      </c>
      <c r="C10" t="s">
        <v>16</v>
      </c>
      <c r="D10" t="s">
        <v>419</v>
      </c>
      <c r="E10" t="s">
        <v>441</v>
      </c>
      <c r="F10" t="s">
        <v>435</v>
      </c>
      <c r="G10" t="s">
        <v>442</v>
      </c>
      <c r="H10" s="2">
        <v>46091</v>
      </c>
      <c r="I10" t="s">
        <v>443</v>
      </c>
    </row>
    <row r="11" spans="1:11" x14ac:dyDescent="0.35">
      <c r="A11">
        <v>795</v>
      </c>
      <c r="B11">
        <v>1028</v>
      </c>
      <c r="C11" t="s">
        <v>16</v>
      </c>
      <c r="D11" t="s">
        <v>419</v>
      </c>
      <c r="E11" t="s">
        <v>441</v>
      </c>
      <c r="F11" t="s">
        <v>435</v>
      </c>
      <c r="G11" t="s">
        <v>442</v>
      </c>
      <c r="H11" s="2">
        <v>46091</v>
      </c>
      <c r="I11" t="s">
        <v>443</v>
      </c>
    </row>
    <row r="12" spans="1:11" x14ac:dyDescent="0.35">
      <c r="A12">
        <v>795</v>
      </c>
      <c r="B12">
        <v>1029</v>
      </c>
      <c r="C12" t="s">
        <v>16</v>
      </c>
      <c r="D12" t="s">
        <v>419</v>
      </c>
      <c r="E12" t="s">
        <v>441</v>
      </c>
      <c r="F12" t="s">
        <v>435</v>
      </c>
      <c r="G12" t="s">
        <v>442</v>
      </c>
      <c r="H12" s="2">
        <v>46091</v>
      </c>
      <c r="I12" t="s">
        <v>443</v>
      </c>
    </row>
    <row r="13" spans="1:11" x14ac:dyDescent="0.35">
      <c r="A13">
        <v>745</v>
      </c>
      <c r="B13">
        <v>1477</v>
      </c>
      <c r="C13" t="s">
        <v>16</v>
      </c>
      <c r="D13" t="s">
        <v>419</v>
      </c>
      <c r="E13" t="s">
        <v>444</v>
      </c>
      <c r="F13" t="s">
        <v>431</v>
      </c>
      <c r="G13" t="s">
        <v>445</v>
      </c>
      <c r="H13" s="2">
        <v>46091</v>
      </c>
    </row>
    <row r="14" spans="1:11" x14ac:dyDescent="0.35">
      <c r="A14">
        <v>377</v>
      </c>
      <c r="B14">
        <v>1508</v>
      </c>
      <c r="C14" t="s">
        <v>22</v>
      </c>
      <c r="D14" t="s">
        <v>419</v>
      </c>
      <c r="E14" t="s">
        <v>446</v>
      </c>
      <c r="F14" t="s">
        <v>447</v>
      </c>
      <c r="G14" t="s">
        <v>448</v>
      </c>
      <c r="H14" s="2">
        <v>46086</v>
      </c>
    </row>
    <row r="15" spans="1:11" x14ac:dyDescent="0.35">
      <c r="A15">
        <v>692</v>
      </c>
      <c r="B15">
        <v>1515</v>
      </c>
      <c r="C15" t="s">
        <v>16</v>
      </c>
      <c r="D15" t="s">
        <v>419</v>
      </c>
      <c r="E15" t="s">
        <v>449</v>
      </c>
      <c r="F15" t="s">
        <v>450</v>
      </c>
      <c r="G15" t="s">
        <v>451</v>
      </c>
      <c r="H15" s="2">
        <v>46091</v>
      </c>
      <c r="K15" t="s">
        <v>452</v>
      </c>
    </row>
    <row r="16" spans="1:11" x14ac:dyDescent="0.35">
      <c r="A16">
        <v>692</v>
      </c>
      <c r="B16">
        <v>1516</v>
      </c>
      <c r="C16" t="s">
        <v>16</v>
      </c>
      <c r="D16" t="s">
        <v>419</v>
      </c>
      <c r="E16" t="s">
        <v>449</v>
      </c>
      <c r="F16" t="s">
        <v>450</v>
      </c>
      <c r="G16" t="s">
        <v>451</v>
      </c>
      <c r="H16" s="2">
        <v>46091</v>
      </c>
      <c r="K16" t="s">
        <v>452</v>
      </c>
    </row>
    <row r="17" spans="1:11" x14ac:dyDescent="0.35">
      <c r="A17">
        <v>395</v>
      </c>
      <c r="B17">
        <v>1528</v>
      </c>
      <c r="C17" t="s">
        <v>16</v>
      </c>
      <c r="D17" t="s">
        <v>419</v>
      </c>
      <c r="E17" t="s">
        <v>453</v>
      </c>
      <c r="F17" t="s">
        <v>454</v>
      </c>
      <c r="G17" t="s">
        <v>455</v>
      </c>
      <c r="H17" s="2">
        <v>46091</v>
      </c>
      <c r="I17" t="s">
        <v>443</v>
      </c>
    </row>
    <row r="18" spans="1:11" x14ac:dyDescent="0.35">
      <c r="A18">
        <v>395</v>
      </c>
      <c r="B18">
        <v>1529</v>
      </c>
      <c r="C18" t="s">
        <v>16</v>
      </c>
      <c r="D18" t="s">
        <v>419</v>
      </c>
      <c r="E18" t="s">
        <v>453</v>
      </c>
      <c r="F18" t="s">
        <v>454</v>
      </c>
      <c r="G18" t="s">
        <v>455</v>
      </c>
      <c r="H18" s="2">
        <v>46091</v>
      </c>
      <c r="I18" t="s">
        <v>443</v>
      </c>
    </row>
    <row r="19" spans="1:11" x14ac:dyDescent="0.35">
      <c r="A19">
        <v>141</v>
      </c>
      <c r="B19">
        <v>1541</v>
      </c>
      <c r="C19" t="s">
        <v>16</v>
      </c>
      <c r="D19" t="s">
        <v>419</v>
      </c>
      <c r="E19" t="s">
        <v>456</v>
      </c>
      <c r="F19" t="s">
        <v>457</v>
      </c>
      <c r="G19" t="s">
        <v>458</v>
      </c>
      <c r="H19" s="2">
        <v>46099</v>
      </c>
    </row>
    <row r="20" spans="1:11" x14ac:dyDescent="0.35">
      <c r="A20">
        <v>438</v>
      </c>
      <c r="B20">
        <v>1565</v>
      </c>
      <c r="C20" t="s">
        <v>16</v>
      </c>
      <c r="D20" t="s">
        <v>419</v>
      </c>
      <c r="E20" t="s">
        <v>459</v>
      </c>
      <c r="F20" t="s">
        <v>425</v>
      </c>
      <c r="G20" t="s">
        <v>460</v>
      </c>
      <c r="H20" s="2">
        <v>46100</v>
      </c>
    </row>
    <row r="21" spans="1:11" x14ac:dyDescent="0.35">
      <c r="A21">
        <v>944</v>
      </c>
      <c r="B21">
        <v>2228</v>
      </c>
      <c r="C21" t="s">
        <v>16</v>
      </c>
      <c r="D21" t="s">
        <v>419</v>
      </c>
      <c r="E21" t="s">
        <v>461</v>
      </c>
      <c r="F21" t="s">
        <v>462</v>
      </c>
      <c r="G21" t="s">
        <v>463</v>
      </c>
      <c r="H21" s="2">
        <v>46098</v>
      </c>
      <c r="K21" t="s">
        <v>464</v>
      </c>
    </row>
    <row r="22" spans="1:11" x14ac:dyDescent="0.35">
      <c r="A22">
        <v>108</v>
      </c>
      <c r="B22">
        <v>2254</v>
      </c>
      <c r="C22" t="s">
        <v>22</v>
      </c>
      <c r="D22" t="s">
        <v>419</v>
      </c>
      <c r="E22" t="s">
        <v>465</v>
      </c>
      <c r="F22" t="s">
        <v>466</v>
      </c>
      <c r="G22" t="s">
        <v>467</v>
      </c>
      <c r="H22" s="2">
        <v>46099</v>
      </c>
    </row>
    <row r="23" spans="1:11" x14ac:dyDescent="0.35">
      <c r="A23">
        <v>322</v>
      </c>
      <c r="B23">
        <v>2444</v>
      </c>
      <c r="C23" t="s">
        <v>16</v>
      </c>
      <c r="D23" t="s">
        <v>419</v>
      </c>
      <c r="E23" t="s">
        <v>468</v>
      </c>
      <c r="F23" t="s">
        <v>469</v>
      </c>
      <c r="G23" t="s">
        <v>470</v>
      </c>
      <c r="H23" s="2">
        <v>46093</v>
      </c>
    </row>
    <row r="24" spans="1:11" x14ac:dyDescent="0.35">
      <c r="A24">
        <v>907</v>
      </c>
      <c r="B24">
        <v>4830</v>
      </c>
      <c r="C24" t="s">
        <v>16</v>
      </c>
      <c r="D24" t="s">
        <v>419</v>
      </c>
      <c r="E24" t="s">
        <v>471</v>
      </c>
      <c r="F24" t="s">
        <v>472</v>
      </c>
      <c r="G24" t="s">
        <v>473</v>
      </c>
      <c r="H24" s="2">
        <v>46093</v>
      </c>
      <c r="K24" t="s">
        <v>474</v>
      </c>
    </row>
    <row r="25" spans="1:11" x14ac:dyDescent="0.35">
      <c r="A25">
        <v>5</v>
      </c>
      <c r="B25">
        <v>4866</v>
      </c>
      <c r="C25" t="s">
        <v>22</v>
      </c>
      <c r="D25" t="s">
        <v>419</v>
      </c>
      <c r="E25" t="s">
        <v>475</v>
      </c>
      <c r="F25" t="s">
        <v>472</v>
      </c>
      <c r="G25" t="s">
        <v>476</v>
      </c>
      <c r="H25" s="2">
        <v>46099</v>
      </c>
      <c r="K25" t="s">
        <v>477</v>
      </c>
    </row>
    <row r="26" spans="1:11" x14ac:dyDescent="0.35">
      <c r="A26">
        <v>777</v>
      </c>
      <c r="B26">
        <v>4868</v>
      </c>
      <c r="C26" t="s">
        <v>22</v>
      </c>
      <c r="D26" t="s">
        <v>419</v>
      </c>
      <c r="E26" t="s">
        <v>478</v>
      </c>
      <c r="F26" t="s">
        <v>450</v>
      </c>
      <c r="G26" t="s">
        <v>479</v>
      </c>
      <c r="H26" s="2">
        <v>46092</v>
      </c>
      <c r="K26" t="s">
        <v>480</v>
      </c>
    </row>
    <row r="27" spans="1:11" x14ac:dyDescent="0.35">
      <c r="A27">
        <v>1</v>
      </c>
      <c r="B27">
        <v>5000</v>
      </c>
      <c r="C27" t="s">
        <v>16</v>
      </c>
      <c r="D27" t="s">
        <v>419</v>
      </c>
      <c r="E27" t="s">
        <v>481</v>
      </c>
      <c r="F27" t="s">
        <v>447</v>
      </c>
      <c r="G27" t="s">
        <v>482</v>
      </c>
      <c r="H27" s="2">
        <v>46086</v>
      </c>
    </row>
    <row r="28" spans="1:11" x14ac:dyDescent="0.35">
      <c r="A28">
        <v>6</v>
      </c>
      <c r="B28">
        <v>5001</v>
      </c>
      <c r="C28" t="s">
        <v>16</v>
      </c>
      <c r="D28" t="s">
        <v>419</v>
      </c>
      <c r="E28" t="s">
        <v>483</v>
      </c>
      <c r="F28" t="s">
        <v>447</v>
      </c>
      <c r="G28" t="s">
        <v>484</v>
      </c>
      <c r="H28" s="2">
        <v>46086</v>
      </c>
      <c r="I28" t="s">
        <v>443</v>
      </c>
    </row>
    <row r="29" spans="1:11" x14ac:dyDescent="0.35">
      <c r="A29">
        <v>59</v>
      </c>
      <c r="B29">
        <v>5002</v>
      </c>
      <c r="C29" t="s">
        <v>16</v>
      </c>
      <c r="D29" t="s">
        <v>419</v>
      </c>
      <c r="E29" t="s">
        <v>485</v>
      </c>
      <c r="F29" t="s">
        <v>486</v>
      </c>
      <c r="G29" t="s">
        <v>487</v>
      </c>
      <c r="H29" s="2">
        <v>46100</v>
      </c>
    </row>
    <row r="30" spans="1:11" x14ac:dyDescent="0.35">
      <c r="A30">
        <v>361</v>
      </c>
      <c r="B30">
        <v>5005</v>
      </c>
      <c r="C30" t="s">
        <v>16</v>
      </c>
      <c r="D30" t="s">
        <v>419</v>
      </c>
      <c r="E30" t="s">
        <v>488</v>
      </c>
      <c r="F30" t="s">
        <v>489</v>
      </c>
      <c r="G30" t="s">
        <v>490</v>
      </c>
      <c r="H30" s="2">
        <v>46092</v>
      </c>
    </row>
    <row r="31" spans="1:11" x14ac:dyDescent="0.35">
      <c r="A31">
        <v>777</v>
      </c>
      <c r="B31">
        <v>5009</v>
      </c>
      <c r="C31" t="s">
        <v>16</v>
      </c>
      <c r="D31" t="s">
        <v>419</v>
      </c>
      <c r="E31" t="s">
        <v>478</v>
      </c>
      <c r="F31" t="s">
        <v>450</v>
      </c>
      <c r="G31" t="s">
        <v>479</v>
      </c>
      <c r="H31" s="2">
        <v>46092</v>
      </c>
    </row>
    <row r="32" spans="1:11" x14ac:dyDescent="0.35">
      <c r="A32">
        <v>779</v>
      </c>
      <c r="B32">
        <v>5013</v>
      </c>
      <c r="C32" t="s">
        <v>16</v>
      </c>
      <c r="D32" t="s">
        <v>419</v>
      </c>
      <c r="E32" t="s">
        <v>491</v>
      </c>
      <c r="F32" t="s">
        <v>492</v>
      </c>
      <c r="G32" t="s">
        <v>493</v>
      </c>
      <c r="H32" s="2">
        <v>46100</v>
      </c>
    </row>
    <row r="33" spans="1:9" x14ac:dyDescent="0.35">
      <c r="A33">
        <v>907</v>
      </c>
      <c r="B33">
        <v>5019</v>
      </c>
      <c r="C33" t="s">
        <v>16</v>
      </c>
      <c r="D33" t="s">
        <v>419</v>
      </c>
      <c r="E33" t="s">
        <v>471</v>
      </c>
      <c r="F33" t="s">
        <v>472</v>
      </c>
      <c r="G33" t="s">
        <v>473</v>
      </c>
      <c r="H33" s="2">
        <v>46093</v>
      </c>
    </row>
    <row r="34" spans="1:9" x14ac:dyDescent="0.35">
      <c r="A34">
        <v>882</v>
      </c>
      <c r="B34">
        <v>5020</v>
      </c>
      <c r="C34" t="s">
        <v>16</v>
      </c>
      <c r="D34" t="s">
        <v>419</v>
      </c>
      <c r="E34" t="s">
        <v>494</v>
      </c>
      <c r="F34" t="s">
        <v>495</v>
      </c>
      <c r="G34" t="s">
        <v>496</v>
      </c>
      <c r="H34" s="2">
        <v>46093</v>
      </c>
      <c r="I34" t="s">
        <v>443</v>
      </c>
    </row>
    <row r="35" spans="1:9" x14ac:dyDescent="0.35">
      <c r="A35">
        <v>277</v>
      </c>
      <c r="B35">
        <v>5021</v>
      </c>
      <c r="C35" t="s">
        <v>16</v>
      </c>
      <c r="D35" t="s">
        <v>419</v>
      </c>
      <c r="E35" t="s">
        <v>497</v>
      </c>
      <c r="F35" t="s">
        <v>425</v>
      </c>
      <c r="G35" t="s">
        <v>498</v>
      </c>
      <c r="H35" s="2">
        <v>46092</v>
      </c>
    </row>
    <row r="36" spans="1:9" x14ac:dyDescent="0.35">
      <c r="A36">
        <v>825</v>
      </c>
      <c r="B36">
        <v>5023</v>
      </c>
      <c r="C36" t="s">
        <v>16</v>
      </c>
      <c r="D36" t="s">
        <v>419</v>
      </c>
      <c r="E36" t="s">
        <v>499</v>
      </c>
      <c r="F36" t="s">
        <v>431</v>
      </c>
      <c r="G36" t="s">
        <v>500</v>
      </c>
      <c r="H36" s="2">
        <v>46086</v>
      </c>
      <c r="I36" t="s">
        <v>443</v>
      </c>
    </row>
    <row r="37" spans="1:9" x14ac:dyDescent="0.35">
      <c r="A37">
        <v>32</v>
      </c>
      <c r="B37">
        <v>5027</v>
      </c>
      <c r="C37" t="s">
        <v>16</v>
      </c>
      <c r="D37" t="s">
        <v>419</v>
      </c>
      <c r="E37" t="s">
        <v>501</v>
      </c>
      <c r="F37" t="s">
        <v>502</v>
      </c>
      <c r="G37" t="s">
        <v>503</v>
      </c>
      <c r="H37" s="2">
        <v>46093</v>
      </c>
    </row>
    <row r="38" spans="1:9" x14ac:dyDescent="0.35">
      <c r="A38">
        <v>167</v>
      </c>
      <c r="B38">
        <v>5030</v>
      </c>
      <c r="C38" t="s">
        <v>16</v>
      </c>
      <c r="D38" t="s">
        <v>419</v>
      </c>
      <c r="E38" t="s">
        <v>504</v>
      </c>
      <c r="F38" t="s">
        <v>502</v>
      </c>
      <c r="G38" t="s">
        <v>505</v>
      </c>
      <c r="H38" s="2">
        <v>46092</v>
      </c>
    </row>
    <row r="39" spans="1:9" x14ac:dyDescent="0.35">
      <c r="A39">
        <v>275</v>
      </c>
      <c r="B39">
        <v>5034</v>
      </c>
      <c r="C39" t="s">
        <v>16</v>
      </c>
      <c r="D39" t="s">
        <v>419</v>
      </c>
      <c r="E39" t="s">
        <v>506</v>
      </c>
      <c r="F39" t="s">
        <v>425</v>
      </c>
      <c r="G39" t="s">
        <v>507</v>
      </c>
      <c r="H39" s="2">
        <v>46086</v>
      </c>
    </row>
    <row r="40" spans="1:9" x14ac:dyDescent="0.35">
      <c r="A40">
        <v>81</v>
      </c>
      <c r="B40">
        <v>5036</v>
      </c>
      <c r="C40" t="s">
        <v>16</v>
      </c>
      <c r="D40" t="s">
        <v>419</v>
      </c>
      <c r="E40" t="s">
        <v>508</v>
      </c>
      <c r="F40" t="s">
        <v>439</v>
      </c>
      <c r="G40" t="s">
        <v>509</v>
      </c>
      <c r="H40" s="2">
        <v>46091</v>
      </c>
    </row>
    <row r="41" spans="1:9" x14ac:dyDescent="0.35">
      <c r="A41">
        <v>824</v>
      </c>
      <c r="B41">
        <v>5040</v>
      </c>
      <c r="C41" t="s">
        <v>16</v>
      </c>
      <c r="D41" t="s">
        <v>419</v>
      </c>
      <c r="E41" t="s">
        <v>510</v>
      </c>
      <c r="F41" t="s">
        <v>511</v>
      </c>
      <c r="G41" t="s">
        <v>512</v>
      </c>
      <c r="H41" s="2">
        <v>46093</v>
      </c>
      <c r="I41" t="s">
        <v>443</v>
      </c>
    </row>
    <row r="42" spans="1:9" x14ac:dyDescent="0.35">
      <c r="A42">
        <v>154</v>
      </c>
      <c r="B42">
        <v>5041</v>
      </c>
      <c r="C42" t="s">
        <v>16</v>
      </c>
      <c r="D42" t="s">
        <v>419</v>
      </c>
      <c r="E42" t="s">
        <v>513</v>
      </c>
      <c r="F42" t="s">
        <v>466</v>
      </c>
      <c r="G42" t="s">
        <v>514</v>
      </c>
      <c r="H42" s="2">
        <v>46091</v>
      </c>
    </row>
    <row r="43" spans="1:9" x14ac:dyDescent="0.35">
      <c r="A43">
        <v>867</v>
      </c>
      <c r="B43">
        <v>5043</v>
      </c>
      <c r="C43" t="s">
        <v>16</v>
      </c>
      <c r="D43" t="s">
        <v>419</v>
      </c>
      <c r="E43" t="s">
        <v>515</v>
      </c>
      <c r="F43" t="s">
        <v>516</v>
      </c>
      <c r="G43" t="s">
        <v>517</v>
      </c>
      <c r="H43" s="2">
        <v>46099</v>
      </c>
      <c r="I43" t="s">
        <v>443</v>
      </c>
    </row>
    <row r="44" spans="1:9" x14ac:dyDescent="0.35">
      <c r="A44">
        <v>879</v>
      </c>
      <c r="B44">
        <v>5045</v>
      </c>
      <c r="C44" t="s">
        <v>16</v>
      </c>
      <c r="D44" t="s">
        <v>419</v>
      </c>
      <c r="E44" t="s">
        <v>518</v>
      </c>
      <c r="F44" t="s">
        <v>519</v>
      </c>
      <c r="G44" t="s">
        <v>520</v>
      </c>
      <c r="H44" s="2">
        <v>46093</v>
      </c>
    </row>
    <row r="45" spans="1:9" x14ac:dyDescent="0.35">
      <c r="A45">
        <v>723</v>
      </c>
      <c r="B45">
        <v>5046</v>
      </c>
      <c r="C45" t="s">
        <v>16</v>
      </c>
      <c r="D45" t="s">
        <v>419</v>
      </c>
      <c r="E45" t="s">
        <v>521</v>
      </c>
      <c r="F45" t="s">
        <v>486</v>
      </c>
      <c r="G45" t="s">
        <v>522</v>
      </c>
      <c r="H45" s="2">
        <v>46098</v>
      </c>
    </row>
    <row r="46" spans="1:9" x14ac:dyDescent="0.35">
      <c r="A46">
        <v>623</v>
      </c>
      <c r="B46">
        <v>5047</v>
      </c>
      <c r="C46" t="s">
        <v>16</v>
      </c>
      <c r="D46" t="s">
        <v>419</v>
      </c>
      <c r="E46" t="s">
        <v>523</v>
      </c>
      <c r="F46" t="s">
        <v>486</v>
      </c>
      <c r="G46" t="s">
        <v>524</v>
      </c>
      <c r="H46" s="2">
        <v>46086</v>
      </c>
    </row>
    <row r="47" spans="1:9" x14ac:dyDescent="0.35">
      <c r="A47">
        <v>261</v>
      </c>
      <c r="B47">
        <v>5048</v>
      </c>
      <c r="C47" t="s">
        <v>16</v>
      </c>
      <c r="D47" t="s">
        <v>419</v>
      </c>
      <c r="E47" t="s">
        <v>525</v>
      </c>
      <c r="F47" t="s">
        <v>519</v>
      </c>
      <c r="G47" t="s">
        <v>526</v>
      </c>
      <c r="H47" s="2">
        <v>46093</v>
      </c>
    </row>
    <row r="48" spans="1:9" x14ac:dyDescent="0.35">
      <c r="A48">
        <v>682</v>
      </c>
      <c r="B48">
        <v>5049</v>
      </c>
      <c r="C48" t="s">
        <v>16</v>
      </c>
      <c r="D48" t="s">
        <v>419</v>
      </c>
      <c r="E48" t="s">
        <v>527</v>
      </c>
      <c r="F48" t="s">
        <v>462</v>
      </c>
      <c r="G48" t="s">
        <v>528</v>
      </c>
      <c r="H48" s="2">
        <v>46099</v>
      </c>
    </row>
    <row r="49" spans="1:11" x14ac:dyDescent="0.35">
      <c r="A49">
        <v>852</v>
      </c>
      <c r="B49">
        <v>5050</v>
      </c>
      <c r="C49" t="s">
        <v>16</v>
      </c>
      <c r="D49" t="s">
        <v>419</v>
      </c>
      <c r="E49" t="s">
        <v>529</v>
      </c>
      <c r="F49" t="s">
        <v>486</v>
      </c>
      <c r="G49" t="s">
        <v>530</v>
      </c>
      <c r="H49" s="2">
        <v>46091</v>
      </c>
    </row>
    <row r="50" spans="1:11" x14ac:dyDescent="0.35">
      <c r="A50">
        <v>769</v>
      </c>
      <c r="B50">
        <v>5051</v>
      </c>
      <c r="C50" t="s">
        <v>16</v>
      </c>
      <c r="D50" t="s">
        <v>419</v>
      </c>
      <c r="E50" t="s">
        <v>531</v>
      </c>
      <c r="F50" t="s">
        <v>439</v>
      </c>
      <c r="G50" t="s">
        <v>532</v>
      </c>
      <c r="H50" s="2">
        <v>46086</v>
      </c>
    </row>
    <row r="51" spans="1:11" x14ac:dyDescent="0.35">
      <c r="A51">
        <v>916</v>
      </c>
      <c r="B51">
        <v>5052</v>
      </c>
      <c r="C51" t="s">
        <v>16</v>
      </c>
      <c r="D51" t="s">
        <v>419</v>
      </c>
      <c r="E51" t="s">
        <v>533</v>
      </c>
      <c r="F51" t="s">
        <v>492</v>
      </c>
      <c r="G51" t="s">
        <v>534</v>
      </c>
      <c r="H51" s="2">
        <v>46093</v>
      </c>
    </row>
    <row r="52" spans="1:11" x14ac:dyDescent="0.35">
      <c r="A52">
        <v>517</v>
      </c>
      <c r="B52">
        <v>5053</v>
      </c>
      <c r="C52" t="s">
        <v>16</v>
      </c>
      <c r="D52" t="s">
        <v>419</v>
      </c>
      <c r="E52" t="s">
        <v>535</v>
      </c>
      <c r="F52" t="s">
        <v>492</v>
      </c>
      <c r="G52" t="s">
        <v>536</v>
      </c>
      <c r="H52" s="2">
        <v>46092</v>
      </c>
    </row>
    <row r="53" spans="1:11" x14ac:dyDescent="0.35">
      <c r="A53">
        <v>781</v>
      </c>
      <c r="B53">
        <v>5057</v>
      </c>
      <c r="C53" t="s">
        <v>16</v>
      </c>
      <c r="D53" t="s">
        <v>419</v>
      </c>
      <c r="E53" t="s">
        <v>537</v>
      </c>
      <c r="F53" t="s">
        <v>492</v>
      </c>
      <c r="G53" t="s">
        <v>538</v>
      </c>
      <c r="H53" s="2">
        <v>46100</v>
      </c>
    </row>
    <row r="54" spans="1:11" x14ac:dyDescent="0.35">
      <c r="A54">
        <v>7</v>
      </c>
      <c r="B54">
        <v>5059</v>
      </c>
      <c r="C54" t="s">
        <v>16</v>
      </c>
      <c r="D54" t="s">
        <v>419</v>
      </c>
      <c r="E54" t="s">
        <v>539</v>
      </c>
      <c r="F54" t="s">
        <v>428</v>
      </c>
      <c r="G54" t="s">
        <v>540</v>
      </c>
      <c r="H54" s="2">
        <v>46091</v>
      </c>
    </row>
    <row r="55" spans="1:11" x14ac:dyDescent="0.35">
      <c r="A55">
        <v>392</v>
      </c>
      <c r="B55">
        <v>5064</v>
      </c>
      <c r="C55" t="s">
        <v>16</v>
      </c>
      <c r="D55" t="s">
        <v>419</v>
      </c>
      <c r="E55" t="s">
        <v>541</v>
      </c>
      <c r="F55" t="s">
        <v>542</v>
      </c>
      <c r="G55" t="s">
        <v>543</v>
      </c>
      <c r="H55" s="2">
        <v>46100</v>
      </c>
    </row>
    <row r="56" spans="1:11" x14ac:dyDescent="0.35">
      <c r="A56">
        <v>24</v>
      </c>
      <c r="B56">
        <v>5066</v>
      </c>
      <c r="C56" t="s">
        <v>16</v>
      </c>
      <c r="D56" t="s">
        <v>419</v>
      </c>
      <c r="E56" t="s">
        <v>544</v>
      </c>
      <c r="F56" t="s">
        <v>542</v>
      </c>
      <c r="G56" t="s">
        <v>545</v>
      </c>
      <c r="H56" s="2">
        <v>46093</v>
      </c>
    </row>
    <row r="57" spans="1:11" x14ac:dyDescent="0.35">
      <c r="A57">
        <v>211</v>
      </c>
      <c r="B57">
        <v>5067</v>
      </c>
      <c r="C57" t="s">
        <v>16</v>
      </c>
      <c r="D57" t="s">
        <v>419</v>
      </c>
      <c r="E57" t="s">
        <v>546</v>
      </c>
      <c r="F57" t="s">
        <v>466</v>
      </c>
      <c r="G57" t="s">
        <v>547</v>
      </c>
      <c r="H57" s="2">
        <v>46099</v>
      </c>
    </row>
    <row r="58" spans="1:11" x14ac:dyDescent="0.35">
      <c r="A58">
        <v>652</v>
      </c>
      <c r="B58">
        <v>5070</v>
      </c>
      <c r="C58" t="s">
        <v>16</v>
      </c>
      <c r="D58" t="s">
        <v>419</v>
      </c>
      <c r="E58" t="s">
        <v>548</v>
      </c>
      <c r="F58" t="s">
        <v>502</v>
      </c>
      <c r="G58" t="s">
        <v>549</v>
      </c>
      <c r="H58" s="2">
        <v>46093</v>
      </c>
    </row>
    <row r="59" spans="1:11" x14ac:dyDescent="0.35">
      <c r="A59">
        <v>333</v>
      </c>
      <c r="B59">
        <v>5076</v>
      </c>
      <c r="C59" t="s">
        <v>16</v>
      </c>
      <c r="D59" t="s">
        <v>419</v>
      </c>
      <c r="E59" t="s">
        <v>424</v>
      </c>
      <c r="F59" t="s">
        <v>425</v>
      </c>
      <c r="G59" t="s">
        <v>426</v>
      </c>
      <c r="H59" s="2">
        <v>46086</v>
      </c>
    </row>
    <row r="60" spans="1:11" x14ac:dyDescent="0.35">
      <c r="A60">
        <v>419</v>
      </c>
      <c r="B60">
        <v>5077</v>
      </c>
      <c r="C60" t="s">
        <v>16</v>
      </c>
      <c r="D60" t="s">
        <v>419</v>
      </c>
      <c r="E60" t="s">
        <v>550</v>
      </c>
      <c r="F60" t="s">
        <v>551</v>
      </c>
      <c r="G60" t="s">
        <v>552</v>
      </c>
      <c r="H60" s="2">
        <v>46091</v>
      </c>
    </row>
    <row r="61" spans="1:11" x14ac:dyDescent="0.35">
      <c r="A61">
        <v>19</v>
      </c>
      <c r="B61">
        <v>5078</v>
      </c>
      <c r="C61" t="s">
        <v>16</v>
      </c>
      <c r="D61" t="s">
        <v>419</v>
      </c>
      <c r="E61" t="s">
        <v>553</v>
      </c>
      <c r="F61" t="s">
        <v>425</v>
      </c>
      <c r="G61" t="s">
        <v>554</v>
      </c>
      <c r="H61" s="2">
        <v>46092</v>
      </c>
    </row>
    <row r="62" spans="1:11" x14ac:dyDescent="0.35">
      <c r="A62">
        <v>8</v>
      </c>
      <c r="B62">
        <v>5079</v>
      </c>
      <c r="C62" t="s">
        <v>16</v>
      </c>
      <c r="D62" t="s">
        <v>419</v>
      </c>
      <c r="E62" t="s">
        <v>555</v>
      </c>
      <c r="F62" t="s">
        <v>447</v>
      </c>
      <c r="G62" t="s">
        <v>556</v>
      </c>
      <c r="H62" s="2">
        <v>46099</v>
      </c>
    </row>
    <row r="63" spans="1:11" x14ac:dyDescent="0.35">
      <c r="A63">
        <v>115</v>
      </c>
      <c r="B63">
        <v>5080</v>
      </c>
      <c r="C63" t="s">
        <v>16</v>
      </c>
      <c r="D63" t="s">
        <v>419</v>
      </c>
      <c r="E63" t="s">
        <v>557</v>
      </c>
      <c r="F63" t="s">
        <v>486</v>
      </c>
      <c r="G63" t="s">
        <v>558</v>
      </c>
      <c r="H63" s="2">
        <v>46092</v>
      </c>
    </row>
    <row r="64" spans="1:11" x14ac:dyDescent="0.35">
      <c r="A64">
        <v>486</v>
      </c>
      <c r="B64">
        <v>5081</v>
      </c>
      <c r="C64" t="s">
        <v>16</v>
      </c>
      <c r="D64" t="s">
        <v>419</v>
      </c>
      <c r="E64" t="s">
        <v>559</v>
      </c>
      <c r="F64" t="s">
        <v>439</v>
      </c>
      <c r="G64" t="s">
        <v>560</v>
      </c>
      <c r="H64" s="2">
        <v>46099</v>
      </c>
      <c r="K64" t="s">
        <v>561</v>
      </c>
    </row>
    <row r="65" spans="1:9" x14ac:dyDescent="0.35">
      <c r="A65">
        <v>523</v>
      </c>
      <c r="B65">
        <v>5082</v>
      </c>
      <c r="C65" t="s">
        <v>16</v>
      </c>
      <c r="D65" t="s">
        <v>419</v>
      </c>
      <c r="E65" t="s">
        <v>562</v>
      </c>
      <c r="F65" t="s">
        <v>492</v>
      </c>
      <c r="G65" t="s">
        <v>563</v>
      </c>
      <c r="H65" s="2">
        <v>46091</v>
      </c>
    </row>
    <row r="66" spans="1:9" x14ac:dyDescent="0.35">
      <c r="A66">
        <v>265</v>
      </c>
      <c r="B66">
        <v>5083</v>
      </c>
      <c r="C66" t="s">
        <v>16</v>
      </c>
      <c r="D66" t="s">
        <v>419</v>
      </c>
      <c r="E66" t="s">
        <v>564</v>
      </c>
      <c r="F66" t="s">
        <v>431</v>
      </c>
      <c r="G66" t="s">
        <v>565</v>
      </c>
      <c r="H66" s="2">
        <v>46093</v>
      </c>
    </row>
    <row r="67" spans="1:9" x14ac:dyDescent="0.35">
      <c r="A67">
        <v>197</v>
      </c>
      <c r="B67">
        <v>5084</v>
      </c>
      <c r="C67" t="s">
        <v>16</v>
      </c>
      <c r="D67" t="s">
        <v>419</v>
      </c>
      <c r="E67" t="s">
        <v>566</v>
      </c>
      <c r="F67" t="s">
        <v>492</v>
      </c>
      <c r="G67" t="s">
        <v>567</v>
      </c>
      <c r="H67" s="2">
        <v>46093</v>
      </c>
    </row>
    <row r="68" spans="1:9" x14ac:dyDescent="0.35">
      <c r="A68">
        <v>634</v>
      </c>
      <c r="B68">
        <v>5087</v>
      </c>
      <c r="C68" t="s">
        <v>16</v>
      </c>
      <c r="D68" t="s">
        <v>419</v>
      </c>
      <c r="E68" t="s">
        <v>568</v>
      </c>
      <c r="F68" t="s">
        <v>551</v>
      </c>
      <c r="G68" t="s">
        <v>569</v>
      </c>
      <c r="H68" s="2">
        <v>46086</v>
      </c>
    </row>
    <row r="69" spans="1:9" x14ac:dyDescent="0.35">
      <c r="A69">
        <v>659</v>
      </c>
      <c r="B69">
        <v>5102</v>
      </c>
      <c r="C69" t="s">
        <v>16</v>
      </c>
      <c r="D69" t="s">
        <v>419</v>
      </c>
      <c r="E69" t="s">
        <v>570</v>
      </c>
      <c r="F69" t="s">
        <v>571</v>
      </c>
      <c r="G69" t="s">
        <v>572</v>
      </c>
      <c r="H69" s="2">
        <v>46100</v>
      </c>
    </row>
    <row r="70" spans="1:9" x14ac:dyDescent="0.35">
      <c r="A70">
        <v>656</v>
      </c>
      <c r="B70">
        <v>5103</v>
      </c>
      <c r="C70" t="s">
        <v>16</v>
      </c>
      <c r="D70" t="s">
        <v>419</v>
      </c>
      <c r="E70" t="s">
        <v>573</v>
      </c>
      <c r="F70" t="s">
        <v>492</v>
      </c>
      <c r="G70" t="s">
        <v>574</v>
      </c>
      <c r="H70" s="2">
        <v>46099</v>
      </c>
    </row>
    <row r="71" spans="1:9" x14ac:dyDescent="0.35">
      <c r="A71">
        <v>430</v>
      </c>
      <c r="B71">
        <v>5104</v>
      </c>
      <c r="C71" t="s">
        <v>16</v>
      </c>
      <c r="D71" t="s">
        <v>419</v>
      </c>
      <c r="E71" t="s">
        <v>575</v>
      </c>
      <c r="F71" t="s">
        <v>472</v>
      </c>
      <c r="G71" t="s">
        <v>576</v>
      </c>
      <c r="H71" s="2">
        <v>46100</v>
      </c>
      <c r="I71" t="s">
        <v>443</v>
      </c>
    </row>
    <row r="72" spans="1:9" x14ac:dyDescent="0.35">
      <c r="A72">
        <v>743</v>
      </c>
      <c r="B72">
        <v>5106</v>
      </c>
      <c r="C72" t="s">
        <v>16</v>
      </c>
      <c r="D72" t="s">
        <v>419</v>
      </c>
      <c r="E72" t="s">
        <v>577</v>
      </c>
      <c r="F72" t="s">
        <v>551</v>
      </c>
      <c r="G72" t="s">
        <v>578</v>
      </c>
      <c r="H72" s="2">
        <v>46093</v>
      </c>
    </row>
    <row r="73" spans="1:9" x14ac:dyDescent="0.35">
      <c r="A73">
        <v>73</v>
      </c>
      <c r="B73">
        <v>5108</v>
      </c>
      <c r="C73" t="s">
        <v>16</v>
      </c>
      <c r="D73" t="s">
        <v>419</v>
      </c>
      <c r="E73" t="s">
        <v>579</v>
      </c>
      <c r="F73" t="s">
        <v>486</v>
      </c>
      <c r="G73" t="s">
        <v>580</v>
      </c>
      <c r="H73" s="2">
        <v>46100</v>
      </c>
    </row>
    <row r="74" spans="1:9" x14ac:dyDescent="0.35">
      <c r="A74">
        <v>88</v>
      </c>
      <c r="B74">
        <v>5111</v>
      </c>
      <c r="C74" t="s">
        <v>16</v>
      </c>
      <c r="D74" t="s">
        <v>419</v>
      </c>
      <c r="E74" t="s">
        <v>581</v>
      </c>
      <c r="F74" t="s">
        <v>511</v>
      </c>
      <c r="G74" t="s">
        <v>582</v>
      </c>
      <c r="H74" s="2">
        <v>46093</v>
      </c>
    </row>
    <row r="75" spans="1:9" x14ac:dyDescent="0.35">
      <c r="A75">
        <v>191</v>
      </c>
      <c r="B75">
        <v>5112</v>
      </c>
      <c r="C75" t="s">
        <v>16</v>
      </c>
      <c r="D75" t="s">
        <v>419</v>
      </c>
      <c r="E75" t="s">
        <v>583</v>
      </c>
      <c r="F75" t="s">
        <v>502</v>
      </c>
      <c r="G75" t="s">
        <v>584</v>
      </c>
      <c r="H75" s="2">
        <v>46086</v>
      </c>
    </row>
    <row r="76" spans="1:9" x14ac:dyDescent="0.35">
      <c r="A76">
        <v>291</v>
      </c>
      <c r="B76">
        <v>5114</v>
      </c>
      <c r="C76" t="s">
        <v>16</v>
      </c>
      <c r="D76" t="s">
        <v>419</v>
      </c>
      <c r="E76" t="s">
        <v>585</v>
      </c>
      <c r="F76" t="s">
        <v>435</v>
      </c>
      <c r="G76" t="s">
        <v>586</v>
      </c>
      <c r="H76" s="2">
        <v>46091</v>
      </c>
    </row>
    <row r="77" spans="1:9" x14ac:dyDescent="0.35">
      <c r="A77">
        <v>937</v>
      </c>
      <c r="B77">
        <v>5115</v>
      </c>
      <c r="C77" t="s">
        <v>16</v>
      </c>
      <c r="D77" t="s">
        <v>419</v>
      </c>
      <c r="E77" t="s">
        <v>587</v>
      </c>
      <c r="F77" t="s">
        <v>519</v>
      </c>
      <c r="G77" t="s">
        <v>588</v>
      </c>
      <c r="H77" s="2">
        <v>46086</v>
      </c>
    </row>
    <row r="78" spans="1:9" x14ac:dyDescent="0.35">
      <c r="A78">
        <v>292</v>
      </c>
      <c r="B78">
        <v>5116</v>
      </c>
      <c r="C78" t="s">
        <v>16</v>
      </c>
      <c r="D78" t="s">
        <v>419</v>
      </c>
      <c r="E78" t="s">
        <v>589</v>
      </c>
      <c r="F78" t="s">
        <v>425</v>
      </c>
      <c r="G78" t="s">
        <v>590</v>
      </c>
      <c r="H78" s="2">
        <v>46098</v>
      </c>
    </row>
    <row r="79" spans="1:9" x14ac:dyDescent="0.35">
      <c r="A79">
        <v>789</v>
      </c>
      <c r="B79">
        <v>5118</v>
      </c>
      <c r="C79" t="s">
        <v>16</v>
      </c>
      <c r="D79" t="s">
        <v>419</v>
      </c>
      <c r="E79" t="s">
        <v>591</v>
      </c>
      <c r="F79" t="s">
        <v>421</v>
      </c>
      <c r="G79" t="s">
        <v>592</v>
      </c>
      <c r="H79" s="2">
        <v>46091</v>
      </c>
    </row>
    <row r="80" spans="1:9" x14ac:dyDescent="0.35">
      <c r="A80">
        <v>511</v>
      </c>
      <c r="B80">
        <v>5122</v>
      </c>
      <c r="C80" t="s">
        <v>16</v>
      </c>
      <c r="D80" t="s">
        <v>419</v>
      </c>
      <c r="E80" t="s">
        <v>593</v>
      </c>
      <c r="F80" t="s">
        <v>542</v>
      </c>
      <c r="G80" t="s">
        <v>594</v>
      </c>
      <c r="H80" s="2">
        <v>46086</v>
      </c>
    </row>
    <row r="81" spans="1:9" x14ac:dyDescent="0.35">
      <c r="A81">
        <v>76</v>
      </c>
      <c r="B81">
        <v>5126</v>
      </c>
      <c r="C81" t="s">
        <v>16</v>
      </c>
      <c r="D81" t="s">
        <v>419</v>
      </c>
      <c r="E81" t="s">
        <v>595</v>
      </c>
      <c r="F81" t="s">
        <v>596</v>
      </c>
      <c r="G81" t="s">
        <v>597</v>
      </c>
      <c r="H81" s="2">
        <v>46093</v>
      </c>
    </row>
    <row r="82" spans="1:9" x14ac:dyDescent="0.35">
      <c r="A82">
        <v>101</v>
      </c>
      <c r="B82">
        <v>5128</v>
      </c>
      <c r="C82" t="s">
        <v>16</v>
      </c>
      <c r="D82" t="s">
        <v>419</v>
      </c>
      <c r="E82" t="s">
        <v>598</v>
      </c>
      <c r="F82" t="s">
        <v>551</v>
      </c>
      <c r="G82" t="s">
        <v>599</v>
      </c>
      <c r="H82" s="2">
        <v>46086</v>
      </c>
    </row>
    <row r="83" spans="1:9" x14ac:dyDescent="0.35">
      <c r="A83">
        <v>244</v>
      </c>
      <c r="B83">
        <v>5129</v>
      </c>
      <c r="C83" t="s">
        <v>16</v>
      </c>
      <c r="D83" t="s">
        <v>419</v>
      </c>
      <c r="E83" t="s">
        <v>600</v>
      </c>
      <c r="F83" t="s">
        <v>466</v>
      </c>
      <c r="G83" t="s">
        <v>601</v>
      </c>
      <c r="H83" s="2">
        <v>46099</v>
      </c>
    </row>
    <row r="84" spans="1:9" x14ac:dyDescent="0.35">
      <c r="A84">
        <v>366</v>
      </c>
      <c r="B84">
        <v>5132</v>
      </c>
      <c r="C84" t="s">
        <v>16</v>
      </c>
      <c r="D84" t="s">
        <v>419</v>
      </c>
      <c r="E84" t="s">
        <v>602</v>
      </c>
      <c r="F84" t="s">
        <v>603</v>
      </c>
      <c r="G84" t="s">
        <v>604</v>
      </c>
      <c r="H84" s="2">
        <v>46100</v>
      </c>
    </row>
    <row r="85" spans="1:9" x14ac:dyDescent="0.35">
      <c r="A85">
        <v>68</v>
      </c>
      <c r="B85">
        <v>5135</v>
      </c>
      <c r="C85" t="s">
        <v>16</v>
      </c>
      <c r="D85" t="s">
        <v>419</v>
      </c>
      <c r="E85" t="s">
        <v>605</v>
      </c>
      <c r="F85" t="s">
        <v>571</v>
      </c>
      <c r="G85" t="s">
        <v>606</v>
      </c>
      <c r="H85" s="2">
        <v>46100</v>
      </c>
    </row>
    <row r="86" spans="1:9" x14ac:dyDescent="0.35">
      <c r="A86">
        <v>318</v>
      </c>
      <c r="B86">
        <v>5136</v>
      </c>
      <c r="C86" t="s">
        <v>16</v>
      </c>
      <c r="D86" t="s">
        <v>419</v>
      </c>
      <c r="E86" t="s">
        <v>607</v>
      </c>
      <c r="F86" t="s">
        <v>511</v>
      </c>
      <c r="G86" t="s">
        <v>608</v>
      </c>
      <c r="H86" s="2">
        <v>46091</v>
      </c>
      <c r="I86" t="s">
        <v>443</v>
      </c>
    </row>
    <row r="87" spans="1:9" x14ac:dyDescent="0.35">
      <c r="A87">
        <v>829</v>
      </c>
      <c r="B87">
        <v>5137</v>
      </c>
      <c r="C87" t="s">
        <v>16</v>
      </c>
      <c r="D87" t="s">
        <v>419</v>
      </c>
      <c r="E87" t="s">
        <v>609</v>
      </c>
      <c r="F87" t="s">
        <v>431</v>
      </c>
      <c r="G87" t="s">
        <v>610</v>
      </c>
      <c r="H87" s="2">
        <v>46098</v>
      </c>
    </row>
    <row r="88" spans="1:9" x14ac:dyDescent="0.35">
      <c r="A88">
        <v>300</v>
      </c>
      <c r="B88">
        <v>5139</v>
      </c>
      <c r="C88" t="s">
        <v>16</v>
      </c>
      <c r="D88" t="s">
        <v>419</v>
      </c>
      <c r="E88" t="s">
        <v>611</v>
      </c>
      <c r="F88" t="s">
        <v>502</v>
      </c>
      <c r="G88" t="s">
        <v>612</v>
      </c>
      <c r="H88" s="2">
        <v>46091</v>
      </c>
    </row>
    <row r="89" spans="1:9" x14ac:dyDescent="0.35">
      <c r="A89">
        <v>53</v>
      </c>
      <c r="B89">
        <v>5141</v>
      </c>
      <c r="C89" t="s">
        <v>16</v>
      </c>
      <c r="D89" t="s">
        <v>419</v>
      </c>
      <c r="E89" t="s">
        <v>613</v>
      </c>
      <c r="F89" t="s">
        <v>457</v>
      </c>
      <c r="G89" t="s">
        <v>614</v>
      </c>
      <c r="H89" s="2">
        <v>46099</v>
      </c>
      <c r="I89" t="s">
        <v>443</v>
      </c>
    </row>
    <row r="90" spans="1:9" x14ac:dyDescent="0.35">
      <c r="A90">
        <v>40</v>
      </c>
      <c r="B90">
        <v>5142</v>
      </c>
      <c r="C90" t="s">
        <v>16</v>
      </c>
      <c r="D90" t="s">
        <v>419</v>
      </c>
      <c r="E90" t="s">
        <v>615</v>
      </c>
      <c r="F90" t="s">
        <v>502</v>
      </c>
      <c r="G90" t="s">
        <v>616</v>
      </c>
      <c r="H90" s="2">
        <v>46091</v>
      </c>
    </row>
    <row r="91" spans="1:9" x14ac:dyDescent="0.35">
      <c r="A91">
        <v>927</v>
      </c>
      <c r="B91">
        <v>5143</v>
      </c>
      <c r="C91" t="s">
        <v>16</v>
      </c>
      <c r="D91" t="s">
        <v>419</v>
      </c>
      <c r="E91" t="s">
        <v>617</v>
      </c>
      <c r="F91" t="s">
        <v>596</v>
      </c>
      <c r="G91" t="s">
        <v>618</v>
      </c>
      <c r="H91" s="2">
        <v>46099</v>
      </c>
    </row>
    <row r="92" spans="1:9" x14ac:dyDescent="0.35">
      <c r="A92">
        <v>812</v>
      </c>
      <c r="B92">
        <v>5144</v>
      </c>
      <c r="C92" t="s">
        <v>16</v>
      </c>
      <c r="D92" t="s">
        <v>419</v>
      </c>
      <c r="E92" t="s">
        <v>619</v>
      </c>
      <c r="F92" t="s">
        <v>431</v>
      </c>
      <c r="G92" t="s">
        <v>620</v>
      </c>
      <c r="H92" s="2">
        <v>46091</v>
      </c>
    </row>
    <row r="93" spans="1:9" x14ac:dyDescent="0.35">
      <c r="A93">
        <v>279</v>
      </c>
      <c r="B93">
        <v>5147</v>
      </c>
      <c r="C93" t="s">
        <v>16</v>
      </c>
      <c r="D93" t="s">
        <v>419</v>
      </c>
      <c r="E93" t="s">
        <v>621</v>
      </c>
      <c r="F93" t="s">
        <v>425</v>
      </c>
      <c r="G93" t="s">
        <v>622</v>
      </c>
      <c r="H93" s="2">
        <v>46098</v>
      </c>
    </row>
    <row r="94" spans="1:9" x14ac:dyDescent="0.35">
      <c r="A94">
        <v>91</v>
      </c>
      <c r="B94">
        <v>5148</v>
      </c>
      <c r="C94" t="s">
        <v>16</v>
      </c>
      <c r="D94" t="s">
        <v>419</v>
      </c>
      <c r="E94" t="s">
        <v>623</v>
      </c>
      <c r="F94" t="s">
        <v>624</v>
      </c>
      <c r="G94" t="s">
        <v>625</v>
      </c>
      <c r="H94" s="2">
        <v>46092</v>
      </c>
      <c r="I94" t="s">
        <v>443</v>
      </c>
    </row>
    <row r="95" spans="1:9" x14ac:dyDescent="0.35">
      <c r="A95">
        <v>358</v>
      </c>
      <c r="B95">
        <v>5149</v>
      </c>
      <c r="C95" t="s">
        <v>16</v>
      </c>
      <c r="D95" t="s">
        <v>419</v>
      </c>
      <c r="E95" t="s">
        <v>626</v>
      </c>
      <c r="F95" t="s">
        <v>495</v>
      </c>
      <c r="G95" t="s">
        <v>627</v>
      </c>
      <c r="H95" s="2">
        <v>46092</v>
      </c>
    </row>
    <row r="96" spans="1:9" x14ac:dyDescent="0.35">
      <c r="A96">
        <v>262</v>
      </c>
      <c r="B96">
        <v>5153</v>
      </c>
      <c r="C96" t="s">
        <v>16</v>
      </c>
      <c r="D96" t="s">
        <v>419</v>
      </c>
      <c r="E96" t="s">
        <v>628</v>
      </c>
      <c r="F96" t="s">
        <v>495</v>
      </c>
      <c r="G96" t="s">
        <v>629</v>
      </c>
      <c r="H96" s="2">
        <v>46100</v>
      </c>
    </row>
    <row r="97" spans="1:9" x14ac:dyDescent="0.35">
      <c r="A97">
        <v>258</v>
      </c>
      <c r="B97">
        <v>5155</v>
      </c>
      <c r="C97" t="s">
        <v>16</v>
      </c>
      <c r="D97" t="s">
        <v>419</v>
      </c>
      <c r="E97" t="s">
        <v>630</v>
      </c>
      <c r="F97" t="s">
        <v>495</v>
      </c>
      <c r="G97" t="s">
        <v>631</v>
      </c>
      <c r="H97" s="2">
        <v>46093</v>
      </c>
    </row>
    <row r="98" spans="1:9" x14ac:dyDescent="0.35">
      <c r="A98">
        <v>806</v>
      </c>
      <c r="B98">
        <v>5156</v>
      </c>
      <c r="C98" t="s">
        <v>16</v>
      </c>
      <c r="D98" t="s">
        <v>419</v>
      </c>
      <c r="E98" t="s">
        <v>632</v>
      </c>
      <c r="F98" t="s">
        <v>466</v>
      </c>
      <c r="G98" t="s">
        <v>633</v>
      </c>
      <c r="H98" s="2">
        <v>46092</v>
      </c>
    </row>
    <row r="99" spans="1:9" x14ac:dyDescent="0.35">
      <c r="A99">
        <v>750</v>
      </c>
      <c r="B99">
        <v>5157</v>
      </c>
      <c r="C99" t="s">
        <v>16</v>
      </c>
      <c r="D99" t="s">
        <v>419</v>
      </c>
      <c r="E99" t="s">
        <v>634</v>
      </c>
      <c r="F99" t="s">
        <v>431</v>
      </c>
      <c r="G99" t="s">
        <v>635</v>
      </c>
      <c r="H99" s="2">
        <v>46099</v>
      </c>
    </row>
    <row r="100" spans="1:9" x14ac:dyDescent="0.35">
      <c r="A100">
        <v>70</v>
      </c>
      <c r="B100">
        <v>5164</v>
      </c>
      <c r="C100" t="s">
        <v>16</v>
      </c>
      <c r="D100" t="s">
        <v>419</v>
      </c>
      <c r="E100" t="s">
        <v>636</v>
      </c>
      <c r="F100" t="s">
        <v>486</v>
      </c>
      <c r="G100" t="s">
        <v>637</v>
      </c>
      <c r="H100" s="2">
        <v>46091</v>
      </c>
    </row>
    <row r="101" spans="1:9" x14ac:dyDescent="0.35">
      <c r="A101">
        <v>725</v>
      </c>
      <c r="B101">
        <v>5166</v>
      </c>
      <c r="C101" t="s">
        <v>16</v>
      </c>
      <c r="D101" t="s">
        <v>419</v>
      </c>
      <c r="E101" t="s">
        <v>638</v>
      </c>
      <c r="F101" t="s">
        <v>486</v>
      </c>
      <c r="G101" t="s">
        <v>639</v>
      </c>
      <c r="H101" s="2">
        <v>46092</v>
      </c>
    </row>
    <row r="102" spans="1:9" x14ac:dyDescent="0.35">
      <c r="A102">
        <v>667</v>
      </c>
      <c r="B102">
        <v>5167</v>
      </c>
      <c r="C102" t="s">
        <v>16</v>
      </c>
      <c r="D102" t="s">
        <v>419</v>
      </c>
      <c r="E102" t="s">
        <v>640</v>
      </c>
      <c r="F102" t="s">
        <v>466</v>
      </c>
      <c r="G102" t="s">
        <v>641</v>
      </c>
      <c r="H102" s="2">
        <v>46100</v>
      </c>
    </row>
    <row r="103" spans="1:9" x14ac:dyDescent="0.35">
      <c r="A103">
        <v>363</v>
      </c>
      <c r="B103">
        <v>5168</v>
      </c>
      <c r="C103" t="s">
        <v>16</v>
      </c>
      <c r="D103" t="s">
        <v>419</v>
      </c>
      <c r="E103" t="s">
        <v>642</v>
      </c>
      <c r="F103" t="s">
        <v>495</v>
      </c>
      <c r="G103" t="s">
        <v>643</v>
      </c>
      <c r="H103" s="2">
        <v>46098</v>
      </c>
    </row>
    <row r="104" spans="1:9" x14ac:dyDescent="0.35">
      <c r="A104">
        <v>388</v>
      </c>
      <c r="B104">
        <v>5169</v>
      </c>
      <c r="C104" t="s">
        <v>16</v>
      </c>
      <c r="D104" t="s">
        <v>419</v>
      </c>
      <c r="E104" t="s">
        <v>644</v>
      </c>
      <c r="F104" t="s">
        <v>466</v>
      </c>
      <c r="G104" t="s">
        <v>645</v>
      </c>
      <c r="H104" s="2">
        <v>46086</v>
      </c>
    </row>
    <row r="105" spans="1:9" x14ac:dyDescent="0.35">
      <c r="A105">
        <v>302</v>
      </c>
      <c r="B105">
        <v>5170</v>
      </c>
      <c r="C105" t="s">
        <v>16</v>
      </c>
      <c r="D105" t="s">
        <v>419</v>
      </c>
      <c r="E105" t="s">
        <v>646</v>
      </c>
      <c r="F105" t="s">
        <v>435</v>
      </c>
      <c r="G105" t="s">
        <v>647</v>
      </c>
      <c r="H105" s="2">
        <v>46091</v>
      </c>
    </row>
    <row r="106" spans="1:9" x14ac:dyDescent="0.35">
      <c r="A106">
        <v>420</v>
      </c>
      <c r="B106">
        <v>5173</v>
      </c>
      <c r="C106" t="s">
        <v>16</v>
      </c>
      <c r="D106" t="s">
        <v>419</v>
      </c>
      <c r="E106" t="s">
        <v>648</v>
      </c>
      <c r="F106" t="s">
        <v>447</v>
      </c>
      <c r="G106" t="s">
        <v>649</v>
      </c>
      <c r="H106" s="2">
        <v>46093</v>
      </c>
      <c r="I106" t="s">
        <v>443</v>
      </c>
    </row>
    <row r="107" spans="1:9" x14ac:dyDescent="0.35">
      <c r="A107">
        <v>253</v>
      </c>
      <c r="B107">
        <v>5176</v>
      </c>
      <c r="C107" t="s">
        <v>16</v>
      </c>
      <c r="D107" t="s">
        <v>419</v>
      </c>
      <c r="E107" t="s">
        <v>650</v>
      </c>
      <c r="F107" t="s">
        <v>603</v>
      </c>
      <c r="G107" t="s">
        <v>651</v>
      </c>
      <c r="H107" s="2">
        <v>46092</v>
      </c>
    </row>
    <row r="108" spans="1:9" x14ac:dyDescent="0.35">
      <c r="A108">
        <v>198</v>
      </c>
      <c r="B108">
        <v>5179</v>
      </c>
      <c r="C108" t="s">
        <v>16</v>
      </c>
      <c r="D108" t="s">
        <v>419</v>
      </c>
      <c r="E108" t="s">
        <v>652</v>
      </c>
      <c r="F108" t="s">
        <v>551</v>
      </c>
      <c r="G108" t="s">
        <v>653</v>
      </c>
      <c r="H108" s="2">
        <v>46093</v>
      </c>
    </row>
    <row r="109" spans="1:9" x14ac:dyDescent="0.35">
      <c r="A109">
        <v>762</v>
      </c>
      <c r="B109">
        <v>5181</v>
      </c>
      <c r="C109" t="s">
        <v>16</v>
      </c>
      <c r="D109" t="s">
        <v>419</v>
      </c>
      <c r="E109" t="s">
        <v>654</v>
      </c>
      <c r="F109" t="s">
        <v>516</v>
      </c>
      <c r="G109" t="s">
        <v>655</v>
      </c>
      <c r="H109" s="2">
        <v>46099</v>
      </c>
    </row>
    <row r="110" spans="1:9" x14ac:dyDescent="0.35">
      <c r="A110">
        <v>756</v>
      </c>
      <c r="B110">
        <v>5183</v>
      </c>
      <c r="C110" t="s">
        <v>22</v>
      </c>
      <c r="D110" t="s">
        <v>419</v>
      </c>
      <c r="E110" t="s">
        <v>656</v>
      </c>
      <c r="F110" t="s">
        <v>516</v>
      </c>
      <c r="G110" t="s">
        <v>657</v>
      </c>
      <c r="H110" s="2">
        <v>46098</v>
      </c>
    </row>
    <row r="111" spans="1:9" x14ac:dyDescent="0.35">
      <c r="A111">
        <v>541</v>
      </c>
      <c r="B111">
        <v>5185</v>
      </c>
      <c r="C111" t="s">
        <v>16</v>
      </c>
      <c r="D111" t="s">
        <v>419</v>
      </c>
      <c r="E111" t="s">
        <v>658</v>
      </c>
      <c r="F111" t="s">
        <v>425</v>
      </c>
      <c r="G111" t="s">
        <v>659</v>
      </c>
      <c r="H111" s="2">
        <v>46086</v>
      </c>
    </row>
    <row r="112" spans="1:9" x14ac:dyDescent="0.35">
      <c r="A112">
        <v>698</v>
      </c>
      <c r="B112">
        <v>5187</v>
      </c>
      <c r="C112" t="s">
        <v>16</v>
      </c>
      <c r="D112" t="s">
        <v>419</v>
      </c>
      <c r="E112" t="s">
        <v>660</v>
      </c>
      <c r="F112" t="s">
        <v>502</v>
      </c>
      <c r="G112" t="s">
        <v>661</v>
      </c>
      <c r="H112" s="2">
        <v>46092</v>
      </c>
    </row>
    <row r="113" spans="1:9" x14ac:dyDescent="0.35">
      <c r="A113">
        <v>664</v>
      </c>
      <c r="B113">
        <v>5191</v>
      </c>
      <c r="C113" t="s">
        <v>16</v>
      </c>
      <c r="D113" t="s">
        <v>419</v>
      </c>
      <c r="E113" t="s">
        <v>662</v>
      </c>
      <c r="F113" t="s">
        <v>466</v>
      </c>
      <c r="G113" t="s">
        <v>663</v>
      </c>
      <c r="H113" s="2">
        <v>46092</v>
      </c>
    </row>
    <row r="114" spans="1:9" x14ac:dyDescent="0.35">
      <c r="A114">
        <v>716</v>
      </c>
      <c r="B114">
        <v>5192</v>
      </c>
      <c r="C114" t="s">
        <v>16</v>
      </c>
      <c r="D114" t="s">
        <v>419</v>
      </c>
      <c r="E114" t="s">
        <v>664</v>
      </c>
      <c r="F114" t="s">
        <v>431</v>
      </c>
      <c r="G114" t="s">
        <v>665</v>
      </c>
      <c r="H114" s="2">
        <v>46091</v>
      </c>
    </row>
    <row r="115" spans="1:9" x14ac:dyDescent="0.35">
      <c r="A115">
        <v>383</v>
      </c>
      <c r="B115">
        <v>5194</v>
      </c>
      <c r="C115" t="s">
        <v>16</v>
      </c>
      <c r="D115" t="s">
        <v>419</v>
      </c>
      <c r="E115" t="s">
        <v>666</v>
      </c>
      <c r="F115" t="s">
        <v>667</v>
      </c>
      <c r="G115" t="s">
        <v>668</v>
      </c>
      <c r="H115" s="2">
        <v>46098</v>
      </c>
    </row>
    <row r="116" spans="1:9" x14ac:dyDescent="0.35">
      <c r="A116">
        <v>432</v>
      </c>
      <c r="B116">
        <v>5195</v>
      </c>
      <c r="C116" t="s">
        <v>16</v>
      </c>
      <c r="D116" t="s">
        <v>419</v>
      </c>
      <c r="E116" t="s">
        <v>669</v>
      </c>
      <c r="F116" t="s">
        <v>428</v>
      </c>
      <c r="G116" t="s">
        <v>670</v>
      </c>
      <c r="H116" s="2">
        <v>46098</v>
      </c>
      <c r="I116" t="s">
        <v>443</v>
      </c>
    </row>
    <row r="117" spans="1:9" x14ac:dyDescent="0.35">
      <c r="A117">
        <v>250</v>
      </c>
      <c r="B117">
        <v>5197</v>
      </c>
      <c r="C117" t="s">
        <v>16</v>
      </c>
      <c r="D117" t="s">
        <v>419</v>
      </c>
      <c r="E117" t="s">
        <v>671</v>
      </c>
      <c r="F117" t="s">
        <v>489</v>
      </c>
      <c r="G117" t="s">
        <v>672</v>
      </c>
      <c r="H117" s="2">
        <v>46099</v>
      </c>
    </row>
    <row r="118" spans="1:9" x14ac:dyDescent="0.35">
      <c r="A118">
        <v>674</v>
      </c>
      <c r="B118">
        <v>5200</v>
      </c>
      <c r="C118" t="s">
        <v>16</v>
      </c>
      <c r="D118" t="s">
        <v>419</v>
      </c>
      <c r="E118" t="s">
        <v>673</v>
      </c>
      <c r="F118" t="s">
        <v>489</v>
      </c>
      <c r="G118" t="s">
        <v>674</v>
      </c>
      <c r="H118" s="2">
        <v>46093</v>
      </c>
    </row>
    <row r="119" spans="1:9" x14ac:dyDescent="0.35">
      <c r="A119">
        <v>606</v>
      </c>
      <c r="B119">
        <v>5201</v>
      </c>
      <c r="C119" t="s">
        <v>16</v>
      </c>
      <c r="D119" t="s">
        <v>419</v>
      </c>
      <c r="E119" t="s">
        <v>675</v>
      </c>
      <c r="F119" t="s">
        <v>495</v>
      </c>
      <c r="G119" t="s">
        <v>676</v>
      </c>
      <c r="H119" s="2">
        <v>46091</v>
      </c>
    </row>
    <row r="120" spans="1:9" x14ac:dyDescent="0.35">
      <c r="A120">
        <v>77</v>
      </c>
      <c r="B120">
        <v>5204</v>
      </c>
      <c r="C120" t="s">
        <v>16</v>
      </c>
      <c r="D120" t="s">
        <v>419</v>
      </c>
      <c r="E120" t="s">
        <v>677</v>
      </c>
      <c r="F120" t="s">
        <v>431</v>
      </c>
      <c r="G120" t="s">
        <v>678</v>
      </c>
      <c r="H120" s="2">
        <v>46092</v>
      </c>
      <c r="I120" t="s">
        <v>443</v>
      </c>
    </row>
    <row r="121" spans="1:9" x14ac:dyDescent="0.35">
      <c r="A121">
        <v>816</v>
      </c>
      <c r="B121">
        <v>5205</v>
      </c>
      <c r="C121" t="s">
        <v>16</v>
      </c>
      <c r="D121" t="s">
        <v>419</v>
      </c>
      <c r="E121" t="s">
        <v>679</v>
      </c>
      <c r="F121" t="s">
        <v>511</v>
      </c>
      <c r="G121" t="s">
        <v>680</v>
      </c>
      <c r="H121" s="2">
        <v>46093</v>
      </c>
    </row>
    <row r="122" spans="1:9" x14ac:dyDescent="0.35">
      <c r="A122">
        <v>455</v>
      </c>
      <c r="B122">
        <v>5206</v>
      </c>
      <c r="C122" t="s">
        <v>16</v>
      </c>
      <c r="D122" t="s">
        <v>419</v>
      </c>
      <c r="E122" t="s">
        <v>681</v>
      </c>
      <c r="F122" t="s">
        <v>596</v>
      </c>
      <c r="G122" t="s">
        <v>682</v>
      </c>
      <c r="H122" s="2">
        <v>46093</v>
      </c>
      <c r="I122" t="s">
        <v>443</v>
      </c>
    </row>
    <row r="123" spans="1:9" x14ac:dyDescent="0.35">
      <c r="A123">
        <v>217</v>
      </c>
      <c r="B123">
        <v>5208</v>
      </c>
      <c r="C123" t="s">
        <v>16</v>
      </c>
      <c r="D123" t="s">
        <v>419</v>
      </c>
      <c r="E123" t="s">
        <v>683</v>
      </c>
      <c r="F123" t="s">
        <v>466</v>
      </c>
      <c r="G123" t="s">
        <v>684</v>
      </c>
      <c r="H123" s="2">
        <v>46100</v>
      </c>
    </row>
    <row r="124" spans="1:9" x14ac:dyDescent="0.35">
      <c r="A124">
        <v>793</v>
      </c>
      <c r="B124">
        <v>5216</v>
      </c>
      <c r="C124" t="s">
        <v>16</v>
      </c>
      <c r="D124" t="s">
        <v>419</v>
      </c>
      <c r="E124" t="s">
        <v>685</v>
      </c>
      <c r="F124" t="s">
        <v>435</v>
      </c>
      <c r="G124" t="s">
        <v>686</v>
      </c>
      <c r="H124" s="2">
        <v>46092</v>
      </c>
    </row>
    <row r="125" spans="1:9" x14ac:dyDescent="0.35">
      <c r="A125">
        <v>16</v>
      </c>
      <c r="B125">
        <v>5219</v>
      </c>
      <c r="C125" t="s">
        <v>16</v>
      </c>
      <c r="D125" t="s">
        <v>419</v>
      </c>
      <c r="E125" t="s">
        <v>687</v>
      </c>
      <c r="F125" t="s">
        <v>472</v>
      </c>
      <c r="G125" t="s">
        <v>688</v>
      </c>
      <c r="H125" s="2">
        <v>46093</v>
      </c>
    </row>
    <row r="126" spans="1:9" x14ac:dyDescent="0.35">
      <c r="A126">
        <v>941</v>
      </c>
      <c r="B126">
        <v>5220</v>
      </c>
      <c r="C126" t="s">
        <v>16</v>
      </c>
      <c r="D126" t="s">
        <v>419</v>
      </c>
      <c r="E126" t="s">
        <v>689</v>
      </c>
      <c r="F126" t="s">
        <v>596</v>
      </c>
      <c r="G126" t="s">
        <v>690</v>
      </c>
      <c r="H126" s="2">
        <v>46099</v>
      </c>
    </row>
    <row r="127" spans="1:9" x14ac:dyDescent="0.35">
      <c r="A127">
        <v>221</v>
      </c>
      <c r="B127">
        <v>5221</v>
      </c>
      <c r="C127" t="s">
        <v>16</v>
      </c>
      <c r="D127" t="s">
        <v>419</v>
      </c>
      <c r="E127" t="s">
        <v>691</v>
      </c>
      <c r="F127" t="s">
        <v>667</v>
      </c>
      <c r="G127" t="s">
        <v>692</v>
      </c>
      <c r="H127" s="2">
        <v>46099</v>
      </c>
    </row>
    <row r="128" spans="1:9" x14ac:dyDescent="0.35">
      <c r="A128">
        <v>168</v>
      </c>
      <c r="B128">
        <v>5224</v>
      </c>
      <c r="C128" t="s">
        <v>16</v>
      </c>
      <c r="D128" t="s">
        <v>419</v>
      </c>
      <c r="E128" t="s">
        <v>693</v>
      </c>
      <c r="F128" t="s">
        <v>462</v>
      </c>
      <c r="G128" t="s">
        <v>694</v>
      </c>
      <c r="H128" s="2">
        <v>46099</v>
      </c>
    </row>
    <row r="129" spans="1:11" x14ac:dyDescent="0.35">
      <c r="A129">
        <v>946</v>
      </c>
      <c r="B129">
        <v>5225</v>
      </c>
      <c r="C129" t="s">
        <v>16</v>
      </c>
      <c r="D129" t="s">
        <v>419</v>
      </c>
      <c r="E129" t="s">
        <v>695</v>
      </c>
      <c r="F129" t="s">
        <v>462</v>
      </c>
      <c r="G129" t="s">
        <v>696</v>
      </c>
      <c r="H129" s="2">
        <v>46098</v>
      </c>
    </row>
    <row r="130" spans="1:11" x14ac:dyDescent="0.35">
      <c r="A130">
        <v>678</v>
      </c>
      <c r="B130">
        <v>5227</v>
      </c>
      <c r="C130" t="s">
        <v>16</v>
      </c>
      <c r="D130" t="s">
        <v>419</v>
      </c>
      <c r="E130" t="s">
        <v>697</v>
      </c>
      <c r="F130" t="s">
        <v>421</v>
      </c>
      <c r="G130" t="s">
        <v>698</v>
      </c>
      <c r="H130" s="2">
        <v>46092</v>
      </c>
    </row>
    <row r="131" spans="1:11" x14ac:dyDescent="0.35">
      <c r="A131">
        <v>285</v>
      </c>
      <c r="B131">
        <v>5228</v>
      </c>
      <c r="C131" t="s">
        <v>16</v>
      </c>
      <c r="D131" t="s">
        <v>419</v>
      </c>
      <c r="E131" t="s">
        <v>699</v>
      </c>
      <c r="F131" t="s">
        <v>596</v>
      </c>
      <c r="G131" t="s">
        <v>700</v>
      </c>
      <c r="H131" s="2">
        <v>46099</v>
      </c>
    </row>
    <row r="132" spans="1:11" x14ac:dyDescent="0.35">
      <c r="A132">
        <v>454</v>
      </c>
      <c r="B132">
        <v>5231</v>
      </c>
      <c r="C132" t="s">
        <v>16</v>
      </c>
      <c r="D132" t="s">
        <v>419</v>
      </c>
      <c r="E132" t="s">
        <v>701</v>
      </c>
      <c r="F132" t="s">
        <v>596</v>
      </c>
      <c r="G132" t="s">
        <v>702</v>
      </c>
      <c r="H132" s="2">
        <v>46100</v>
      </c>
    </row>
    <row r="133" spans="1:11" x14ac:dyDescent="0.35">
      <c r="A133">
        <v>760</v>
      </c>
      <c r="B133">
        <v>6092</v>
      </c>
      <c r="C133" t="s">
        <v>16</v>
      </c>
      <c r="D133" t="s">
        <v>419</v>
      </c>
      <c r="E133" t="s">
        <v>703</v>
      </c>
      <c r="K133" t="s">
        <v>704</v>
      </c>
    </row>
    <row r="134" spans="1:11" x14ac:dyDescent="0.35">
      <c r="A134">
        <v>625</v>
      </c>
      <c r="B134">
        <v>6096</v>
      </c>
      <c r="C134" t="s">
        <v>16</v>
      </c>
      <c r="D134" t="s">
        <v>419</v>
      </c>
      <c r="E134" t="s">
        <v>705</v>
      </c>
      <c r="F134" t="s">
        <v>447</v>
      </c>
      <c r="G134" t="s">
        <v>706</v>
      </c>
      <c r="H134" s="2">
        <v>46086</v>
      </c>
      <c r="I134" t="s">
        <v>443</v>
      </c>
    </row>
    <row r="135" spans="1:11" x14ac:dyDescent="0.35">
      <c r="A135">
        <v>868</v>
      </c>
      <c r="B135">
        <v>6149</v>
      </c>
      <c r="C135" t="s">
        <v>22</v>
      </c>
      <c r="D135" t="s">
        <v>419</v>
      </c>
      <c r="E135" t="s">
        <v>707</v>
      </c>
      <c r="F135" t="s">
        <v>519</v>
      </c>
      <c r="G135" t="s">
        <v>708</v>
      </c>
      <c r="H135" s="2">
        <v>46099</v>
      </c>
    </row>
    <row r="136" spans="1:11" x14ac:dyDescent="0.35">
      <c r="A136">
        <v>571</v>
      </c>
      <c r="B136">
        <v>6150</v>
      </c>
      <c r="C136" t="s">
        <v>16</v>
      </c>
      <c r="D136" t="s">
        <v>419</v>
      </c>
      <c r="E136" t="s">
        <v>709</v>
      </c>
      <c r="F136" t="s">
        <v>551</v>
      </c>
      <c r="G136" t="s">
        <v>710</v>
      </c>
      <c r="H136" s="2">
        <v>46086</v>
      </c>
    </row>
    <row r="137" spans="1:11" x14ac:dyDescent="0.35">
      <c r="A137">
        <v>844</v>
      </c>
      <c r="B137">
        <v>6169</v>
      </c>
      <c r="C137" t="s">
        <v>16</v>
      </c>
      <c r="D137" t="s">
        <v>419</v>
      </c>
      <c r="E137" t="s">
        <v>711</v>
      </c>
      <c r="F137" t="s">
        <v>454</v>
      </c>
      <c r="G137" t="s">
        <v>712</v>
      </c>
      <c r="H137" s="2">
        <v>46093</v>
      </c>
    </row>
    <row r="138" spans="1:11" x14ac:dyDescent="0.35">
      <c r="A138">
        <v>30</v>
      </c>
      <c r="B138">
        <v>6172</v>
      </c>
      <c r="C138" t="s">
        <v>16</v>
      </c>
      <c r="D138" t="s">
        <v>419</v>
      </c>
      <c r="E138" t="s">
        <v>713</v>
      </c>
      <c r="F138" t="s">
        <v>457</v>
      </c>
      <c r="G138" t="s">
        <v>714</v>
      </c>
      <c r="H138" s="2">
        <v>46099</v>
      </c>
    </row>
    <row r="139" spans="1:11" x14ac:dyDescent="0.35">
      <c r="A139">
        <v>820</v>
      </c>
      <c r="B139">
        <v>6174</v>
      </c>
      <c r="C139" t="s">
        <v>16</v>
      </c>
      <c r="D139" t="s">
        <v>419</v>
      </c>
      <c r="E139" t="s">
        <v>715</v>
      </c>
      <c r="F139" t="s">
        <v>511</v>
      </c>
      <c r="G139" t="s">
        <v>716</v>
      </c>
      <c r="H139" s="2">
        <v>46093</v>
      </c>
      <c r="I139" t="s">
        <v>443</v>
      </c>
    </row>
    <row r="140" spans="1:11" x14ac:dyDescent="0.35">
      <c r="A140">
        <v>690</v>
      </c>
      <c r="B140">
        <v>6180</v>
      </c>
      <c r="C140" t="s">
        <v>16</v>
      </c>
      <c r="D140" t="s">
        <v>419</v>
      </c>
      <c r="E140" t="s">
        <v>717</v>
      </c>
      <c r="F140" t="s">
        <v>457</v>
      </c>
      <c r="G140" t="s">
        <v>718</v>
      </c>
      <c r="H140" s="2">
        <v>46093</v>
      </c>
    </row>
    <row r="141" spans="1:11" x14ac:dyDescent="0.35">
      <c r="A141">
        <v>351</v>
      </c>
      <c r="B141">
        <v>6182</v>
      </c>
      <c r="C141" t="s">
        <v>16</v>
      </c>
      <c r="D141" t="s">
        <v>419</v>
      </c>
      <c r="E141" t="s">
        <v>719</v>
      </c>
      <c r="F141" t="s">
        <v>447</v>
      </c>
      <c r="G141" t="s">
        <v>720</v>
      </c>
      <c r="H141" s="2">
        <v>46099</v>
      </c>
    </row>
    <row r="142" spans="1:11" x14ac:dyDescent="0.35">
      <c r="A142">
        <v>267</v>
      </c>
      <c r="B142">
        <v>6186</v>
      </c>
      <c r="C142" t="s">
        <v>16</v>
      </c>
      <c r="D142" t="s">
        <v>419</v>
      </c>
      <c r="E142" t="s">
        <v>721</v>
      </c>
      <c r="F142" t="s">
        <v>472</v>
      </c>
      <c r="G142" t="s">
        <v>722</v>
      </c>
      <c r="H142" s="2">
        <v>46100</v>
      </c>
    </row>
    <row r="143" spans="1:11" x14ac:dyDescent="0.35">
      <c r="A143">
        <v>54</v>
      </c>
      <c r="B143">
        <v>6204</v>
      </c>
      <c r="C143" t="s">
        <v>16</v>
      </c>
      <c r="D143" t="s">
        <v>419</v>
      </c>
      <c r="E143" t="s">
        <v>723</v>
      </c>
      <c r="F143" t="s">
        <v>551</v>
      </c>
      <c r="G143" t="s">
        <v>724</v>
      </c>
      <c r="H143" s="2">
        <v>46086</v>
      </c>
    </row>
    <row r="144" spans="1:11" x14ac:dyDescent="0.35">
      <c r="A144">
        <v>688</v>
      </c>
      <c r="B144">
        <v>6209</v>
      </c>
      <c r="C144" t="s">
        <v>22</v>
      </c>
      <c r="D144" t="s">
        <v>419</v>
      </c>
      <c r="E144" t="s">
        <v>725</v>
      </c>
      <c r="F144" t="s">
        <v>551</v>
      </c>
      <c r="G144" t="s">
        <v>726</v>
      </c>
      <c r="H144" s="2">
        <v>46093</v>
      </c>
    </row>
    <row r="145" spans="1:9" x14ac:dyDescent="0.35">
      <c r="A145">
        <v>74</v>
      </c>
      <c r="B145">
        <v>6215</v>
      </c>
      <c r="C145" t="s">
        <v>22</v>
      </c>
      <c r="D145" t="s">
        <v>419</v>
      </c>
      <c r="E145" t="s">
        <v>727</v>
      </c>
      <c r="F145" t="s">
        <v>519</v>
      </c>
      <c r="G145" t="s">
        <v>728</v>
      </c>
      <c r="H145" s="2">
        <v>46093</v>
      </c>
    </row>
    <row r="146" spans="1:9" x14ac:dyDescent="0.35">
      <c r="A146">
        <v>178</v>
      </c>
      <c r="B146">
        <v>6218</v>
      </c>
      <c r="C146" t="s">
        <v>16</v>
      </c>
      <c r="D146" t="s">
        <v>419</v>
      </c>
      <c r="E146" t="s">
        <v>729</v>
      </c>
      <c r="F146" t="s">
        <v>502</v>
      </c>
      <c r="G146" t="s">
        <v>730</v>
      </c>
      <c r="H146" s="2">
        <v>46099</v>
      </c>
    </row>
    <row r="147" spans="1:9" x14ac:dyDescent="0.35">
      <c r="A147">
        <v>236</v>
      </c>
      <c r="B147">
        <v>6242</v>
      </c>
      <c r="C147" t="s">
        <v>16</v>
      </c>
      <c r="D147" t="s">
        <v>419</v>
      </c>
      <c r="E147" t="s">
        <v>731</v>
      </c>
      <c r="F147" t="s">
        <v>428</v>
      </c>
      <c r="G147" t="s">
        <v>732</v>
      </c>
      <c r="H147" s="2">
        <v>46093</v>
      </c>
    </row>
    <row r="148" spans="1:9" x14ac:dyDescent="0.35">
      <c r="A148">
        <v>231</v>
      </c>
      <c r="B148">
        <v>6243</v>
      </c>
      <c r="C148" t="s">
        <v>16</v>
      </c>
      <c r="D148" t="s">
        <v>419</v>
      </c>
      <c r="E148" t="s">
        <v>733</v>
      </c>
      <c r="F148" t="s">
        <v>457</v>
      </c>
      <c r="G148" t="s">
        <v>734</v>
      </c>
      <c r="H148" s="2">
        <v>46086</v>
      </c>
    </row>
    <row r="149" spans="1:9" x14ac:dyDescent="0.35">
      <c r="A149">
        <v>79</v>
      </c>
      <c r="B149">
        <v>6245</v>
      </c>
      <c r="C149" t="s">
        <v>16</v>
      </c>
      <c r="D149" t="s">
        <v>419</v>
      </c>
      <c r="E149" t="s">
        <v>735</v>
      </c>
      <c r="F149" t="s">
        <v>571</v>
      </c>
      <c r="G149" t="s">
        <v>736</v>
      </c>
      <c r="H149" s="2">
        <v>46086</v>
      </c>
    </row>
    <row r="150" spans="1:9" x14ac:dyDescent="0.35">
      <c r="A150">
        <v>78</v>
      </c>
      <c r="B150">
        <v>6246</v>
      </c>
      <c r="C150" t="s">
        <v>16</v>
      </c>
      <c r="D150" t="s">
        <v>419</v>
      </c>
      <c r="E150" t="s">
        <v>737</v>
      </c>
      <c r="F150" t="s">
        <v>435</v>
      </c>
      <c r="G150" t="s">
        <v>738</v>
      </c>
      <c r="H150" s="2">
        <v>46099</v>
      </c>
    </row>
    <row r="151" spans="1:9" x14ac:dyDescent="0.35">
      <c r="A151">
        <v>718</v>
      </c>
      <c r="B151">
        <v>6248</v>
      </c>
      <c r="C151" t="s">
        <v>16</v>
      </c>
      <c r="D151" t="s">
        <v>419</v>
      </c>
      <c r="E151" t="s">
        <v>739</v>
      </c>
      <c r="F151" t="s">
        <v>571</v>
      </c>
      <c r="G151" t="s">
        <v>740</v>
      </c>
      <c r="H151" s="2">
        <v>46093</v>
      </c>
    </row>
    <row r="152" spans="1:9" x14ac:dyDescent="0.35">
      <c r="A152">
        <v>477</v>
      </c>
      <c r="B152">
        <v>6251</v>
      </c>
      <c r="C152" t="s">
        <v>16</v>
      </c>
      <c r="D152" t="s">
        <v>419</v>
      </c>
      <c r="E152" t="s">
        <v>741</v>
      </c>
      <c r="F152" t="s">
        <v>450</v>
      </c>
      <c r="G152" t="s">
        <v>742</v>
      </c>
      <c r="H152" s="2">
        <v>46092</v>
      </c>
      <c r="I152" t="s">
        <v>443</v>
      </c>
    </row>
    <row r="153" spans="1:9" x14ac:dyDescent="0.35">
      <c r="A153">
        <v>337</v>
      </c>
      <c r="B153">
        <v>6253</v>
      </c>
      <c r="C153" t="s">
        <v>16</v>
      </c>
      <c r="D153" t="s">
        <v>419</v>
      </c>
      <c r="E153" t="s">
        <v>743</v>
      </c>
      <c r="F153" t="s">
        <v>462</v>
      </c>
      <c r="G153" t="s">
        <v>744</v>
      </c>
      <c r="H153" s="2">
        <v>46099</v>
      </c>
      <c r="I153" t="s">
        <v>443</v>
      </c>
    </row>
    <row r="154" spans="1:9" x14ac:dyDescent="0.35">
      <c r="A154">
        <v>524</v>
      </c>
      <c r="B154">
        <v>6336</v>
      </c>
      <c r="C154" t="s">
        <v>16</v>
      </c>
      <c r="D154" t="s">
        <v>419</v>
      </c>
      <c r="E154" t="s">
        <v>745</v>
      </c>
      <c r="F154" t="s">
        <v>492</v>
      </c>
      <c r="G154" t="s">
        <v>746</v>
      </c>
      <c r="H154" s="2">
        <v>46093</v>
      </c>
    </row>
    <row r="155" spans="1:9" x14ac:dyDescent="0.35">
      <c r="A155">
        <v>37</v>
      </c>
      <c r="B155">
        <v>6406</v>
      </c>
      <c r="C155" t="s">
        <v>16</v>
      </c>
      <c r="D155" t="s">
        <v>419</v>
      </c>
      <c r="E155" t="s">
        <v>747</v>
      </c>
      <c r="F155" t="s">
        <v>457</v>
      </c>
      <c r="G155" t="s">
        <v>748</v>
      </c>
      <c r="H155" s="2">
        <v>46093</v>
      </c>
    </row>
    <row r="156" spans="1:9" x14ac:dyDescent="0.35">
      <c r="A156">
        <v>601</v>
      </c>
      <c r="B156">
        <v>6407</v>
      </c>
      <c r="C156" t="s">
        <v>16</v>
      </c>
      <c r="D156" t="s">
        <v>419</v>
      </c>
      <c r="E156" t="s">
        <v>749</v>
      </c>
      <c r="F156" t="s">
        <v>551</v>
      </c>
      <c r="G156" t="s">
        <v>750</v>
      </c>
      <c r="H156" s="2">
        <v>46098</v>
      </c>
    </row>
    <row r="157" spans="1:9" x14ac:dyDescent="0.35">
      <c r="A157">
        <v>379</v>
      </c>
      <c r="B157">
        <v>6465</v>
      </c>
      <c r="C157" t="s">
        <v>16</v>
      </c>
      <c r="D157" t="s">
        <v>419</v>
      </c>
      <c r="E157" t="s">
        <v>751</v>
      </c>
      <c r="F157" t="s">
        <v>472</v>
      </c>
      <c r="G157" t="s">
        <v>752</v>
      </c>
      <c r="H157" s="2">
        <v>46092</v>
      </c>
    </row>
    <row r="158" spans="1:9" x14ac:dyDescent="0.35">
      <c r="A158">
        <v>894</v>
      </c>
      <c r="B158">
        <v>6466</v>
      </c>
      <c r="C158" t="s">
        <v>16</v>
      </c>
      <c r="D158" t="s">
        <v>419</v>
      </c>
      <c r="E158" t="s">
        <v>753</v>
      </c>
      <c r="F158" t="s">
        <v>519</v>
      </c>
      <c r="G158" t="s">
        <v>754</v>
      </c>
      <c r="H158" s="2">
        <v>46100</v>
      </c>
    </row>
    <row r="159" spans="1:9" x14ac:dyDescent="0.35">
      <c r="A159">
        <v>237</v>
      </c>
      <c r="B159">
        <v>6467</v>
      </c>
      <c r="C159" t="s">
        <v>16</v>
      </c>
      <c r="D159" t="s">
        <v>419</v>
      </c>
      <c r="E159" t="s">
        <v>755</v>
      </c>
      <c r="F159" t="s">
        <v>489</v>
      </c>
      <c r="G159" t="s">
        <v>756</v>
      </c>
      <c r="H159" s="2">
        <v>46093</v>
      </c>
    </row>
    <row r="160" spans="1:9" x14ac:dyDescent="0.35">
      <c r="A160">
        <v>202</v>
      </c>
      <c r="B160">
        <v>6608</v>
      </c>
      <c r="C160" t="s">
        <v>16</v>
      </c>
      <c r="D160" t="s">
        <v>419</v>
      </c>
      <c r="E160" t="s">
        <v>757</v>
      </c>
      <c r="F160" t="s">
        <v>551</v>
      </c>
      <c r="G160" t="s">
        <v>758</v>
      </c>
      <c r="H160" s="2">
        <v>46098</v>
      </c>
    </row>
    <row r="161" spans="1:11" x14ac:dyDescent="0.35">
      <c r="A161">
        <v>317</v>
      </c>
      <c r="B161">
        <v>6613</v>
      </c>
      <c r="C161" t="s">
        <v>22</v>
      </c>
      <c r="D161" t="s">
        <v>419</v>
      </c>
      <c r="E161" t="s">
        <v>759</v>
      </c>
      <c r="F161" t="s">
        <v>511</v>
      </c>
      <c r="G161" t="s">
        <v>760</v>
      </c>
      <c r="H161" s="2">
        <v>46099</v>
      </c>
    </row>
    <row r="162" spans="1:11" x14ac:dyDescent="0.35">
      <c r="A162">
        <v>352</v>
      </c>
      <c r="B162">
        <v>6618</v>
      </c>
      <c r="C162" t="s">
        <v>16</v>
      </c>
      <c r="D162" t="s">
        <v>419</v>
      </c>
      <c r="E162" t="s">
        <v>761</v>
      </c>
      <c r="F162" t="s">
        <v>495</v>
      </c>
      <c r="G162" t="s">
        <v>762</v>
      </c>
      <c r="H162" s="2">
        <v>46091</v>
      </c>
    </row>
    <row r="163" spans="1:11" x14ac:dyDescent="0.35">
      <c r="A163">
        <v>138</v>
      </c>
      <c r="B163">
        <v>6628</v>
      </c>
      <c r="C163" t="s">
        <v>22</v>
      </c>
      <c r="D163" t="s">
        <v>419</v>
      </c>
      <c r="E163" t="s">
        <v>763</v>
      </c>
      <c r="F163" t="s">
        <v>667</v>
      </c>
      <c r="G163" t="s">
        <v>764</v>
      </c>
      <c r="H163" s="2">
        <v>46093</v>
      </c>
    </row>
    <row r="164" spans="1:11" x14ac:dyDescent="0.35">
      <c r="A164">
        <v>613</v>
      </c>
      <c r="B164">
        <v>6713</v>
      </c>
      <c r="C164" t="s">
        <v>22</v>
      </c>
      <c r="D164" t="s">
        <v>419</v>
      </c>
      <c r="E164" t="s">
        <v>765</v>
      </c>
      <c r="F164" t="s">
        <v>428</v>
      </c>
      <c r="G164" t="s">
        <v>766</v>
      </c>
      <c r="H164" s="2">
        <v>46093</v>
      </c>
    </row>
    <row r="165" spans="1:11" x14ac:dyDescent="0.35">
      <c r="A165">
        <v>764</v>
      </c>
      <c r="B165">
        <v>6715</v>
      </c>
      <c r="C165" t="s">
        <v>16</v>
      </c>
      <c r="D165" t="s">
        <v>419</v>
      </c>
      <c r="E165" t="s">
        <v>767</v>
      </c>
      <c r="F165" t="s">
        <v>431</v>
      </c>
      <c r="G165" t="s">
        <v>768</v>
      </c>
      <c r="H165" s="2">
        <v>46100</v>
      </c>
    </row>
    <row r="166" spans="1:11" x14ac:dyDescent="0.35">
      <c r="A166">
        <v>843</v>
      </c>
      <c r="B166">
        <v>6716</v>
      </c>
      <c r="C166" t="s">
        <v>16</v>
      </c>
      <c r="D166" t="s">
        <v>419</v>
      </c>
      <c r="E166" t="s">
        <v>769</v>
      </c>
      <c r="F166" t="s">
        <v>770</v>
      </c>
      <c r="G166" t="s">
        <v>771</v>
      </c>
      <c r="H166" s="2">
        <v>46091</v>
      </c>
    </row>
    <row r="167" spans="1:11" x14ac:dyDescent="0.35">
      <c r="A167">
        <v>371</v>
      </c>
      <c r="B167">
        <v>6718</v>
      </c>
      <c r="C167" t="s">
        <v>16</v>
      </c>
      <c r="D167" t="s">
        <v>419</v>
      </c>
      <c r="E167" t="s">
        <v>772</v>
      </c>
      <c r="F167" t="s">
        <v>624</v>
      </c>
      <c r="G167" t="s">
        <v>773</v>
      </c>
      <c r="H167" s="2">
        <v>46093</v>
      </c>
    </row>
    <row r="168" spans="1:11" x14ac:dyDescent="0.35">
      <c r="A168">
        <v>348</v>
      </c>
      <c r="B168">
        <v>6724</v>
      </c>
      <c r="C168" t="s">
        <v>22</v>
      </c>
      <c r="D168" t="s">
        <v>419</v>
      </c>
      <c r="E168" t="s">
        <v>420</v>
      </c>
      <c r="F168" t="s">
        <v>421</v>
      </c>
      <c r="G168" t="s">
        <v>422</v>
      </c>
      <c r="H168" s="2">
        <v>46093</v>
      </c>
    </row>
    <row r="169" spans="1:11" x14ac:dyDescent="0.35">
      <c r="A169">
        <v>96</v>
      </c>
      <c r="B169">
        <v>6735</v>
      </c>
      <c r="C169" t="s">
        <v>16</v>
      </c>
      <c r="D169" t="s">
        <v>419</v>
      </c>
      <c r="E169" t="s">
        <v>774</v>
      </c>
      <c r="F169" t="s">
        <v>492</v>
      </c>
      <c r="G169" t="s">
        <v>775</v>
      </c>
      <c r="H169" s="2">
        <v>46086</v>
      </c>
    </row>
    <row r="170" spans="1:11" x14ac:dyDescent="0.35">
      <c r="A170">
        <v>888</v>
      </c>
      <c r="B170">
        <v>6818</v>
      </c>
      <c r="C170" t="s">
        <v>16</v>
      </c>
      <c r="D170" t="s">
        <v>419</v>
      </c>
      <c r="E170" t="s">
        <v>776</v>
      </c>
      <c r="F170" t="s">
        <v>519</v>
      </c>
      <c r="G170" t="s">
        <v>777</v>
      </c>
      <c r="H170" s="2">
        <v>46091</v>
      </c>
      <c r="K170" t="s">
        <v>778</v>
      </c>
    </row>
    <row r="171" spans="1:11" x14ac:dyDescent="0.35">
      <c r="A171">
        <v>20</v>
      </c>
      <c r="B171">
        <v>6839</v>
      </c>
      <c r="C171" t="s">
        <v>16</v>
      </c>
      <c r="D171" t="s">
        <v>419</v>
      </c>
      <c r="E171" t="s">
        <v>779</v>
      </c>
      <c r="F171" t="s">
        <v>435</v>
      </c>
      <c r="G171" t="s">
        <v>780</v>
      </c>
      <c r="H171" s="2">
        <v>46093</v>
      </c>
    </row>
    <row r="172" spans="1:11" x14ac:dyDescent="0.35">
      <c r="A172">
        <v>741</v>
      </c>
      <c r="B172">
        <v>6843</v>
      </c>
      <c r="C172" t="s">
        <v>22</v>
      </c>
      <c r="D172" t="s">
        <v>419</v>
      </c>
      <c r="E172" t="s">
        <v>781</v>
      </c>
      <c r="F172" t="s">
        <v>431</v>
      </c>
      <c r="G172" t="s">
        <v>782</v>
      </c>
      <c r="H172" s="2">
        <v>46099</v>
      </c>
      <c r="I172" t="s">
        <v>443</v>
      </c>
    </row>
    <row r="173" spans="1:11" x14ac:dyDescent="0.35">
      <c r="A173">
        <v>796</v>
      </c>
      <c r="B173">
        <v>6911</v>
      </c>
      <c r="C173" t="s">
        <v>16</v>
      </c>
      <c r="D173" t="s">
        <v>419</v>
      </c>
      <c r="E173" t="s">
        <v>783</v>
      </c>
      <c r="F173" t="s">
        <v>469</v>
      </c>
      <c r="G173" t="s">
        <v>784</v>
      </c>
      <c r="H173" s="2">
        <v>46098</v>
      </c>
    </row>
    <row r="174" spans="1:11" x14ac:dyDescent="0.35">
      <c r="A174">
        <v>536</v>
      </c>
      <c r="B174">
        <v>6927</v>
      </c>
      <c r="C174" t="s">
        <v>22</v>
      </c>
      <c r="D174" t="s">
        <v>419</v>
      </c>
      <c r="E174" t="s">
        <v>785</v>
      </c>
      <c r="F174" t="s">
        <v>603</v>
      </c>
      <c r="G174" t="s">
        <v>786</v>
      </c>
      <c r="H174" s="2">
        <v>46092</v>
      </c>
    </row>
    <row r="175" spans="1:11" x14ac:dyDescent="0.35">
      <c r="A175">
        <v>658</v>
      </c>
      <c r="B175">
        <v>7074</v>
      </c>
      <c r="C175" t="s">
        <v>22</v>
      </c>
      <c r="D175" t="s">
        <v>419</v>
      </c>
      <c r="E175" t="s">
        <v>787</v>
      </c>
      <c r="F175" t="s">
        <v>551</v>
      </c>
      <c r="G175" t="s">
        <v>788</v>
      </c>
      <c r="H175" s="2">
        <v>46099</v>
      </c>
      <c r="I175" t="s">
        <v>443</v>
      </c>
    </row>
    <row r="176" spans="1:11" x14ac:dyDescent="0.35">
      <c r="A176">
        <v>306</v>
      </c>
      <c r="B176">
        <v>7097</v>
      </c>
      <c r="C176" t="s">
        <v>22</v>
      </c>
      <c r="D176" t="s">
        <v>419</v>
      </c>
      <c r="E176" t="s">
        <v>789</v>
      </c>
      <c r="F176" t="s">
        <v>469</v>
      </c>
      <c r="G176" t="s">
        <v>790</v>
      </c>
      <c r="H176" s="2">
        <v>46099</v>
      </c>
    </row>
    <row r="177" spans="1:9" x14ac:dyDescent="0.35">
      <c r="A177">
        <v>549</v>
      </c>
      <c r="B177">
        <v>7123</v>
      </c>
      <c r="C177" t="s">
        <v>16</v>
      </c>
      <c r="D177" t="s">
        <v>419</v>
      </c>
      <c r="E177" t="s">
        <v>791</v>
      </c>
      <c r="F177" t="s">
        <v>603</v>
      </c>
      <c r="G177" t="s">
        <v>792</v>
      </c>
      <c r="H177" s="2">
        <v>46093</v>
      </c>
    </row>
    <row r="178" spans="1:9" x14ac:dyDescent="0.35">
      <c r="A178">
        <v>677</v>
      </c>
      <c r="B178">
        <v>7124</v>
      </c>
      <c r="C178" t="s">
        <v>22</v>
      </c>
      <c r="D178" t="s">
        <v>419</v>
      </c>
      <c r="E178" t="s">
        <v>793</v>
      </c>
      <c r="F178" t="s">
        <v>624</v>
      </c>
      <c r="G178" t="s">
        <v>794</v>
      </c>
      <c r="H178" s="2">
        <v>46092</v>
      </c>
    </row>
    <row r="179" spans="1:9" x14ac:dyDescent="0.35">
      <c r="A179">
        <v>484</v>
      </c>
      <c r="B179">
        <v>7125</v>
      </c>
      <c r="C179" t="s">
        <v>22</v>
      </c>
      <c r="D179" t="s">
        <v>419</v>
      </c>
      <c r="E179" t="s">
        <v>795</v>
      </c>
      <c r="F179" t="s">
        <v>624</v>
      </c>
      <c r="G179" t="s">
        <v>796</v>
      </c>
      <c r="H179" s="2">
        <v>46092</v>
      </c>
    </row>
    <row r="180" spans="1:9" x14ac:dyDescent="0.35">
      <c r="A180">
        <v>93</v>
      </c>
      <c r="B180">
        <v>7126</v>
      </c>
      <c r="C180" t="s">
        <v>16</v>
      </c>
      <c r="D180" t="s">
        <v>419</v>
      </c>
      <c r="E180" t="s">
        <v>797</v>
      </c>
      <c r="F180" t="s">
        <v>624</v>
      </c>
      <c r="G180" t="s">
        <v>798</v>
      </c>
      <c r="H180" s="2">
        <v>46099</v>
      </c>
    </row>
    <row r="181" spans="1:9" x14ac:dyDescent="0.35">
      <c r="A181">
        <v>123</v>
      </c>
      <c r="B181">
        <v>7134</v>
      </c>
      <c r="C181" t="s">
        <v>22</v>
      </c>
      <c r="D181" t="s">
        <v>419</v>
      </c>
      <c r="E181" t="s">
        <v>799</v>
      </c>
      <c r="F181" t="s">
        <v>542</v>
      </c>
      <c r="G181" t="s">
        <v>545</v>
      </c>
      <c r="H181" s="2">
        <v>46099</v>
      </c>
      <c r="I181" t="s">
        <v>443</v>
      </c>
    </row>
    <row r="182" spans="1:9" x14ac:dyDescent="0.35">
      <c r="A182">
        <v>385</v>
      </c>
      <c r="B182">
        <v>7139</v>
      </c>
      <c r="C182" t="s">
        <v>16</v>
      </c>
      <c r="D182" t="s">
        <v>419</v>
      </c>
      <c r="E182" t="s">
        <v>800</v>
      </c>
      <c r="F182" t="s">
        <v>667</v>
      </c>
      <c r="G182" t="s">
        <v>801</v>
      </c>
      <c r="H182" s="2">
        <v>46093</v>
      </c>
    </row>
    <row r="183" spans="1:9" x14ac:dyDescent="0.35">
      <c r="A183">
        <v>233</v>
      </c>
      <c r="B183">
        <v>7212</v>
      </c>
      <c r="C183" t="s">
        <v>16</v>
      </c>
      <c r="D183" t="s">
        <v>419</v>
      </c>
      <c r="E183" t="s">
        <v>802</v>
      </c>
      <c r="F183" t="s">
        <v>466</v>
      </c>
      <c r="G183" t="s">
        <v>803</v>
      </c>
      <c r="H183" s="2">
        <v>46093</v>
      </c>
    </row>
    <row r="184" spans="1:9" x14ac:dyDescent="0.35">
      <c r="A184">
        <v>8</v>
      </c>
      <c r="B184">
        <v>7272</v>
      </c>
      <c r="C184" t="s">
        <v>22</v>
      </c>
      <c r="D184" t="s">
        <v>419</v>
      </c>
      <c r="E184" t="s">
        <v>555</v>
      </c>
      <c r="F184" t="s">
        <v>447</v>
      </c>
      <c r="G184" t="s">
        <v>556</v>
      </c>
      <c r="H184" s="2">
        <v>46099</v>
      </c>
    </row>
    <row r="185" spans="1:9" x14ac:dyDescent="0.35">
      <c r="A185">
        <v>506</v>
      </c>
      <c r="B185">
        <v>7316</v>
      </c>
      <c r="C185" t="s">
        <v>22</v>
      </c>
      <c r="D185" t="s">
        <v>419</v>
      </c>
      <c r="E185" t="s">
        <v>804</v>
      </c>
      <c r="F185" t="s">
        <v>624</v>
      </c>
      <c r="G185" t="s">
        <v>805</v>
      </c>
      <c r="H185" s="2">
        <v>46091</v>
      </c>
    </row>
    <row r="186" spans="1:9" x14ac:dyDescent="0.35">
      <c r="A186">
        <v>651</v>
      </c>
      <c r="B186">
        <v>7318</v>
      </c>
      <c r="C186" t="s">
        <v>22</v>
      </c>
      <c r="D186" t="s">
        <v>419</v>
      </c>
      <c r="E186" t="s">
        <v>806</v>
      </c>
      <c r="F186" t="s">
        <v>603</v>
      </c>
      <c r="G186" t="s">
        <v>807</v>
      </c>
      <c r="H186" s="2">
        <v>46091</v>
      </c>
    </row>
    <row r="187" spans="1:9" x14ac:dyDescent="0.35">
      <c r="A187">
        <v>389</v>
      </c>
      <c r="B187">
        <v>7327</v>
      </c>
      <c r="C187" t="s">
        <v>16</v>
      </c>
      <c r="D187" t="s">
        <v>419</v>
      </c>
      <c r="E187" t="s">
        <v>808</v>
      </c>
      <c r="F187" t="s">
        <v>571</v>
      </c>
      <c r="G187" t="s">
        <v>809</v>
      </c>
      <c r="H187" s="2">
        <v>46099</v>
      </c>
    </row>
    <row r="188" spans="1:9" x14ac:dyDescent="0.35">
      <c r="A188">
        <v>41</v>
      </c>
      <c r="B188">
        <v>7341</v>
      </c>
      <c r="C188" t="s">
        <v>22</v>
      </c>
      <c r="D188" t="s">
        <v>419</v>
      </c>
      <c r="E188" t="s">
        <v>810</v>
      </c>
      <c r="F188" t="s">
        <v>457</v>
      </c>
      <c r="G188" t="s">
        <v>811</v>
      </c>
      <c r="H188" s="2">
        <v>46091</v>
      </c>
    </row>
    <row r="189" spans="1:9" x14ac:dyDescent="0.35">
      <c r="A189">
        <v>848</v>
      </c>
      <c r="B189">
        <v>7374</v>
      </c>
      <c r="C189" t="s">
        <v>22</v>
      </c>
      <c r="D189" t="s">
        <v>419</v>
      </c>
      <c r="E189" t="s">
        <v>812</v>
      </c>
      <c r="F189" t="s">
        <v>516</v>
      </c>
      <c r="G189" t="s">
        <v>813</v>
      </c>
      <c r="H189" s="2">
        <v>46099</v>
      </c>
    </row>
    <row r="190" spans="1:9" x14ac:dyDescent="0.35">
      <c r="A190">
        <v>623</v>
      </c>
      <c r="B190">
        <v>7375</v>
      </c>
      <c r="C190" t="s">
        <v>16</v>
      </c>
      <c r="D190" t="s">
        <v>419</v>
      </c>
      <c r="E190" t="s">
        <v>523</v>
      </c>
      <c r="F190" t="s">
        <v>486</v>
      </c>
      <c r="G190" t="s">
        <v>524</v>
      </c>
      <c r="H190" s="2">
        <v>46086</v>
      </c>
    </row>
    <row r="191" spans="1:9" x14ac:dyDescent="0.35">
      <c r="A191">
        <v>172</v>
      </c>
      <c r="B191">
        <v>7429</v>
      </c>
      <c r="C191" t="s">
        <v>16</v>
      </c>
      <c r="D191" t="s">
        <v>419</v>
      </c>
      <c r="E191" t="s">
        <v>814</v>
      </c>
      <c r="F191" t="s">
        <v>551</v>
      </c>
      <c r="G191" t="s">
        <v>815</v>
      </c>
      <c r="H191" s="2">
        <v>46092</v>
      </c>
    </row>
    <row r="192" spans="1:9" x14ac:dyDescent="0.35">
      <c r="A192">
        <v>332</v>
      </c>
      <c r="B192">
        <v>7569</v>
      </c>
      <c r="C192" t="s">
        <v>16</v>
      </c>
      <c r="D192" t="s">
        <v>419</v>
      </c>
      <c r="E192" t="s">
        <v>816</v>
      </c>
      <c r="F192" t="s">
        <v>462</v>
      </c>
      <c r="G192" t="s">
        <v>817</v>
      </c>
      <c r="H192" s="2">
        <v>46100</v>
      </c>
    </row>
    <row r="193" spans="1:9" x14ac:dyDescent="0.35">
      <c r="A193">
        <v>812</v>
      </c>
      <c r="B193">
        <v>7613</v>
      </c>
      <c r="C193" t="s">
        <v>22</v>
      </c>
      <c r="D193" t="s">
        <v>419</v>
      </c>
      <c r="E193" t="s">
        <v>619</v>
      </c>
      <c r="F193" t="s">
        <v>431</v>
      </c>
      <c r="G193" t="s">
        <v>620</v>
      </c>
      <c r="H193" s="2">
        <v>46091</v>
      </c>
    </row>
    <row r="194" spans="1:9" x14ac:dyDescent="0.35">
      <c r="A194">
        <v>812</v>
      </c>
      <c r="B194">
        <v>7614</v>
      </c>
      <c r="C194" t="s">
        <v>22</v>
      </c>
      <c r="D194" t="s">
        <v>419</v>
      </c>
      <c r="E194" t="s">
        <v>619</v>
      </c>
      <c r="F194" t="s">
        <v>431</v>
      </c>
      <c r="G194" t="s">
        <v>620</v>
      </c>
      <c r="H194" s="2">
        <v>46091</v>
      </c>
    </row>
    <row r="195" spans="1:9" x14ac:dyDescent="0.35">
      <c r="A195">
        <v>318</v>
      </c>
      <c r="B195">
        <v>7680</v>
      </c>
      <c r="C195" t="s">
        <v>16</v>
      </c>
      <c r="D195" t="s">
        <v>419</v>
      </c>
      <c r="E195" t="s">
        <v>607</v>
      </c>
      <c r="F195" t="s">
        <v>511</v>
      </c>
      <c r="G195" t="s">
        <v>608</v>
      </c>
      <c r="H195" s="2">
        <v>46091</v>
      </c>
      <c r="I195" t="s">
        <v>443</v>
      </c>
    </row>
    <row r="196" spans="1:9" x14ac:dyDescent="0.35">
      <c r="A196">
        <v>476</v>
      </c>
      <c r="B196">
        <v>7759</v>
      </c>
      <c r="C196" t="s">
        <v>22</v>
      </c>
      <c r="D196" t="s">
        <v>419</v>
      </c>
      <c r="E196" t="s">
        <v>818</v>
      </c>
      <c r="F196" t="s">
        <v>511</v>
      </c>
      <c r="G196" t="s">
        <v>819</v>
      </c>
      <c r="H196" s="2">
        <v>46091</v>
      </c>
    </row>
    <row r="197" spans="1:9" x14ac:dyDescent="0.35">
      <c r="A197">
        <v>7</v>
      </c>
      <c r="B197">
        <v>7812</v>
      </c>
      <c r="C197" t="s">
        <v>22</v>
      </c>
      <c r="D197" t="s">
        <v>419</v>
      </c>
      <c r="E197" t="s">
        <v>539</v>
      </c>
      <c r="F197" t="s">
        <v>428</v>
      </c>
      <c r="G197" t="s">
        <v>540</v>
      </c>
      <c r="H197" s="2">
        <v>46091</v>
      </c>
    </row>
    <row r="198" spans="1:9" x14ac:dyDescent="0.35">
      <c r="A198">
        <v>609</v>
      </c>
      <c r="B198">
        <v>7875</v>
      </c>
      <c r="C198" t="s">
        <v>16</v>
      </c>
      <c r="D198" t="s">
        <v>419</v>
      </c>
      <c r="E198" t="s">
        <v>820</v>
      </c>
      <c r="F198" t="s">
        <v>425</v>
      </c>
      <c r="G198" t="s">
        <v>821</v>
      </c>
      <c r="H198" s="2">
        <v>46098</v>
      </c>
    </row>
    <row r="199" spans="1:9" x14ac:dyDescent="0.35">
      <c r="A199">
        <v>609</v>
      </c>
      <c r="B199">
        <v>7888</v>
      </c>
      <c r="C199" t="s">
        <v>16</v>
      </c>
      <c r="D199" t="s">
        <v>419</v>
      </c>
      <c r="E199" t="s">
        <v>820</v>
      </c>
      <c r="F199" t="s">
        <v>425</v>
      </c>
      <c r="G199" t="s">
        <v>821</v>
      </c>
      <c r="H199" s="2">
        <v>46098</v>
      </c>
    </row>
    <row r="200" spans="1:9" x14ac:dyDescent="0.35">
      <c r="A200">
        <v>166</v>
      </c>
      <c r="B200">
        <v>7939</v>
      </c>
      <c r="C200" t="s">
        <v>16</v>
      </c>
      <c r="D200" t="s">
        <v>419</v>
      </c>
      <c r="E200" t="s">
        <v>822</v>
      </c>
      <c r="F200" t="s">
        <v>624</v>
      </c>
      <c r="G200" t="s">
        <v>823</v>
      </c>
      <c r="H200" s="2">
        <v>46091</v>
      </c>
    </row>
    <row r="201" spans="1:9" x14ac:dyDescent="0.35">
      <c r="A201">
        <v>166</v>
      </c>
      <c r="B201">
        <v>7940</v>
      </c>
      <c r="C201" t="s">
        <v>16</v>
      </c>
      <c r="D201" t="s">
        <v>419</v>
      </c>
      <c r="E201" t="s">
        <v>822</v>
      </c>
      <c r="F201" t="s">
        <v>624</v>
      </c>
      <c r="G201" t="s">
        <v>823</v>
      </c>
      <c r="H201" s="2">
        <v>46091</v>
      </c>
    </row>
    <row r="202" spans="1:9" x14ac:dyDescent="0.35">
      <c r="A202">
        <v>91</v>
      </c>
      <c r="B202">
        <v>7943</v>
      </c>
      <c r="C202" t="s">
        <v>22</v>
      </c>
      <c r="D202" t="s">
        <v>419</v>
      </c>
      <c r="E202" t="s">
        <v>623</v>
      </c>
      <c r="F202" t="s">
        <v>624</v>
      </c>
      <c r="G202" t="s">
        <v>625</v>
      </c>
      <c r="H202" s="2">
        <v>46092</v>
      </c>
      <c r="I202" t="s">
        <v>443</v>
      </c>
    </row>
    <row r="203" spans="1:9" x14ac:dyDescent="0.35">
      <c r="A203">
        <v>693</v>
      </c>
      <c r="B203">
        <v>7979</v>
      </c>
      <c r="C203" t="s">
        <v>16</v>
      </c>
      <c r="D203" t="s">
        <v>419</v>
      </c>
      <c r="E203" t="s">
        <v>824</v>
      </c>
      <c r="F203" t="s">
        <v>472</v>
      </c>
      <c r="G203" t="s">
        <v>825</v>
      </c>
      <c r="H203" s="2">
        <v>46093</v>
      </c>
    </row>
    <row r="204" spans="1:9" x14ac:dyDescent="0.35">
      <c r="A204">
        <v>419</v>
      </c>
      <c r="B204">
        <v>7980</v>
      </c>
      <c r="C204" t="s">
        <v>16</v>
      </c>
      <c r="D204" t="s">
        <v>419</v>
      </c>
      <c r="E204" t="s">
        <v>550</v>
      </c>
      <c r="F204" t="s">
        <v>551</v>
      </c>
      <c r="G204" t="s">
        <v>552</v>
      </c>
      <c r="H204" s="2">
        <v>46091</v>
      </c>
    </row>
    <row r="205" spans="1:9" x14ac:dyDescent="0.35">
      <c r="A205">
        <v>453</v>
      </c>
      <c r="B205">
        <v>8018</v>
      </c>
      <c r="C205" t="s">
        <v>16</v>
      </c>
      <c r="D205" t="s">
        <v>419</v>
      </c>
      <c r="E205" t="s">
        <v>826</v>
      </c>
      <c r="F205" t="s">
        <v>596</v>
      </c>
      <c r="G205" t="s">
        <v>827</v>
      </c>
      <c r="H205" s="2">
        <v>46093</v>
      </c>
    </row>
    <row r="206" spans="1:9" x14ac:dyDescent="0.35">
      <c r="A206">
        <v>453</v>
      </c>
      <c r="B206">
        <v>8019</v>
      </c>
      <c r="C206" t="s">
        <v>16</v>
      </c>
      <c r="D206" t="s">
        <v>419</v>
      </c>
      <c r="E206" t="s">
        <v>826</v>
      </c>
      <c r="F206" t="s">
        <v>596</v>
      </c>
      <c r="G206" t="s">
        <v>827</v>
      </c>
      <c r="H206" s="2">
        <v>46093</v>
      </c>
    </row>
    <row r="207" spans="1:9" x14ac:dyDescent="0.35">
      <c r="A207">
        <v>725</v>
      </c>
      <c r="B207">
        <v>8090</v>
      </c>
      <c r="C207" t="s">
        <v>16</v>
      </c>
      <c r="D207" t="s">
        <v>419</v>
      </c>
      <c r="E207" t="s">
        <v>638</v>
      </c>
      <c r="F207" t="s">
        <v>486</v>
      </c>
      <c r="G207" t="s">
        <v>639</v>
      </c>
      <c r="H207" s="2">
        <v>46092</v>
      </c>
    </row>
    <row r="208" spans="1:9" x14ac:dyDescent="0.35">
      <c r="A208">
        <v>569</v>
      </c>
      <c r="B208">
        <v>8129</v>
      </c>
      <c r="C208" t="s">
        <v>22</v>
      </c>
      <c r="D208" t="s">
        <v>419</v>
      </c>
      <c r="E208" t="s">
        <v>828</v>
      </c>
      <c r="F208" t="s">
        <v>624</v>
      </c>
      <c r="G208" t="s">
        <v>829</v>
      </c>
      <c r="H208" s="2">
        <v>46091</v>
      </c>
    </row>
    <row r="209" spans="1:9" x14ac:dyDescent="0.35">
      <c r="A209">
        <v>291</v>
      </c>
      <c r="B209">
        <v>8139</v>
      </c>
      <c r="C209" t="s">
        <v>22</v>
      </c>
      <c r="D209" t="s">
        <v>419</v>
      </c>
      <c r="E209" t="s">
        <v>585</v>
      </c>
      <c r="F209" t="s">
        <v>435</v>
      </c>
      <c r="G209" t="s">
        <v>586</v>
      </c>
      <c r="H209" s="2">
        <v>46091</v>
      </c>
    </row>
    <row r="210" spans="1:9" x14ac:dyDescent="0.35">
      <c r="A210">
        <v>810</v>
      </c>
      <c r="B210">
        <v>8204</v>
      </c>
      <c r="C210" t="s">
        <v>16</v>
      </c>
      <c r="D210" t="s">
        <v>419</v>
      </c>
      <c r="E210" t="s">
        <v>830</v>
      </c>
      <c r="F210" t="s">
        <v>431</v>
      </c>
      <c r="G210" t="s">
        <v>831</v>
      </c>
      <c r="H210" s="2">
        <v>46091</v>
      </c>
    </row>
    <row r="211" spans="1:9" x14ac:dyDescent="0.35">
      <c r="A211">
        <v>554</v>
      </c>
      <c r="B211">
        <v>8294</v>
      </c>
      <c r="C211" t="s">
        <v>16</v>
      </c>
      <c r="D211" t="s">
        <v>419</v>
      </c>
      <c r="E211" t="s">
        <v>832</v>
      </c>
      <c r="F211" t="s">
        <v>439</v>
      </c>
      <c r="G211" t="s">
        <v>833</v>
      </c>
      <c r="H211" s="2">
        <v>46093</v>
      </c>
      <c r="I211" t="s">
        <v>443</v>
      </c>
    </row>
    <row r="212" spans="1:9" x14ac:dyDescent="0.35">
      <c r="A212">
        <v>554</v>
      </c>
      <c r="B212">
        <v>8295</v>
      </c>
      <c r="C212" t="s">
        <v>16</v>
      </c>
      <c r="D212" t="s">
        <v>419</v>
      </c>
      <c r="E212" t="s">
        <v>832</v>
      </c>
      <c r="F212" t="s">
        <v>439</v>
      </c>
      <c r="G212" t="s">
        <v>833</v>
      </c>
      <c r="H212" s="2">
        <v>46093</v>
      </c>
      <c r="I212" t="s">
        <v>443</v>
      </c>
    </row>
    <row r="213" spans="1:9" x14ac:dyDescent="0.35">
      <c r="A213">
        <v>915</v>
      </c>
      <c r="B213">
        <v>8313</v>
      </c>
      <c r="C213" t="s">
        <v>16</v>
      </c>
      <c r="D213" t="s">
        <v>419</v>
      </c>
      <c r="E213" t="s">
        <v>834</v>
      </c>
      <c r="F213" t="s">
        <v>502</v>
      </c>
      <c r="G213" t="s">
        <v>835</v>
      </c>
      <c r="H213" s="2">
        <v>46092</v>
      </c>
    </row>
    <row r="214" spans="1:9" x14ac:dyDescent="0.35">
      <c r="A214">
        <v>915</v>
      </c>
      <c r="B214">
        <v>8314</v>
      </c>
      <c r="C214" t="s">
        <v>16</v>
      </c>
      <c r="D214" t="s">
        <v>419</v>
      </c>
      <c r="E214" t="s">
        <v>834</v>
      </c>
      <c r="F214" t="s">
        <v>502</v>
      </c>
      <c r="G214" t="s">
        <v>835</v>
      </c>
      <c r="H214" s="2">
        <v>46092</v>
      </c>
    </row>
    <row r="215" spans="1:9" x14ac:dyDescent="0.35">
      <c r="A215">
        <v>556</v>
      </c>
      <c r="B215">
        <v>8333</v>
      </c>
      <c r="C215" t="s">
        <v>16</v>
      </c>
      <c r="D215" t="s">
        <v>419</v>
      </c>
      <c r="E215" t="s">
        <v>836</v>
      </c>
      <c r="F215" t="s">
        <v>542</v>
      </c>
      <c r="G215" t="s">
        <v>837</v>
      </c>
      <c r="H215" s="2">
        <v>46093</v>
      </c>
    </row>
    <row r="216" spans="1:9" x14ac:dyDescent="0.35">
      <c r="A216">
        <v>944</v>
      </c>
      <c r="B216">
        <v>8353</v>
      </c>
      <c r="C216" t="s">
        <v>16</v>
      </c>
      <c r="D216" t="s">
        <v>419</v>
      </c>
      <c r="E216" t="s">
        <v>461</v>
      </c>
      <c r="F216" t="s">
        <v>462</v>
      </c>
      <c r="G216" t="s">
        <v>463</v>
      </c>
      <c r="H216" s="2">
        <v>46098</v>
      </c>
    </row>
    <row r="217" spans="1:9" x14ac:dyDescent="0.35">
      <c r="A217">
        <v>944</v>
      </c>
      <c r="B217">
        <v>8354</v>
      </c>
      <c r="C217" t="s">
        <v>16</v>
      </c>
      <c r="D217" t="s">
        <v>419</v>
      </c>
      <c r="E217" t="s">
        <v>461</v>
      </c>
      <c r="F217" t="s">
        <v>462</v>
      </c>
      <c r="G217" t="s">
        <v>463</v>
      </c>
      <c r="H217" s="2">
        <v>46098</v>
      </c>
    </row>
    <row r="218" spans="1:9" x14ac:dyDescent="0.35">
      <c r="A218">
        <v>495</v>
      </c>
      <c r="B218">
        <v>8482</v>
      </c>
      <c r="C218" t="s">
        <v>16</v>
      </c>
      <c r="D218" t="s">
        <v>419</v>
      </c>
      <c r="E218" t="s">
        <v>838</v>
      </c>
      <c r="F218" t="s">
        <v>421</v>
      </c>
      <c r="G218" t="s">
        <v>839</v>
      </c>
      <c r="H218" s="2">
        <v>46091</v>
      </c>
      <c r="I218" t="s">
        <v>443</v>
      </c>
    </row>
    <row r="219" spans="1:9" x14ac:dyDescent="0.35">
      <c r="A219">
        <v>236</v>
      </c>
      <c r="B219">
        <v>8497</v>
      </c>
      <c r="C219" t="s">
        <v>16</v>
      </c>
      <c r="D219" t="s">
        <v>419</v>
      </c>
      <c r="E219" t="s">
        <v>731</v>
      </c>
      <c r="F219" t="s">
        <v>428</v>
      </c>
      <c r="G219" t="s">
        <v>732</v>
      </c>
      <c r="H219" s="2">
        <v>46093</v>
      </c>
    </row>
    <row r="220" spans="1:9" x14ac:dyDescent="0.35">
      <c r="A220">
        <v>193</v>
      </c>
      <c r="B220">
        <v>8537</v>
      </c>
      <c r="C220" t="s">
        <v>16</v>
      </c>
      <c r="D220" t="s">
        <v>419</v>
      </c>
      <c r="E220" t="s">
        <v>840</v>
      </c>
      <c r="F220" t="s">
        <v>502</v>
      </c>
      <c r="G220" t="s">
        <v>841</v>
      </c>
      <c r="H220" s="2">
        <v>46091</v>
      </c>
    </row>
    <row r="221" spans="1:9" x14ac:dyDescent="0.35">
      <c r="A221">
        <v>15</v>
      </c>
      <c r="B221">
        <v>8576</v>
      </c>
      <c r="C221" t="s">
        <v>16</v>
      </c>
      <c r="D221" t="s">
        <v>419</v>
      </c>
      <c r="E221" t="s">
        <v>842</v>
      </c>
      <c r="F221" t="s">
        <v>425</v>
      </c>
      <c r="G221" t="s">
        <v>843</v>
      </c>
      <c r="H221" s="2">
        <v>46093</v>
      </c>
    </row>
    <row r="222" spans="1:9" x14ac:dyDescent="0.35">
      <c r="A222">
        <v>15</v>
      </c>
      <c r="B222">
        <v>8577</v>
      </c>
      <c r="C222" t="s">
        <v>16</v>
      </c>
      <c r="D222" t="s">
        <v>419</v>
      </c>
      <c r="E222" t="s">
        <v>842</v>
      </c>
      <c r="F222" t="s">
        <v>425</v>
      </c>
      <c r="G222" t="s">
        <v>843</v>
      </c>
      <c r="H222" s="2">
        <v>46093</v>
      </c>
    </row>
    <row r="223" spans="1:9" x14ac:dyDescent="0.35">
      <c r="A223">
        <v>15</v>
      </c>
      <c r="B223">
        <v>8578</v>
      </c>
      <c r="C223" t="s">
        <v>16</v>
      </c>
      <c r="D223" t="s">
        <v>419</v>
      </c>
      <c r="E223" t="s">
        <v>842</v>
      </c>
      <c r="F223" t="s">
        <v>425</v>
      </c>
      <c r="G223" t="s">
        <v>843</v>
      </c>
      <c r="H223" s="2">
        <v>46093</v>
      </c>
    </row>
    <row r="224" spans="1:9" x14ac:dyDescent="0.35">
      <c r="A224">
        <v>728</v>
      </c>
      <c r="B224">
        <v>8586</v>
      </c>
      <c r="C224" t="s">
        <v>16</v>
      </c>
      <c r="D224" t="s">
        <v>419</v>
      </c>
      <c r="E224" t="s">
        <v>844</v>
      </c>
      <c r="F224" t="s">
        <v>516</v>
      </c>
      <c r="G224" t="s">
        <v>845</v>
      </c>
      <c r="H224" s="2">
        <v>46092</v>
      </c>
    </row>
    <row r="225" spans="1:9" x14ac:dyDescent="0.35">
      <c r="A225">
        <v>728</v>
      </c>
      <c r="B225">
        <v>8587</v>
      </c>
      <c r="C225" t="s">
        <v>16</v>
      </c>
      <c r="D225" t="s">
        <v>419</v>
      </c>
      <c r="E225" t="s">
        <v>844</v>
      </c>
      <c r="F225" t="s">
        <v>516</v>
      </c>
      <c r="G225" t="s">
        <v>845</v>
      </c>
      <c r="H225" s="2">
        <v>46092</v>
      </c>
    </row>
    <row r="226" spans="1:9" x14ac:dyDescent="0.35">
      <c r="A226">
        <v>78</v>
      </c>
      <c r="B226">
        <v>8594</v>
      </c>
      <c r="C226" t="s">
        <v>16</v>
      </c>
      <c r="D226" t="s">
        <v>419</v>
      </c>
      <c r="E226" t="s">
        <v>737</v>
      </c>
      <c r="F226" t="s">
        <v>435</v>
      </c>
      <c r="G226" t="s">
        <v>738</v>
      </c>
      <c r="H226" s="2">
        <v>46099</v>
      </c>
    </row>
    <row r="227" spans="1:9" x14ac:dyDescent="0.35">
      <c r="A227">
        <v>4</v>
      </c>
      <c r="B227">
        <v>8630</v>
      </c>
      <c r="C227" t="s">
        <v>16</v>
      </c>
      <c r="D227" t="s">
        <v>419</v>
      </c>
      <c r="E227" t="s">
        <v>846</v>
      </c>
      <c r="F227" t="s">
        <v>428</v>
      </c>
      <c r="G227" t="s">
        <v>847</v>
      </c>
      <c r="H227" s="2">
        <v>46099</v>
      </c>
    </row>
    <row r="228" spans="1:9" x14ac:dyDescent="0.35">
      <c r="A228">
        <v>4</v>
      </c>
      <c r="B228">
        <v>8631</v>
      </c>
      <c r="C228" t="s">
        <v>16</v>
      </c>
      <c r="D228" t="s">
        <v>419</v>
      </c>
      <c r="E228" t="s">
        <v>846</v>
      </c>
      <c r="F228" t="s">
        <v>428</v>
      </c>
      <c r="G228" t="s">
        <v>847</v>
      </c>
      <c r="H228" s="2">
        <v>46099</v>
      </c>
    </row>
    <row r="229" spans="1:9" x14ac:dyDescent="0.35">
      <c r="A229">
        <v>541</v>
      </c>
      <c r="B229">
        <v>8660</v>
      </c>
      <c r="C229" t="s">
        <v>16</v>
      </c>
      <c r="D229" t="s">
        <v>419</v>
      </c>
      <c r="E229" t="s">
        <v>658</v>
      </c>
      <c r="F229" t="s">
        <v>425</v>
      </c>
      <c r="G229" t="s">
        <v>659</v>
      </c>
      <c r="H229" s="2">
        <v>46086</v>
      </c>
    </row>
    <row r="230" spans="1:9" x14ac:dyDescent="0.35">
      <c r="A230">
        <v>866</v>
      </c>
      <c r="B230">
        <v>8662</v>
      </c>
      <c r="C230" t="s">
        <v>16</v>
      </c>
      <c r="D230" t="s">
        <v>419</v>
      </c>
      <c r="E230" t="s">
        <v>848</v>
      </c>
      <c r="F230" t="s">
        <v>770</v>
      </c>
      <c r="G230" t="s">
        <v>849</v>
      </c>
      <c r="H230" s="2">
        <v>46093</v>
      </c>
      <c r="I230" t="s">
        <v>443</v>
      </c>
    </row>
    <row r="231" spans="1:9" x14ac:dyDescent="0.35">
      <c r="A231">
        <v>769</v>
      </c>
      <c r="B231">
        <v>8679</v>
      </c>
      <c r="C231" t="s">
        <v>16</v>
      </c>
      <c r="D231" t="s">
        <v>419</v>
      </c>
      <c r="E231" t="s">
        <v>531</v>
      </c>
      <c r="F231" t="s">
        <v>439</v>
      </c>
      <c r="G231" t="s">
        <v>532</v>
      </c>
      <c r="H231" s="2">
        <v>46086</v>
      </c>
    </row>
    <row r="232" spans="1:9" x14ac:dyDescent="0.35">
      <c r="A232">
        <v>779</v>
      </c>
      <c r="B232">
        <v>8684</v>
      </c>
      <c r="C232" t="s">
        <v>22</v>
      </c>
      <c r="D232" t="s">
        <v>419</v>
      </c>
      <c r="E232" t="s">
        <v>491</v>
      </c>
      <c r="F232" t="s">
        <v>492</v>
      </c>
      <c r="G232" t="s">
        <v>493</v>
      </c>
      <c r="H232" s="2">
        <v>46100</v>
      </c>
    </row>
    <row r="233" spans="1:9" x14ac:dyDescent="0.35">
      <c r="A233">
        <v>779</v>
      </c>
      <c r="B233">
        <v>8685</v>
      </c>
      <c r="C233" t="s">
        <v>16</v>
      </c>
      <c r="D233" t="s">
        <v>419</v>
      </c>
      <c r="E233" t="s">
        <v>491</v>
      </c>
      <c r="F233" t="s">
        <v>492</v>
      </c>
      <c r="G233" t="s">
        <v>493</v>
      </c>
      <c r="H233" s="2">
        <v>46100</v>
      </c>
    </row>
    <row r="234" spans="1:9" x14ac:dyDescent="0.35">
      <c r="A234">
        <v>60</v>
      </c>
      <c r="B234">
        <v>8727</v>
      </c>
      <c r="C234" t="s">
        <v>16</v>
      </c>
      <c r="D234" t="s">
        <v>419</v>
      </c>
      <c r="E234" t="s">
        <v>850</v>
      </c>
      <c r="F234" t="s">
        <v>431</v>
      </c>
      <c r="G234" t="s">
        <v>851</v>
      </c>
      <c r="H234" s="2">
        <v>46086</v>
      </c>
      <c r="I234" t="s">
        <v>443</v>
      </c>
    </row>
    <row r="235" spans="1:9" x14ac:dyDescent="0.35">
      <c r="A235">
        <v>60</v>
      </c>
      <c r="B235">
        <v>8728</v>
      </c>
      <c r="C235" t="s">
        <v>22</v>
      </c>
      <c r="D235" t="s">
        <v>419</v>
      </c>
      <c r="E235" t="s">
        <v>850</v>
      </c>
      <c r="F235" t="s">
        <v>431</v>
      </c>
      <c r="G235" t="s">
        <v>851</v>
      </c>
      <c r="H235" s="2">
        <v>46086</v>
      </c>
      <c r="I235" t="s">
        <v>443</v>
      </c>
    </row>
    <row r="236" spans="1:9" x14ac:dyDescent="0.35">
      <c r="A236">
        <v>60</v>
      </c>
      <c r="B236">
        <v>8729</v>
      </c>
      <c r="C236" t="s">
        <v>16</v>
      </c>
      <c r="D236" t="s">
        <v>419</v>
      </c>
      <c r="E236" t="s">
        <v>850</v>
      </c>
      <c r="F236" t="s">
        <v>431</v>
      </c>
      <c r="G236" t="s">
        <v>851</v>
      </c>
      <c r="H236" s="2">
        <v>46086</v>
      </c>
      <c r="I236" t="s">
        <v>443</v>
      </c>
    </row>
    <row r="237" spans="1:9" x14ac:dyDescent="0.35">
      <c r="A237">
        <v>31</v>
      </c>
      <c r="B237">
        <v>8737</v>
      </c>
      <c r="C237" t="s">
        <v>16</v>
      </c>
      <c r="D237" t="s">
        <v>419</v>
      </c>
      <c r="E237" t="s">
        <v>852</v>
      </c>
      <c r="F237" t="s">
        <v>457</v>
      </c>
      <c r="G237" t="s">
        <v>853</v>
      </c>
      <c r="H237" s="2">
        <v>46098</v>
      </c>
    </row>
    <row r="238" spans="1:9" x14ac:dyDescent="0.35">
      <c r="A238">
        <v>509</v>
      </c>
      <c r="B238">
        <v>8835</v>
      </c>
      <c r="C238" t="s">
        <v>16</v>
      </c>
      <c r="D238" t="s">
        <v>419</v>
      </c>
      <c r="E238" t="s">
        <v>854</v>
      </c>
      <c r="F238" t="s">
        <v>421</v>
      </c>
      <c r="G238" t="s">
        <v>855</v>
      </c>
      <c r="H238" s="2">
        <v>46099</v>
      </c>
    </row>
    <row r="239" spans="1:9" x14ac:dyDescent="0.35">
      <c r="A239">
        <v>33</v>
      </c>
      <c r="B239">
        <v>8861</v>
      </c>
      <c r="C239" t="s">
        <v>16</v>
      </c>
      <c r="D239" t="s">
        <v>419</v>
      </c>
      <c r="E239" t="s">
        <v>856</v>
      </c>
      <c r="F239" t="s">
        <v>502</v>
      </c>
      <c r="G239" t="s">
        <v>857</v>
      </c>
      <c r="H239" s="2">
        <v>46086</v>
      </c>
      <c r="I239" t="s">
        <v>443</v>
      </c>
    </row>
    <row r="240" spans="1:9" x14ac:dyDescent="0.35">
      <c r="A240">
        <v>225</v>
      </c>
      <c r="B240">
        <v>8868</v>
      </c>
      <c r="C240" t="s">
        <v>16</v>
      </c>
      <c r="D240" t="s">
        <v>419</v>
      </c>
      <c r="E240" t="s">
        <v>858</v>
      </c>
      <c r="F240" t="s">
        <v>457</v>
      </c>
      <c r="G240" t="s">
        <v>859</v>
      </c>
      <c r="H240" s="2">
        <v>46093</v>
      </c>
    </row>
    <row r="241" spans="1:9" x14ac:dyDescent="0.35">
      <c r="A241">
        <v>225</v>
      </c>
      <c r="B241">
        <v>8869</v>
      </c>
      <c r="C241" t="s">
        <v>16</v>
      </c>
      <c r="D241" t="s">
        <v>419</v>
      </c>
      <c r="E241" t="s">
        <v>858</v>
      </c>
      <c r="F241" t="s">
        <v>457</v>
      </c>
      <c r="G241" t="s">
        <v>859</v>
      </c>
      <c r="H241" s="2">
        <v>46093</v>
      </c>
    </row>
    <row r="242" spans="1:9" x14ac:dyDescent="0.35">
      <c r="A242">
        <v>442</v>
      </c>
      <c r="B242">
        <v>8887</v>
      </c>
      <c r="C242" t="s">
        <v>16</v>
      </c>
      <c r="D242" t="s">
        <v>419</v>
      </c>
      <c r="E242" t="s">
        <v>860</v>
      </c>
      <c r="F242" t="s">
        <v>450</v>
      </c>
      <c r="G242" t="s">
        <v>861</v>
      </c>
      <c r="H242" s="2">
        <v>46099</v>
      </c>
      <c r="I242" t="s">
        <v>443</v>
      </c>
    </row>
    <row r="243" spans="1:9" x14ac:dyDescent="0.35">
      <c r="A243">
        <v>442</v>
      </c>
      <c r="B243">
        <v>8888</v>
      </c>
      <c r="C243" t="s">
        <v>16</v>
      </c>
      <c r="D243" t="s">
        <v>419</v>
      </c>
      <c r="E243" t="s">
        <v>860</v>
      </c>
      <c r="F243" t="s">
        <v>450</v>
      </c>
      <c r="G243" t="s">
        <v>861</v>
      </c>
      <c r="H243" s="2">
        <v>46099</v>
      </c>
      <c r="I243" t="s">
        <v>443</v>
      </c>
    </row>
    <row r="244" spans="1:9" x14ac:dyDescent="0.35">
      <c r="A244">
        <v>721</v>
      </c>
      <c r="B244">
        <v>8896</v>
      </c>
      <c r="C244" t="s">
        <v>16</v>
      </c>
      <c r="D244" t="s">
        <v>419</v>
      </c>
      <c r="E244" t="s">
        <v>862</v>
      </c>
      <c r="F244" t="s">
        <v>486</v>
      </c>
      <c r="G244" t="s">
        <v>863</v>
      </c>
      <c r="H244" s="2">
        <v>46091</v>
      </c>
    </row>
    <row r="245" spans="1:9" x14ac:dyDescent="0.35">
      <c r="A245">
        <v>721</v>
      </c>
      <c r="B245">
        <v>8897</v>
      </c>
      <c r="C245" t="s">
        <v>22</v>
      </c>
      <c r="D245" t="s">
        <v>419</v>
      </c>
      <c r="E245" t="s">
        <v>862</v>
      </c>
      <c r="F245" t="s">
        <v>486</v>
      </c>
      <c r="G245" t="s">
        <v>863</v>
      </c>
      <c r="H245" s="2">
        <v>46091</v>
      </c>
    </row>
    <row r="246" spans="1:9" x14ac:dyDescent="0.35">
      <c r="A246">
        <v>20</v>
      </c>
      <c r="B246">
        <v>8927</v>
      </c>
      <c r="C246" t="s">
        <v>16</v>
      </c>
      <c r="D246" t="s">
        <v>419</v>
      </c>
      <c r="E246" t="s">
        <v>779</v>
      </c>
      <c r="F246" t="s">
        <v>435</v>
      </c>
      <c r="G246" t="s">
        <v>780</v>
      </c>
      <c r="H246" s="2">
        <v>46093</v>
      </c>
    </row>
    <row r="247" spans="1:9" x14ac:dyDescent="0.35">
      <c r="A247">
        <v>85</v>
      </c>
      <c r="B247">
        <v>8974</v>
      </c>
      <c r="C247" t="s">
        <v>16</v>
      </c>
      <c r="D247" t="s">
        <v>419</v>
      </c>
      <c r="E247" t="s">
        <v>864</v>
      </c>
      <c r="F247" t="s">
        <v>421</v>
      </c>
      <c r="G247" t="s">
        <v>865</v>
      </c>
      <c r="H247" s="2">
        <v>46100</v>
      </c>
    </row>
    <row r="248" spans="1:9" x14ac:dyDescent="0.35">
      <c r="A248">
        <v>536</v>
      </c>
      <c r="B248">
        <v>8988</v>
      </c>
      <c r="C248" t="s">
        <v>22</v>
      </c>
      <c r="D248" t="s">
        <v>419</v>
      </c>
      <c r="E248" t="s">
        <v>785</v>
      </c>
      <c r="F248" t="s">
        <v>603</v>
      </c>
      <c r="G248" t="s">
        <v>786</v>
      </c>
      <c r="H248" s="2">
        <v>46092</v>
      </c>
    </row>
    <row r="249" spans="1:9" x14ac:dyDescent="0.35">
      <c r="A249">
        <v>457</v>
      </c>
      <c r="B249">
        <v>9004</v>
      </c>
      <c r="C249" t="s">
        <v>16</v>
      </c>
      <c r="D249" t="s">
        <v>419</v>
      </c>
      <c r="E249" t="s">
        <v>866</v>
      </c>
      <c r="F249" t="s">
        <v>596</v>
      </c>
      <c r="G249" t="s">
        <v>867</v>
      </c>
      <c r="H249" s="2">
        <v>46093</v>
      </c>
    </row>
    <row r="250" spans="1:9" x14ac:dyDescent="0.35">
      <c r="A250">
        <v>348</v>
      </c>
      <c r="B250">
        <v>9009</v>
      </c>
      <c r="C250" t="s">
        <v>16</v>
      </c>
      <c r="D250" t="s">
        <v>419</v>
      </c>
      <c r="E250" t="s">
        <v>420</v>
      </c>
      <c r="F250" t="s">
        <v>421</v>
      </c>
      <c r="G250" t="s">
        <v>422</v>
      </c>
      <c r="H250" s="2">
        <v>46093</v>
      </c>
    </row>
    <row r="251" spans="1:9" x14ac:dyDescent="0.35">
      <c r="A251">
        <v>467</v>
      </c>
      <c r="B251">
        <v>9051</v>
      </c>
      <c r="C251" t="s">
        <v>16</v>
      </c>
      <c r="D251" t="s">
        <v>419</v>
      </c>
      <c r="E251" t="s">
        <v>868</v>
      </c>
      <c r="F251" t="s">
        <v>489</v>
      </c>
      <c r="G251" t="s">
        <v>869</v>
      </c>
      <c r="H251" s="2">
        <v>46093</v>
      </c>
    </row>
    <row r="252" spans="1:9" x14ac:dyDescent="0.35">
      <c r="A252">
        <v>467</v>
      </c>
      <c r="B252">
        <v>9052</v>
      </c>
      <c r="C252" t="s">
        <v>16</v>
      </c>
      <c r="D252" t="s">
        <v>419</v>
      </c>
      <c r="E252" t="s">
        <v>868</v>
      </c>
      <c r="F252" t="s">
        <v>489</v>
      </c>
      <c r="G252" t="s">
        <v>869</v>
      </c>
      <c r="H252" s="2">
        <v>46093</v>
      </c>
    </row>
    <row r="253" spans="1:9" x14ac:dyDescent="0.35">
      <c r="A253">
        <v>20</v>
      </c>
      <c r="B253">
        <v>9204</v>
      </c>
      <c r="C253" t="s">
        <v>16</v>
      </c>
      <c r="D253" t="s">
        <v>419</v>
      </c>
      <c r="E253" t="s">
        <v>779</v>
      </c>
      <c r="F253" t="s">
        <v>435</v>
      </c>
      <c r="G253" t="s">
        <v>780</v>
      </c>
      <c r="H253" s="2">
        <v>46093</v>
      </c>
    </row>
    <row r="254" spans="1:9" x14ac:dyDescent="0.35">
      <c r="A254">
        <v>845</v>
      </c>
      <c r="B254">
        <v>9232</v>
      </c>
      <c r="C254" t="s">
        <v>16</v>
      </c>
      <c r="D254" t="s">
        <v>419</v>
      </c>
      <c r="E254" t="s">
        <v>870</v>
      </c>
      <c r="F254" t="s">
        <v>596</v>
      </c>
      <c r="G254" t="s">
        <v>871</v>
      </c>
      <c r="H254" s="2">
        <v>46093</v>
      </c>
      <c r="I254" t="s">
        <v>443</v>
      </c>
    </row>
    <row r="255" spans="1:9" x14ac:dyDescent="0.35">
      <c r="A255">
        <v>959</v>
      </c>
      <c r="B255">
        <v>9265</v>
      </c>
      <c r="C255" t="s">
        <v>22</v>
      </c>
      <c r="D255" t="s">
        <v>419</v>
      </c>
      <c r="E255" t="s">
        <v>872</v>
      </c>
      <c r="F255" t="s">
        <v>603</v>
      </c>
      <c r="G255" t="s">
        <v>873</v>
      </c>
      <c r="H255" s="2">
        <v>46099</v>
      </c>
    </row>
    <row r="256" spans="1:9" x14ac:dyDescent="0.35">
      <c r="A256">
        <v>64</v>
      </c>
      <c r="B256">
        <v>9306</v>
      </c>
      <c r="C256" t="s">
        <v>16</v>
      </c>
      <c r="D256" t="s">
        <v>419</v>
      </c>
      <c r="E256" t="s">
        <v>874</v>
      </c>
      <c r="F256" t="s">
        <v>431</v>
      </c>
      <c r="G256" t="s">
        <v>875</v>
      </c>
      <c r="H256" s="2">
        <v>46098</v>
      </c>
    </row>
    <row r="257" spans="1:11" x14ac:dyDescent="0.35">
      <c r="A257">
        <v>451</v>
      </c>
      <c r="B257">
        <v>9434</v>
      </c>
      <c r="C257" t="s">
        <v>16</v>
      </c>
      <c r="D257" t="s">
        <v>419</v>
      </c>
      <c r="E257" t="s">
        <v>876</v>
      </c>
      <c r="F257" t="s">
        <v>596</v>
      </c>
      <c r="G257" t="s">
        <v>877</v>
      </c>
      <c r="H257" s="2">
        <v>46092</v>
      </c>
    </row>
    <row r="258" spans="1:11" x14ac:dyDescent="0.35">
      <c r="A258">
        <v>957</v>
      </c>
      <c r="B258">
        <v>9512</v>
      </c>
      <c r="C258" t="s">
        <v>16</v>
      </c>
      <c r="D258" t="s">
        <v>419</v>
      </c>
      <c r="E258" t="s">
        <v>878</v>
      </c>
      <c r="F258" t="s">
        <v>439</v>
      </c>
      <c r="G258" t="s">
        <v>879</v>
      </c>
      <c r="H258" s="2">
        <v>46086</v>
      </c>
      <c r="I258" t="s">
        <v>443</v>
      </c>
    </row>
    <row r="259" spans="1:11" x14ac:dyDescent="0.35">
      <c r="A259">
        <v>957</v>
      </c>
      <c r="B259">
        <v>9513</v>
      </c>
      <c r="C259" t="s">
        <v>16</v>
      </c>
      <c r="D259" t="s">
        <v>419</v>
      </c>
      <c r="E259" t="s">
        <v>878</v>
      </c>
      <c r="F259" t="s">
        <v>439</v>
      </c>
      <c r="G259" t="s">
        <v>879</v>
      </c>
      <c r="H259" s="2">
        <v>46086</v>
      </c>
      <c r="I259" t="s">
        <v>443</v>
      </c>
    </row>
    <row r="260" spans="1:11" x14ac:dyDescent="0.35">
      <c r="A260">
        <v>367</v>
      </c>
      <c r="B260">
        <v>9580</v>
      </c>
      <c r="C260" t="s">
        <v>16</v>
      </c>
      <c r="D260" t="s">
        <v>419</v>
      </c>
      <c r="E260" t="s">
        <v>880</v>
      </c>
      <c r="F260" t="s">
        <v>454</v>
      </c>
      <c r="G260" t="s">
        <v>881</v>
      </c>
      <c r="H260" s="2">
        <v>46093</v>
      </c>
    </row>
    <row r="261" spans="1:11" x14ac:dyDescent="0.35">
      <c r="A261">
        <v>890</v>
      </c>
      <c r="B261">
        <v>9584</v>
      </c>
      <c r="C261" t="s">
        <v>16</v>
      </c>
      <c r="D261" t="s">
        <v>419</v>
      </c>
      <c r="E261" t="s">
        <v>882</v>
      </c>
      <c r="F261" t="s">
        <v>454</v>
      </c>
      <c r="G261" t="s">
        <v>883</v>
      </c>
      <c r="H261" s="2">
        <v>46099</v>
      </c>
    </row>
    <row r="262" spans="1:11" x14ac:dyDescent="0.35">
      <c r="A262">
        <v>229</v>
      </c>
      <c r="B262">
        <v>9604</v>
      </c>
      <c r="C262" t="s">
        <v>16</v>
      </c>
      <c r="D262" t="s">
        <v>419</v>
      </c>
      <c r="E262" t="s">
        <v>884</v>
      </c>
      <c r="F262" t="s">
        <v>667</v>
      </c>
      <c r="G262" t="s">
        <v>885</v>
      </c>
      <c r="H262" s="2">
        <v>46091</v>
      </c>
    </row>
    <row r="263" spans="1:11" x14ac:dyDescent="0.35">
      <c r="A263">
        <v>229</v>
      </c>
      <c r="B263">
        <v>9605</v>
      </c>
      <c r="C263" t="s">
        <v>16</v>
      </c>
      <c r="D263" t="s">
        <v>419</v>
      </c>
      <c r="E263" t="s">
        <v>884</v>
      </c>
      <c r="F263" t="s">
        <v>667</v>
      </c>
      <c r="G263" t="s">
        <v>885</v>
      </c>
      <c r="H263" s="2">
        <v>46091</v>
      </c>
    </row>
    <row r="264" spans="1:11" x14ac:dyDescent="0.35">
      <c r="A264">
        <v>551</v>
      </c>
      <c r="B264">
        <v>9643</v>
      </c>
      <c r="C264" t="s">
        <v>16</v>
      </c>
      <c r="D264" t="s">
        <v>419</v>
      </c>
      <c r="E264" t="s">
        <v>886</v>
      </c>
      <c r="F264" t="s">
        <v>428</v>
      </c>
      <c r="G264" t="s">
        <v>887</v>
      </c>
      <c r="H264" s="2">
        <v>46093</v>
      </c>
    </row>
    <row r="265" spans="1:11" x14ac:dyDescent="0.35">
      <c r="A265">
        <v>551</v>
      </c>
      <c r="B265">
        <v>9644</v>
      </c>
      <c r="C265" t="s">
        <v>16</v>
      </c>
      <c r="D265" t="s">
        <v>419</v>
      </c>
      <c r="E265" t="s">
        <v>886</v>
      </c>
      <c r="F265" t="s">
        <v>428</v>
      </c>
      <c r="G265" t="s">
        <v>887</v>
      </c>
      <c r="H265" s="2">
        <v>46093</v>
      </c>
    </row>
    <row r="266" spans="1:11" x14ac:dyDescent="0.35">
      <c r="A266">
        <v>876</v>
      </c>
      <c r="B266">
        <v>9682</v>
      </c>
      <c r="C266" t="s">
        <v>16</v>
      </c>
      <c r="D266" t="s">
        <v>419</v>
      </c>
      <c r="E266" t="s">
        <v>888</v>
      </c>
      <c r="F266" t="s">
        <v>439</v>
      </c>
      <c r="G266" t="s">
        <v>889</v>
      </c>
      <c r="H266" s="2">
        <v>46093</v>
      </c>
    </row>
    <row r="267" spans="1:11" x14ac:dyDescent="0.35">
      <c r="A267">
        <v>849</v>
      </c>
      <c r="B267">
        <v>9724</v>
      </c>
      <c r="C267" t="s">
        <v>16</v>
      </c>
      <c r="D267" t="s">
        <v>419</v>
      </c>
      <c r="E267" t="s">
        <v>890</v>
      </c>
      <c r="F267" t="s">
        <v>454</v>
      </c>
      <c r="G267" t="s">
        <v>891</v>
      </c>
      <c r="H267" s="2">
        <v>46091</v>
      </c>
    </row>
    <row r="268" spans="1:11" x14ac:dyDescent="0.35">
      <c r="A268">
        <v>849</v>
      </c>
      <c r="B268">
        <v>9725</v>
      </c>
      <c r="C268" t="s">
        <v>16</v>
      </c>
      <c r="D268" t="s">
        <v>419</v>
      </c>
      <c r="E268" t="s">
        <v>890</v>
      </c>
      <c r="F268" t="s">
        <v>454</v>
      </c>
      <c r="G268" t="s">
        <v>891</v>
      </c>
      <c r="H268" s="2">
        <v>46091</v>
      </c>
    </row>
    <row r="269" spans="1:11" x14ac:dyDescent="0.35">
      <c r="A269">
        <v>516</v>
      </c>
      <c r="B269">
        <v>9729</v>
      </c>
      <c r="C269" t="s">
        <v>16</v>
      </c>
      <c r="D269" t="s">
        <v>419</v>
      </c>
      <c r="E269" t="s">
        <v>892</v>
      </c>
      <c r="F269" t="s">
        <v>492</v>
      </c>
      <c r="G269" t="s">
        <v>893</v>
      </c>
      <c r="H269" s="2">
        <v>46099</v>
      </c>
    </row>
    <row r="270" spans="1:11" x14ac:dyDescent="0.35">
      <c r="A270">
        <v>499</v>
      </c>
      <c r="B270">
        <v>9810</v>
      </c>
      <c r="C270" t="s">
        <v>16</v>
      </c>
      <c r="D270" t="s">
        <v>419</v>
      </c>
      <c r="E270" t="s">
        <v>894</v>
      </c>
      <c r="F270" t="s">
        <v>603</v>
      </c>
      <c r="G270" t="s">
        <v>895</v>
      </c>
      <c r="H270" s="2">
        <v>46098</v>
      </c>
    </row>
    <row r="271" spans="1:11" x14ac:dyDescent="0.35">
      <c r="A271">
        <v>499</v>
      </c>
      <c r="B271">
        <v>9811</v>
      </c>
      <c r="C271" t="s">
        <v>16</v>
      </c>
      <c r="D271" t="s">
        <v>419</v>
      </c>
      <c r="E271" t="s">
        <v>894</v>
      </c>
      <c r="F271" t="s">
        <v>603</v>
      </c>
      <c r="G271" t="s">
        <v>895</v>
      </c>
      <c r="H271" s="2">
        <v>46098</v>
      </c>
    </row>
    <row r="272" spans="1:11" x14ac:dyDescent="0.35">
      <c r="A272">
        <v>264</v>
      </c>
      <c r="B272">
        <v>9906</v>
      </c>
      <c r="C272" t="s">
        <v>16</v>
      </c>
      <c r="D272" t="s">
        <v>419</v>
      </c>
      <c r="E272" t="s">
        <v>896</v>
      </c>
      <c r="F272" t="s">
        <v>667</v>
      </c>
      <c r="G272" t="s">
        <v>897</v>
      </c>
      <c r="H272" s="2">
        <v>46091</v>
      </c>
      <c r="K272" t="s">
        <v>898</v>
      </c>
    </row>
    <row r="273" spans="1:11" x14ac:dyDescent="0.35">
      <c r="A273">
        <v>57</v>
      </c>
      <c r="B273">
        <v>9963</v>
      </c>
      <c r="C273" t="s">
        <v>16</v>
      </c>
      <c r="D273" t="s">
        <v>419</v>
      </c>
      <c r="E273" t="s">
        <v>899</v>
      </c>
      <c r="F273" t="s">
        <v>454</v>
      </c>
      <c r="G273" t="s">
        <v>900</v>
      </c>
      <c r="H273" s="2">
        <v>46099</v>
      </c>
      <c r="I273" t="s">
        <v>443</v>
      </c>
    </row>
    <row r="274" spans="1:11" x14ac:dyDescent="0.35">
      <c r="A274">
        <v>4</v>
      </c>
      <c r="B274">
        <v>316</v>
      </c>
      <c r="C274" t="s">
        <v>16</v>
      </c>
      <c r="D274" t="s">
        <v>419</v>
      </c>
      <c r="E274" t="s">
        <v>846</v>
      </c>
      <c r="F274" t="s">
        <v>428</v>
      </c>
      <c r="G274" t="s">
        <v>847</v>
      </c>
      <c r="H274" s="2">
        <v>46099</v>
      </c>
      <c r="K274" t="s">
        <v>901</v>
      </c>
    </row>
    <row r="275" spans="1:11" x14ac:dyDescent="0.35">
      <c r="A275">
        <v>499</v>
      </c>
      <c r="B275">
        <v>172</v>
      </c>
      <c r="C275" t="s">
        <v>22</v>
      </c>
      <c r="D275" t="s">
        <v>419</v>
      </c>
      <c r="E275" t="s">
        <v>894</v>
      </c>
      <c r="F275" t="s">
        <v>603</v>
      </c>
      <c r="G275" t="s">
        <v>895</v>
      </c>
      <c r="H275" s="2">
        <v>46098</v>
      </c>
      <c r="K275" t="s">
        <v>902</v>
      </c>
    </row>
    <row r="276" spans="1:11" x14ac:dyDescent="0.35">
      <c r="A276">
        <v>292</v>
      </c>
      <c r="B276">
        <v>278</v>
      </c>
      <c r="C276" t="s">
        <v>16</v>
      </c>
      <c r="D276" t="s">
        <v>419</v>
      </c>
      <c r="E276" t="s">
        <v>589</v>
      </c>
      <c r="F276" t="s">
        <v>425</v>
      </c>
      <c r="G276" t="s">
        <v>590</v>
      </c>
      <c r="H276" s="2">
        <v>46098</v>
      </c>
      <c r="K276" t="s">
        <v>902</v>
      </c>
    </row>
    <row r="277" spans="1:11" x14ac:dyDescent="0.35">
      <c r="A277">
        <v>306</v>
      </c>
      <c r="B277">
        <v>428</v>
      </c>
      <c r="C277" t="s">
        <v>22</v>
      </c>
      <c r="D277" t="s">
        <v>419</v>
      </c>
      <c r="E277" t="s">
        <v>789</v>
      </c>
      <c r="F277" t="s">
        <v>469</v>
      </c>
      <c r="G277" t="s">
        <v>790</v>
      </c>
      <c r="H277" s="2">
        <v>46099</v>
      </c>
    </row>
    <row r="278" spans="1:11" x14ac:dyDescent="0.35">
      <c r="A278">
        <v>214</v>
      </c>
      <c r="B278">
        <v>1469</v>
      </c>
      <c r="C278" t="s">
        <v>16</v>
      </c>
      <c r="D278" t="s">
        <v>419</v>
      </c>
      <c r="E278" t="s">
        <v>903</v>
      </c>
      <c r="F278" t="s">
        <v>421</v>
      </c>
      <c r="G278" t="s">
        <v>904</v>
      </c>
      <c r="H278" s="2">
        <v>46099</v>
      </c>
      <c r="K278" t="s">
        <v>905</v>
      </c>
    </row>
    <row r="279" spans="1:11" x14ac:dyDescent="0.35">
      <c r="A279">
        <v>185</v>
      </c>
      <c r="B279">
        <v>2208</v>
      </c>
      <c r="C279" t="s">
        <v>22</v>
      </c>
      <c r="D279" t="s">
        <v>419</v>
      </c>
      <c r="E279" t="s">
        <v>906</v>
      </c>
      <c r="F279" t="s">
        <v>770</v>
      </c>
      <c r="G279" t="s">
        <v>907</v>
      </c>
      <c r="H279" s="2">
        <v>46086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1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908</v>
      </c>
      <c r="B1" s="1" t="s">
        <v>909</v>
      </c>
      <c r="C1" s="1" t="s">
        <v>910</v>
      </c>
      <c r="D1" s="1" t="s">
        <v>911</v>
      </c>
      <c r="E1" s="1" t="s">
        <v>912</v>
      </c>
      <c r="F1" s="1" t="s">
        <v>913</v>
      </c>
      <c r="G1" s="1" t="s">
        <v>914</v>
      </c>
    </row>
    <row r="2" spans="1:7" x14ac:dyDescent="0.35">
      <c r="A2" t="s">
        <v>915</v>
      </c>
    </row>
    <row r="3" spans="1:7" x14ac:dyDescent="0.35">
      <c r="A3" t="s">
        <v>916</v>
      </c>
      <c r="B3" t="s">
        <v>917</v>
      </c>
    </row>
    <row r="5" spans="1:7" x14ac:dyDescent="0.35">
      <c r="B5" t="s">
        <v>18</v>
      </c>
    </row>
    <row r="6" spans="1:7" x14ac:dyDescent="0.35">
      <c r="B6" t="s">
        <v>918</v>
      </c>
    </row>
    <row r="7" spans="1:7" x14ac:dyDescent="0.35">
      <c r="A7" t="s">
        <v>919</v>
      </c>
      <c r="B7" t="s">
        <v>83</v>
      </c>
    </row>
    <row r="8" spans="1:7" x14ac:dyDescent="0.35">
      <c r="A8" t="s">
        <v>920</v>
      </c>
      <c r="B8" t="s">
        <v>112</v>
      </c>
    </row>
    <row r="9" spans="1:7" x14ac:dyDescent="0.35">
      <c r="A9" t="s">
        <v>921</v>
      </c>
      <c r="B9" t="s">
        <v>922</v>
      </c>
    </row>
    <row r="10" spans="1:7" x14ac:dyDescent="0.35">
      <c r="A10" t="s">
        <v>923</v>
      </c>
      <c r="B10" t="s">
        <v>924</v>
      </c>
    </row>
    <row r="11" spans="1:7" x14ac:dyDescent="0.35">
      <c r="A11" t="s">
        <v>925</v>
      </c>
      <c r="B11" t="s">
        <v>926</v>
      </c>
    </row>
    <row r="12" spans="1:7" x14ac:dyDescent="0.35">
      <c r="A12" t="s">
        <v>927</v>
      </c>
      <c r="B12" t="s">
        <v>928</v>
      </c>
    </row>
    <row r="13" spans="1:7" x14ac:dyDescent="0.35">
      <c r="A13" t="s">
        <v>929</v>
      </c>
      <c r="B13" t="s">
        <v>930</v>
      </c>
    </row>
    <row r="14" spans="1:7" x14ac:dyDescent="0.35">
      <c r="A14" t="s">
        <v>931</v>
      </c>
    </row>
    <row r="17" spans="1:1" x14ac:dyDescent="0.35">
      <c r="A17" t="s">
        <v>932</v>
      </c>
    </row>
    <row r="18" spans="1:1" x14ac:dyDescent="0.35">
      <c r="A18" t="s">
        <v>933</v>
      </c>
    </row>
    <row r="20" spans="1:1" x14ac:dyDescent="0.35">
      <c r="A20" t="s">
        <v>934</v>
      </c>
    </row>
    <row r="21" spans="1:1" x14ac:dyDescent="0.35">
      <c r="A21" t="s">
        <v>935</v>
      </c>
    </row>
    <row r="22" spans="1:1" x14ac:dyDescent="0.35">
      <c r="A22" t="s">
        <v>936</v>
      </c>
    </row>
    <row r="23" spans="1:1" x14ac:dyDescent="0.35">
      <c r="A23" t="s">
        <v>937</v>
      </c>
    </row>
    <row r="24" spans="1:1" x14ac:dyDescent="0.35">
      <c r="A24" t="s">
        <v>938</v>
      </c>
    </row>
    <row r="25" spans="1:1" x14ac:dyDescent="0.35">
      <c r="A25" t="s">
        <v>939</v>
      </c>
    </row>
    <row r="27" spans="1:1" x14ac:dyDescent="0.35">
      <c r="A27" t="s">
        <v>940</v>
      </c>
    </row>
    <row r="30" spans="1:1" x14ac:dyDescent="0.35">
      <c r="A30" t="s">
        <v>941</v>
      </c>
    </row>
    <row r="611" spans="7:7" x14ac:dyDescent="0.35">
      <c r="G611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6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942</v>
      </c>
      <c r="B1" s="1" t="s">
        <v>943</v>
      </c>
      <c r="C1" s="1" t="s">
        <v>944</v>
      </c>
      <c r="D1" s="1" t="s">
        <v>945</v>
      </c>
      <c r="E1" s="1" t="s">
        <v>946</v>
      </c>
      <c r="F1" s="1" t="s">
        <v>947</v>
      </c>
    </row>
    <row r="2" spans="1:6" x14ac:dyDescent="0.35">
      <c r="A2">
        <v>574</v>
      </c>
      <c r="B2">
        <v>331</v>
      </c>
      <c r="C2">
        <v>574</v>
      </c>
      <c r="D2" t="s">
        <v>419</v>
      </c>
      <c r="E2" t="s">
        <v>948</v>
      </c>
      <c r="F2" t="s">
        <v>16</v>
      </c>
    </row>
    <row r="3" spans="1:6" x14ac:dyDescent="0.35">
      <c r="A3">
        <v>575</v>
      </c>
      <c r="B3">
        <v>331</v>
      </c>
      <c r="C3">
        <v>575</v>
      </c>
      <c r="D3" t="s">
        <v>419</v>
      </c>
      <c r="E3" t="s">
        <v>948</v>
      </c>
      <c r="F3" t="s">
        <v>16</v>
      </c>
    </row>
    <row r="4" spans="1:6" x14ac:dyDescent="0.35">
      <c r="A4">
        <v>788</v>
      </c>
      <c r="B4">
        <v>61</v>
      </c>
      <c r="C4">
        <v>788</v>
      </c>
      <c r="D4" t="s">
        <v>419</v>
      </c>
      <c r="E4" t="s">
        <v>948</v>
      </c>
      <c r="F4" t="s">
        <v>16</v>
      </c>
    </row>
    <row r="5" spans="1:6" x14ac:dyDescent="0.35">
      <c r="A5">
        <v>907</v>
      </c>
      <c r="B5">
        <v>287</v>
      </c>
      <c r="C5">
        <v>907</v>
      </c>
      <c r="D5" t="s">
        <v>419</v>
      </c>
      <c r="E5" t="s">
        <v>948</v>
      </c>
      <c r="F5" t="s">
        <v>22</v>
      </c>
    </row>
    <row r="6" spans="1:6" x14ac:dyDescent="0.35">
      <c r="A6">
        <v>1010</v>
      </c>
      <c r="B6">
        <v>481</v>
      </c>
      <c r="C6">
        <v>1010</v>
      </c>
      <c r="D6" t="s">
        <v>419</v>
      </c>
      <c r="E6" t="s">
        <v>948</v>
      </c>
      <c r="F6" t="s">
        <v>16</v>
      </c>
    </row>
    <row r="7" spans="1:6" x14ac:dyDescent="0.35">
      <c r="A7">
        <v>1011</v>
      </c>
      <c r="B7">
        <v>481</v>
      </c>
      <c r="C7">
        <v>1011</v>
      </c>
      <c r="D7" t="s">
        <v>419</v>
      </c>
      <c r="E7" t="s">
        <v>948</v>
      </c>
      <c r="F7" t="s">
        <v>16</v>
      </c>
    </row>
    <row r="8" spans="1:6" x14ac:dyDescent="0.35">
      <c r="A8">
        <v>1027</v>
      </c>
      <c r="B8">
        <v>795</v>
      </c>
      <c r="C8">
        <v>1027</v>
      </c>
      <c r="D8" t="s">
        <v>419</v>
      </c>
      <c r="E8" t="s">
        <v>948</v>
      </c>
      <c r="F8" t="s">
        <v>16</v>
      </c>
    </row>
    <row r="9" spans="1:6" x14ac:dyDescent="0.35">
      <c r="A9">
        <v>1028</v>
      </c>
      <c r="B9">
        <v>795</v>
      </c>
      <c r="C9">
        <v>1028</v>
      </c>
      <c r="D9" t="s">
        <v>419</v>
      </c>
      <c r="E9" t="s">
        <v>948</v>
      </c>
      <c r="F9" t="s">
        <v>16</v>
      </c>
    </row>
    <row r="10" spans="1:6" x14ac:dyDescent="0.35">
      <c r="A10">
        <v>1029</v>
      </c>
      <c r="B10">
        <v>795</v>
      </c>
      <c r="C10">
        <v>1029</v>
      </c>
      <c r="D10" t="s">
        <v>419</v>
      </c>
      <c r="E10" t="s">
        <v>948</v>
      </c>
      <c r="F10" t="s">
        <v>16</v>
      </c>
    </row>
    <row r="11" spans="1:6" x14ac:dyDescent="0.35">
      <c r="A11">
        <v>1477</v>
      </c>
      <c r="B11">
        <v>745</v>
      </c>
      <c r="C11">
        <v>1477</v>
      </c>
      <c r="D11" t="s">
        <v>419</v>
      </c>
      <c r="E11" t="s">
        <v>948</v>
      </c>
      <c r="F11" t="s">
        <v>16</v>
      </c>
    </row>
    <row r="12" spans="1:6" x14ac:dyDescent="0.35">
      <c r="A12">
        <v>1508</v>
      </c>
      <c r="B12">
        <v>377</v>
      </c>
      <c r="C12">
        <v>1508</v>
      </c>
      <c r="D12" t="s">
        <v>419</v>
      </c>
      <c r="E12" t="s">
        <v>948</v>
      </c>
      <c r="F12" t="s">
        <v>22</v>
      </c>
    </row>
    <row r="13" spans="1:6" x14ac:dyDescent="0.35">
      <c r="A13">
        <v>1515</v>
      </c>
      <c r="B13">
        <v>692</v>
      </c>
      <c r="C13">
        <v>1515</v>
      </c>
      <c r="D13" t="s">
        <v>419</v>
      </c>
      <c r="E13" t="s">
        <v>948</v>
      </c>
      <c r="F13" t="s">
        <v>16</v>
      </c>
    </row>
    <row r="14" spans="1:6" x14ac:dyDescent="0.35">
      <c r="A14">
        <v>1516</v>
      </c>
      <c r="B14">
        <v>692</v>
      </c>
      <c r="C14">
        <v>1516</v>
      </c>
      <c r="D14" t="s">
        <v>419</v>
      </c>
      <c r="E14" t="s">
        <v>948</v>
      </c>
      <c r="F14" t="s">
        <v>16</v>
      </c>
    </row>
    <row r="15" spans="1:6" x14ac:dyDescent="0.35">
      <c r="A15">
        <v>1528</v>
      </c>
      <c r="B15">
        <v>395</v>
      </c>
      <c r="C15">
        <v>1528</v>
      </c>
      <c r="D15" t="s">
        <v>419</v>
      </c>
      <c r="E15" t="s">
        <v>948</v>
      </c>
      <c r="F15" t="s">
        <v>16</v>
      </c>
    </row>
    <row r="16" spans="1:6" x14ac:dyDescent="0.35">
      <c r="A16">
        <v>1529</v>
      </c>
      <c r="B16">
        <v>395</v>
      </c>
      <c r="C16">
        <v>1529</v>
      </c>
      <c r="D16" t="s">
        <v>419</v>
      </c>
      <c r="E16" t="s">
        <v>948</v>
      </c>
      <c r="F16" t="s">
        <v>16</v>
      </c>
    </row>
    <row r="17" spans="1:6" x14ac:dyDescent="0.35">
      <c r="A17">
        <v>1541</v>
      </c>
      <c r="B17">
        <v>141</v>
      </c>
      <c r="C17">
        <v>1541</v>
      </c>
      <c r="D17" t="s">
        <v>419</v>
      </c>
      <c r="E17" t="s">
        <v>948</v>
      </c>
      <c r="F17" t="s">
        <v>16</v>
      </c>
    </row>
    <row r="18" spans="1:6" x14ac:dyDescent="0.35">
      <c r="A18">
        <v>1565</v>
      </c>
      <c r="B18">
        <v>438</v>
      </c>
      <c r="C18">
        <v>1565</v>
      </c>
      <c r="D18" t="s">
        <v>419</v>
      </c>
      <c r="E18" t="s">
        <v>948</v>
      </c>
      <c r="F18" t="s">
        <v>16</v>
      </c>
    </row>
    <row r="19" spans="1:6" x14ac:dyDescent="0.35">
      <c r="A19">
        <v>2254</v>
      </c>
      <c r="B19">
        <v>108</v>
      </c>
      <c r="C19">
        <v>2254</v>
      </c>
      <c r="D19" t="s">
        <v>419</v>
      </c>
      <c r="E19" t="s">
        <v>948</v>
      </c>
      <c r="F19" t="s">
        <v>22</v>
      </c>
    </row>
    <row r="20" spans="1:6" x14ac:dyDescent="0.35">
      <c r="A20">
        <v>2444</v>
      </c>
      <c r="B20">
        <v>322</v>
      </c>
      <c r="C20">
        <v>2444</v>
      </c>
      <c r="D20" t="s">
        <v>419</v>
      </c>
      <c r="E20" t="s">
        <v>948</v>
      </c>
      <c r="F20" t="s">
        <v>16</v>
      </c>
    </row>
    <row r="21" spans="1:6" x14ac:dyDescent="0.35">
      <c r="A21">
        <v>5000</v>
      </c>
      <c r="B21">
        <v>1</v>
      </c>
      <c r="C21">
        <v>5000</v>
      </c>
      <c r="D21" t="s">
        <v>419</v>
      </c>
      <c r="E21" t="s">
        <v>948</v>
      </c>
      <c r="F21" t="s">
        <v>16</v>
      </c>
    </row>
    <row r="22" spans="1:6" x14ac:dyDescent="0.35">
      <c r="A22">
        <v>5001</v>
      </c>
      <c r="B22">
        <v>6</v>
      </c>
      <c r="C22">
        <v>5001</v>
      </c>
      <c r="D22" t="s">
        <v>419</v>
      </c>
      <c r="E22" t="s">
        <v>948</v>
      </c>
      <c r="F22" t="s">
        <v>16</v>
      </c>
    </row>
    <row r="23" spans="1:6" x14ac:dyDescent="0.35">
      <c r="A23">
        <v>5002</v>
      </c>
      <c r="B23">
        <v>59</v>
      </c>
      <c r="C23">
        <v>5002</v>
      </c>
      <c r="D23" t="s">
        <v>419</v>
      </c>
      <c r="E23" t="s">
        <v>948</v>
      </c>
      <c r="F23" t="s">
        <v>16</v>
      </c>
    </row>
    <row r="24" spans="1:6" x14ac:dyDescent="0.35">
      <c r="A24">
        <v>5005</v>
      </c>
      <c r="B24">
        <v>361</v>
      </c>
      <c r="C24">
        <v>5005</v>
      </c>
      <c r="D24" t="s">
        <v>419</v>
      </c>
      <c r="E24" t="s">
        <v>948</v>
      </c>
      <c r="F24" t="s">
        <v>16</v>
      </c>
    </row>
    <row r="25" spans="1:6" x14ac:dyDescent="0.35">
      <c r="A25">
        <v>5009</v>
      </c>
      <c r="B25">
        <v>777</v>
      </c>
      <c r="C25">
        <v>5009</v>
      </c>
      <c r="D25" t="s">
        <v>419</v>
      </c>
      <c r="E25" t="s">
        <v>948</v>
      </c>
      <c r="F25" t="s">
        <v>16</v>
      </c>
    </row>
    <row r="26" spans="1:6" x14ac:dyDescent="0.35">
      <c r="A26">
        <v>5013</v>
      </c>
      <c r="B26">
        <v>779</v>
      </c>
      <c r="C26">
        <v>5013</v>
      </c>
      <c r="D26" t="s">
        <v>419</v>
      </c>
      <c r="E26" t="s">
        <v>948</v>
      </c>
      <c r="F26" t="s">
        <v>16</v>
      </c>
    </row>
    <row r="27" spans="1:6" x14ac:dyDescent="0.35">
      <c r="A27">
        <v>5019</v>
      </c>
      <c r="B27">
        <v>907</v>
      </c>
      <c r="C27">
        <v>5019</v>
      </c>
      <c r="D27" t="s">
        <v>419</v>
      </c>
      <c r="E27" t="s">
        <v>948</v>
      </c>
      <c r="F27" t="s">
        <v>16</v>
      </c>
    </row>
    <row r="28" spans="1:6" x14ac:dyDescent="0.35">
      <c r="A28">
        <v>5020</v>
      </c>
      <c r="B28">
        <v>882</v>
      </c>
      <c r="C28">
        <v>5020</v>
      </c>
      <c r="D28" t="s">
        <v>419</v>
      </c>
      <c r="E28" t="s">
        <v>948</v>
      </c>
      <c r="F28" t="s">
        <v>16</v>
      </c>
    </row>
    <row r="29" spans="1:6" x14ac:dyDescent="0.35">
      <c r="A29">
        <v>5021</v>
      </c>
      <c r="B29">
        <v>277</v>
      </c>
      <c r="C29">
        <v>5021</v>
      </c>
      <c r="D29" t="s">
        <v>419</v>
      </c>
      <c r="E29" t="s">
        <v>948</v>
      </c>
      <c r="F29" t="s">
        <v>16</v>
      </c>
    </row>
    <row r="30" spans="1:6" x14ac:dyDescent="0.35">
      <c r="A30">
        <v>5023</v>
      </c>
      <c r="B30">
        <v>825</v>
      </c>
      <c r="C30">
        <v>5023</v>
      </c>
      <c r="D30" t="s">
        <v>419</v>
      </c>
      <c r="E30" t="s">
        <v>948</v>
      </c>
      <c r="F30" t="s">
        <v>16</v>
      </c>
    </row>
    <row r="31" spans="1:6" x14ac:dyDescent="0.35">
      <c r="A31">
        <v>5027</v>
      </c>
      <c r="B31">
        <v>32</v>
      </c>
      <c r="C31">
        <v>5027</v>
      </c>
      <c r="D31" t="s">
        <v>419</v>
      </c>
      <c r="E31" t="s">
        <v>948</v>
      </c>
      <c r="F31" t="s">
        <v>16</v>
      </c>
    </row>
    <row r="32" spans="1:6" x14ac:dyDescent="0.35">
      <c r="A32">
        <v>5030</v>
      </c>
      <c r="B32">
        <v>167</v>
      </c>
      <c r="C32">
        <v>5030</v>
      </c>
      <c r="D32" t="s">
        <v>419</v>
      </c>
      <c r="E32" t="s">
        <v>948</v>
      </c>
      <c r="F32" t="s">
        <v>16</v>
      </c>
    </row>
    <row r="33" spans="1:6" x14ac:dyDescent="0.35">
      <c r="A33">
        <v>5034</v>
      </c>
      <c r="B33">
        <v>275</v>
      </c>
      <c r="C33">
        <v>5034</v>
      </c>
      <c r="D33" t="s">
        <v>419</v>
      </c>
      <c r="E33" t="s">
        <v>948</v>
      </c>
      <c r="F33" t="s">
        <v>16</v>
      </c>
    </row>
    <row r="34" spans="1:6" x14ac:dyDescent="0.35">
      <c r="A34">
        <v>5036</v>
      </c>
      <c r="B34">
        <v>81</v>
      </c>
      <c r="C34">
        <v>5036</v>
      </c>
      <c r="D34" t="s">
        <v>419</v>
      </c>
      <c r="E34" t="s">
        <v>948</v>
      </c>
      <c r="F34" t="s">
        <v>16</v>
      </c>
    </row>
    <row r="35" spans="1:6" x14ac:dyDescent="0.35">
      <c r="A35">
        <v>5040</v>
      </c>
      <c r="B35">
        <v>824</v>
      </c>
      <c r="C35">
        <v>5040</v>
      </c>
      <c r="D35" t="s">
        <v>419</v>
      </c>
      <c r="E35" t="s">
        <v>948</v>
      </c>
      <c r="F35" t="s">
        <v>16</v>
      </c>
    </row>
    <row r="36" spans="1:6" x14ac:dyDescent="0.35">
      <c r="A36">
        <v>5041</v>
      </c>
      <c r="B36">
        <v>154</v>
      </c>
      <c r="C36">
        <v>5041</v>
      </c>
      <c r="D36" t="s">
        <v>419</v>
      </c>
      <c r="E36" t="s">
        <v>948</v>
      </c>
      <c r="F36" t="s">
        <v>16</v>
      </c>
    </row>
    <row r="37" spans="1:6" x14ac:dyDescent="0.35">
      <c r="A37">
        <v>5043</v>
      </c>
      <c r="B37">
        <v>867</v>
      </c>
      <c r="C37">
        <v>5043</v>
      </c>
      <c r="D37" t="s">
        <v>419</v>
      </c>
      <c r="E37" t="s">
        <v>948</v>
      </c>
      <c r="F37" t="s">
        <v>16</v>
      </c>
    </row>
    <row r="38" spans="1:6" x14ac:dyDescent="0.35">
      <c r="A38">
        <v>5045</v>
      </c>
      <c r="B38">
        <v>879</v>
      </c>
      <c r="C38">
        <v>5045</v>
      </c>
      <c r="D38" t="s">
        <v>419</v>
      </c>
      <c r="E38" t="s">
        <v>948</v>
      </c>
      <c r="F38" t="s">
        <v>16</v>
      </c>
    </row>
    <row r="39" spans="1:6" x14ac:dyDescent="0.35">
      <c r="A39">
        <v>5046</v>
      </c>
      <c r="B39">
        <v>723</v>
      </c>
      <c r="C39">
        <v>5046</v>
      </c>
      <c r="D39" t="s">
        <v>419</v>
      </c>
      <c r="E39" t="s">
        <v>948</v>
      </c>
      <c r="F39" t="s">
        <v>16</v>
      </c>
    </row>
    <row r="40" spans="1:6" x14ac:dyDescent="0.35">
      <c r="A40">
        <v>5047</v>
      </c>
      <c r="B40">
        <v>623</v>
      </c>
      <c r="C40">
        <v>5047</v>
      </c>
      <c r="D40" t="s">
        <v>419</v>
      </c>
      <c r="E40" t="s">
        <v>948</v>
      </c>
      <c r="F40" t="s">
        <v>16</v>
      </c>
    </row>
    <row r="41" spans="1:6" x14ac:dyDescent="0.35">
      <c r="A41">
        <v>5048</v>
      </c>
      <c r="B41">
        <v>261</v>
      </c>
      <c r="C41">
        <v>5048</v>
      </c>
      <c r="D41" t="s">
        <v>419</v>
      </c>
      <c r="E41" t="s">
        <v>948</v>
      </c>
      <c r="F41" t="s">
        <v>16</v>
      </c>
    </row>
    <row r="42" spans="1:6" x14ac:dyDescent="0.35">
      <c r="A42">
        <v>5049</v>
      </c>
      <c r="B42">
        <v>682</v>
      </c>
      <c r="C42">
        <v>5049</v>
      </c>
      <c r="D42" t="s">
        <v>419</v>
      </c>
      <c r="E42" t="s">
        <v>948</v>
      </c>
      <c r="F42" t="s">
        <v>16</v>
      </c>
    </row>
    <row r="43" spans="1:6" x14ac:dyDescent="0.35">
      <c r="A43">
        <v>5050</v>
      </c>
      <c r="B43">
        <v>852</v>
      </c>
      <c r="C43">
        <v>5050</v>
      </c>
      <c r="D43" t="s">
        <v>419</v>
      </c>
      <c r="E43" t="s">
        <v>948</v>
      </c>
      <c r="F43" t="s">
        <v>16</v>
      </c>
    </row>
    <row r="44" spans="1:6" x14ac:dyDescent="0.35">
      <c r="A44">
        <v>5051</v>
      </c>
      <c r="B44">
        <v>769</v>
      </c>
      <c r="C44">
        <v>5051</v>
      </c>
      <c r="D44" t="s">
        <v>419</v>
      </c>
      <c r="E44" t="s">
        <v>948</v>
      </c>
      <c r="F44" t="s">
        <v>16</v>
      </c>
    </row>
    <row r="45" spans="1:6" x14ac:dyDescent="0.35">
      <c r="A45">
        <v>5052</v>
      </c>
      <c r="B45">
        <v>916</v>
      </c>
      <c r="C45">
        <v>5052</v>
      </c>
      <c r="D45" t="s">
        <v>419</v>
      </c>
      <c r="E45" t="s">
        <v>948</v>
      </c>
      <c r="F45" t="s">
        <v>16</v>
      </c>
    </row>
    <row r="46" spans="1:6" x14ac:dyDescent="0.35">
      <c r="A46">
        <v>5053</v>
      </c>
      <c r="B46">
        <v>517</v>
      </c>
      <c r="C46">
        <v>5053</v>
      </c>
      <c r="D46" t="s">
        <v>419</v>
      </c>
      <c r="E46" t="s">
        <v>948</v>
      </c>
      <c r="F46" t="s">
        <v>16</v>
      </c>
    </row>
    <row r="47" spans="1:6" x14ac:dyDescent="0.35">
      <c r="A47">
        <v>5057</v>
      </c>
      <c r="B47">
        <v>781</v>
      </c>
      <c r="C47">
        <v>5057</v>
      </c>
      <c r="D47" t="s">
        <v>419</v>
      </c>
      <c r="E47" t="s">
        <v>948</v>
      </c>
      <c r="F47" t="s">
        <v>16</v>
      </c>
    </row>
    <row r="48" spans="1:6" x14ac:dyDescent="0.35">
      <c r="A48">
        <v>5059</v>
      </c>
      <c r="B48">
        <v>7</v>
      </c>
      <c r="C48">
        <v>5059</v>
      </c>
      <c r="D48" t="s">
        <v>419</v>
      </c>
      <c r="E48" t="s">
        <v>948</v>
      </c>
      <c r="F48" t="s">
        <v>16</v>
      </c>
    </row>
    <row r="49" spans="1:6" x14ac:dyDescent="0.35">
      <c r="A49">
        <v>5064</v>
      </c>
      <c r="B49">
        <v>392</v>
      </c>
      <c r="C49">
        <v>5064</v>
      </c>
      <c r="D49" t="s">
        <v>419</v>
      </c>
      <c r="E49" t="s">
        <v>948</v>
      </c>
      <c r="F49" t="s">
        <v>16</v>
      </c>
    </row>
    <row r="50" spans="1:6" x14ac:dyDescent="0.35">
      <c r="A50">
        <v>5066</v>
      </c>
      <c r="B50">
        <v>24</v>
      </c>
      <c r="C50">
        <v>5066</v>
      </c>
      <c r="D50" t="s">
        <v>419</v>
      </c>
      <c r="E50" t="s">
        <v>948</v>
      </c>
      <c r="F50" t="s">
        <v>16</v>
      </c>
    </row>
    <row r="51" spans="1:6" x14ac:dyDescent="0.35">
      <c r="A51">
        <v>5067</v>
      </c>
      <c r="B51">
        <v>211</v>
      </c>
      <c r="C51">
        <v>5067</v>
      </c>
      <c r="D51" t="s">
        <v>419</v>
      </c>
      <c r="E51" t="s">
        <v>948</v>
      </c>
      <c r="F51" t="s">
        <v>16</v>
      </c>
    </row>
    <row r="52" spans="1:6" x14ac:dyDescent="0.35">
      <c r="A52">
        <v>5070</v>
      </c>
      <c r="B52">
        <v>652</v>
      </c>
      <c r="C52">
        <v>5070</v>
      </c>
      <c r="D52" t="s">
        <v>419</v>
      </c>
      <c r="E52" t="s">
        <v>948</v>
      </c>
      <c r="F52" t="s">
        <v>16</v>
      </c>
    </row>
    <row r="53" spans="1:6" x14ac:dyDescent="0.35">
      <c r="A53">
        <v>5076</v>
      </c>
      <c r="B53">
        <v>333</v>
      </c>
      <c r="C53">
        <v>5076</v>
      </c>
      <c r="D53" t="s">
        <v>419</v>
      </c>
      <c r="E53" t="s">
        <v>948</v>
      </c>
      <c r="F53" t="s">
        <v>16</v>
      </c>
    </row>
    <row r="54" spans="1:6" x14ac:dyDescent="0.35">
      <c r="A54">
        <v>5077</v>
      </c>
      <c r="B54">
        <v>419</v>
      </c>
      <c r="C54">
        <v>5077</v>
      </c>
      <c r="D54" t="s">
        <v>419</v>
      </c>
      <c r="E54" t="s">
        <v>948</v>
      </c>
      <c r="F54" t="s">
        <v>16</v>
      </c>
    </row>
    <row r="55" spans="1:6" x14ac:dyDescent="0.35">
      <c r="A55">
        <v>5078</v>
      </c>
      <c r="B55">
        <v>19</v>
      </c>
      <c r="C55">
        <v>5078</v>
      </c>
      <c r="D55" t="s">
        <v>419</v>
      </c>
      <c r="E55" t="s">
        <v>948</v>
      </c>
      <c r="F55" t="s">
        <v>16</v>
      </c>
    </row>
    <row r="56" spans="1:6" x14ac:dyDescent="0.35">
      <c r="A56">
        <v>5079</v>
      </c>
      <c r="B56">
        <v>8</v>
      </c>
      <c r="C56">
        <v>5079</v>
      </c>
      <c r="D56" t="s">
        <v>419</v>
      </c>
      <c r="E56" t="s">
        <v>948</v>
      </c>
      <c r="F56" t="s">
        <v>16</v>
      </c>
    </row>
    <row r="57" spans="1:6" x14ac:dyDescent="0.35">
      <c r="A57">
        <v>5080</v>
      </c>
      <c r="B57">
        <v>115</v>
      </c>
      <c r="C57">
        <v>5080</v>
      </c>
      <c r="D57" t="s">
        <v>419</v>
      </c>
      <c r="E57" t="s">
        <v>948</v>
      </c>
      <c r="F57" t="s">
        <v>16</v>
      </c>
    </row>
    <row r="58" spans="1:6" x14ac:dyDescent="0.35">
      <c r="A58">
        <v>5081</v>
      </c>
      <c r="B58">
        <v>486</v>
      </c>
      <c r="C58">
        <v>5081</v>
      </c>
      <c r="D58" t="s">
        <v>419</v>
      </c>
      <c r="E58" t="s">
        <v>948</v>
      </c>
      <c r="F58" t="s">
        <v>16</v>
      </c>
    </row>
    <row r="59" spans="1:6" x14ac:dyDescent="0.35">
      <c r="A59">
        <v>5082</v>
      </c>
      <c r="B59">
        <v>523</v>
      </c>
      <c r="C59">
        <v>5082</v>
      </c>
      <c r="D59" t="s">
        <v>419</v>
      </c>
      <c r="E59" t="s">
        <v>948</v>
      </c>
      <c r="F59" t="s">
        <v>16</v>
      </c>
    </row>
    <row r="60" spans="1:6" x14ac:dyDescent="0.35">
      <c r="A60">
        <v>5083</v>
      </c>
      <c r="B60">
        <v>265</v>
      </c>
      <c r="C60">
        <v>5083</v>
      </c>
      <c r="D60" t="s">
        <v>419</v>
      </c>
      <c r="E60" t="s">
        <v>948</v>
      </c>
      <c r="F60" t="s">
        <v>16</v>
      </c>
    </row>
    <row r="61" spans="1:6" x14ac:dyDescent="0.35">
      <c r="A61">
        <v>5084</v>
      </c>
      <c r="B61">
        <v>197</v>
      </c>
      <c r="C61">
        <v>5084</v>
      </c>
      <c r="D61" t="s">
        <v>419</v>
      </c>
      <c r="E61" t="s">
        <v>948</v>
      </c>
      <c r="F61" t="s">
        <v>16</v>
      </c>
    </row>
    <row r="62" spans="1:6" x14ac:dyDescent="0.35">
      <c r="A62">
        <v>5087</v>
      </c>
      <c r="B62">
        <v>634</v>
      </c>
      <c r="C62">
        <v>5087</v>
      </c>
      <c r="D62" t="s">
        <v>419</v>
      </c>
      <c r="E62" t="s">
        <v>948</v>
      </c>
      <c r="F62" t="s">
        <v>16</v>
      </c>
    </row>
    <row r="63" spans="1:6" x14ac:dyDescent="0.35">
      <c r="A63">
        <v>5102</v>
      </c>
      <c r="B63">
        <v>659</v>
      </c>
      <c r="C63">
        <v>5102</v>
      </c>
      <c r="D63" t="s">
        <v>419</v>
      </c>
      <c r="E63" t="s">
        <v>948</v>
      </c>
      <c r="F63" t="s">
        <v>16</v>
      </c>
    </row>
    <row r="64" spans="1:6" x14ac:dyDescent="0.35">
      <c r="A64">
        <v>5103</v>
      </c>
      <c r="B64">
        <v>656</v>
      </c>
      <c r="C64">
        <v>5103</v>
      </c>
      <c r="D64" t="s">
        <v>419</v>
      </c>
      <c r="E64" t="s">
        <v>948</v>
      </c>
      <c r="F64" t="s">
        <v>16</v>
      </c>
    </row>
    <row r="65" spans="1:6" x14ac:dyDescent="0.35">
      <c r="A65">
        <v>5104</v>
      </c>
      <c r="B65">
        <v>430</v>
      </c>
      <c r="C65">
        <v>5104</v>
      </c>
      <c r="D65" t="s">
        <v>419</v>
      </c>
      <c r="E65" t="s">
        <v>948</v>
      </c>
      <c r="F65" t="s">
        <v>16</v>
      </c>
    </row>
    <row r="66" spans="1:6" x14ac:dyDescent="0.35">
      <c r="A66">
        <v>5106</v>
      </c>
      <c r="B66">
        <v>743</v>
      </c>
      <c r="C66">
        <v>5106</v>
      </c>
      <c r="D66" t="s">
        <v>419</v>
      </c>
      <c r="E66" t="s">
        <v>948</v>
      </c>
      <c r="F66" t="s">
        <v>16</v>
      </c>
    </row>
    <row r="67" spans="1:6" x14ac:dyDescent="0.35">
      <c r="A67">
        <v>5108</v>
      </c>
      <c r="B67">
        <v>73</v>
      </c>
      <c r="C67">
        <v>5108</v>
      </c>
      <c r="D67" t="s">
        <v>419</v>
      </c>
      <c r="E67" t="s">
        <v>948</v>
      </c>
      <c r="F67" t="s">
        <v>16</v>
      </c>
    </row>
    <row r="68" spans="1:6" x14ac:dyDescent="0.35">
      <c r="A68">
        <v>5111</v>
      </c>
      <c r="B68">
        <v>88</v>
      </c>
      <c r="C68">
        <v>5111</v>
      </c>
      <c r="D68" t="s">
        <v>419</v>
      </c>
      <c r="E68" t="s">
        <v>948</v>
      </c>
      <c r="F68" t="s">
        <v>16</v>
      </c>
    </row>
    <row r="69" spans="1:6" x14ac:dyDescent="0.35">
      <c r="A69">
        <v>5112</v>
      </c>
      <c r="B69">
        <v>191</v>
      </c>
      <c r="C69">
        <v>5112</v>
      </c>
      <c r="D69" t="s">
        <v>419</v>
      </c>
      <c r="E69" t="s">
        <v>948</v>
      </c>
      <c r="F69" t="s">
        <v>16</v>
      </c>
    </row>
    <row r="70" spans="1:6" x14ac:dyDescent="0.35">
      <c r="A70">
        <v>5114</v>
      </c>
      <c r="B70">
        <v>291</v>
      </c>
      <c r="C70">
        <v>5114</v>
      </c>
      <c r="D70" t="s">
        <v>419</v>
      </c>
      <c r="E70" t="s">
        <v>948</v>
      </c>
      <c r="F70" t="s">
        <v>16</v>
      </c>
    </row>
    <row r="71" spans="1:6" x14ac:dyDescent="0.35">
      <c r="A71">
        <v>5115</v>
      </c>
      <c r="B71">
        <v>937</v>
      </c>
      <c r="C71">
        <v>5115</v>
      </c>
      <c r="D71" t="s">
        <v>419</v>
      </c>
      <c r="E71" t="s">
        <v>948</v>
      </c>
      <c r="F71" t="s">
        <v>16</v>
      </c>
    </row>
    <row r="72" spans="1:6" x14ac:dyDescent="0.35">
      <c r="A72">
        <v>5116</v>
      </c>
      <c r="B72">
        <v>292</v>
      </c>
      <c r="C72">
        <v>5116</v>
      </c>
      <c r="D72" t="s">
        <v>419</v>
      </c>
      <c r="E72" t="s">
        <v>948</v>
      </c>
      <c r="F72" t="s">
        <v>16</v>
      </c>
    </row>
    <row r="73" spans="1:6" x14ac:dyDescent="0.35">
      <c r="A73">
        <v>5118</v>
      </c>
      <c r="B73">
        <v>789</v>
      </c>
      <c r="C73">
        <v>5118</v>
      </c>
      <c r="D73" t="s">
        <v>419</v>
      </c>
      <c r="E73" t="s">
        <v>948</v>
      </c>
      <c r="F73" t="s">
        <v>16</v>
      </c>
    </row>
    <row r="74" spans="1:6" x14ac:dyDescent="0.35">
      <c r="A74">
        <v>5122</v>
      </c>
      <c r="B74">
        <v>511</v>
      </c>
      <c r="C74">
        <v>5122</v>
      </c>
      <c r="D74" t="s">
        <v>419</v>
      </c>
      <c r="E74" t="s">
        <v>948</v>
      </c>
      <c r="F74" t="s">
        <v>16</v>
      </c>
    </row>
    <row r="75" spans="1:6" x14ac:dyDescent="0.35">
      <c r="A75">
        <v>5126</v>
      </c>
      <c r="B75">
        <v>76</v>
      </c>
      <c r="C75">
        <v>5126</v>
      </c>
      <c r="D75" t="s">
        <v>419</v>
      </c>
      <c r="E75" t="s">
        <v>948</v>
      </c>
      <c r="F75" t="s">
        <v>16</v>
      </c>
    </row>
    <row r="76" spans="1:6" x14ac:dyDescent="0.35">
      <c r="A76">
        <v>5128</v>
      </c>
      <c r="B76">
        <v>101</v>
      </c>
      <c r="C76">
        <v>5128</v>
      </c>
      <c r="D76" t="s">
        <v>419</v>
      </c>
      <c r="E76" t="s">
        <v>948</v>
      </c>
      <c r="F76" t="s">
        <v>16</v>
      </c>
    </row>
    <row r="77" spans="1:6" x14ac:dyDescent="0.35">
      <c r="A77">
        <v>5129</v>
      </c>
      <c r="B77">
        <v>244</v>
      </c>
      <c r="C77">
        <v>5129</v>
      </c>
      <c r="D77" t="s">
        <v>419</v>
      </c>
      <c r="E77" t="s">
        <v>948</v>
      </c>
      <c r="F77" t="s">
        <v>16</v>
      </c>
    </row>
    <row r="78" spans="1:6" x14ac:dyDescent="0.35">
      <c r="A78">
        <v>5132</v>
      </c>
      <c r="B78">
        <v>366</v>
      </c>
      <c r="C78">
        <v>5132</v>
      </c>
      <c r="D78" t="s">
        <v>419</v>
      </c>
      <c r="E78" t="s">
        <v>948</v>
      </c>
      <c r="F78" t="s">
        <v>16</v>
      </c>
    </row>
    <row r="79" spans="1:6" x14ac:dyDescent="0.35">
      <c r="A79">
        <v>5135</v>
      </c>
      <c r="B79">
        <v>68</v>
      </c>
      <c r="C79">
        <v>5135</v>
      </c>
      <c r="D79" t="s">
        <v>419</v>
      </c>
      <c r="E79" t="s">
        <v>948</v>
      </c>
      <c r="F79" t="s">
        <v>16</v>
      </c>
    </row>
    <row r="80" spans="1:6" x14ac:dyDescent="0.35">
      <c r="A80">
        <v>5136</v>
      </c>
      <c r="B80">
        <v>318</v>
      </c>
      <c r="C80">
        <v>5136</v>
      </c>
      <c r="D80" t="s">
        <v>419</v>
      </c>
      <c r="E80" t="s">
        <v>948</v>
      </c>
      <c r="F80" t="s">
        <v>16</v>
      </c>
    </row>
    <row r="81" spans="1:6" x14ac:dyDescent="0.35">
      <c r="A81">
        <v>5137</v>
      </c>
      <c r="B81">
        <v>829</v>
      </c>
      <c r="C81">
        <v>5137</v>
      </c>
      <c r="D81" t="s">
        <v>419</v>
      </c>
      <c r="E81" t="s">
        <v>948</v>
      </c>
      <c r="F81" t="s">
        <v>16</v>
      </c>
    </row>
    <row r="82" spans="1:6" x14ac:dyDescent="0.35">
      <c r="A82">
        <v>5139</v>
      </c>
      <c r="B82">
        <v>300</v>
      </c>
      <c r="C82">
        <v>5139</v>
      </c>
      <c r="D82" t="s">
        <v>419</v>
      </c>
      <c r="E82" t="s">
        <v>948</v>
      </c>
      <c r="F82" t="s">
        <v>16</v>
      </c>
    </row>
    <row r="83" spans="1:6" x14ac:dyDescent="0.35">
      <c r="A83">
        <v>5141</v>
      </c>
      <c r="B83">
        <v>53</v>
      </c>
      <c r="C83">
        <v>5141</v>
      </c>
      <c r="D83" t="s">
        <v>419</v>
      </c>
      <c r="E83" t="s">
        <v>948</v>
      </c>
      <c r="F83" t="s">
        <v>16</v>
      </c>
    </row>
    <row r="84" spans="1:6" x14ac:dyDescent="0.35">
      <c r="A84">
        <v>5142</v>
      </c>
      <c r="B84">
        <v>40</v>
      </c>
      <c r="C84">
        <v>5142</v>
      </c>
      <c r="D84" t="s">
        <v>419</v>
      </c>
      <c r="E84" t="s">
        <v>948</v>
      </c>
      <c r="F84" t="s">
        <v>16</v>
      </c>
    </row>
    <row r="85" spans="1:6" x14ac:dyDescent="0.35">
      <c r="A85">
        <v>5143</v>
      </c>
      <c r="B85">
        <v>927</v>
      </c>
      <c r="C85">
        <v>5143</v>
      </c>
      <c r="D85" t="s">
        <v>419</v>
      </c>
      <c r="E85" t="s">
        <v>948</v>
      </c>
      <c r="F85" t="s">
        <v>16</v>
      </c>
    </row>
    <row r="86" spans="1:6" x14ac:dyDescent="0.35">
      <c r="A86">
        <v>5144</v>
      </c>
      <c r="B86">
        <v>812</v>
      </c>
      <c r="C86">
        <v>5144</v>
      </c>
      <c r="D86" t="s">
        <v>419</v>
      </c>
      <c r="E86" t="s">
        <v>948</v>
      </c>
      <c r="F86" t="s">
        <v>16</v>
      </c>
    </row>
    <row r="87" spans="1:6" x14ac:dyDescent="0.35">
      <c r="A87">
        <v>5147</v>
      </c>
      <c r="B87">
        <v>279</v>
      </c>
      <c r="C87">
        <v>5147</v>
      </c>
      <c r="D87" t="s">
        <v>419</v>
      </c>
      <c r="E87" t="s">
        <v>948</v>
      </c>
      <c r="F87" t="s">
        <v>16</v>
      </c>
    </row>
    <row r="88" spans="1:6" x14ac:dyDescent="0.35">
      <c r="A88">
        <v>5148</v>
      </c>
      <c r="B88">
        <v>91</v>
      </c>
      <c r="C88">
        <v>5148</v>
      </c>
      <c r="D88" t="s">
        <v>419</v>
      </c>
      <c r="E88" t="s">
        <v>948</v>
      </c>
      <c r="F88" t="s">
        <v>16</v>
      </c>
    </row>
    <row r="89" spans="1:6" x14ac:dyDescent="0.35">
      <c r="A89">
        <v>5149</v>
      </c>
      <c r="B89">
        <v>358</v>
      </c>
      <c r="C89">
        <v>5149</v>
      </c>
      <c r="D89" t="s">
        <v>419</v>
      </c>
      <c r="E89" t="s">
        <v>948</v>
      </c>
      <c r="F89" t="s">
        <v>16</v>
      </c>
    </row>
    <row r="90" spans="1:6" x14ac:dyDescent="0.35">
      <c r="A90">
        <v>5153</v>
      </c>
      <c r="B90">
        <v>262</v>
      </c>
      <c r="C90">
        <v>5153</v>
      </c>
      <c r="D90" t="s">
        <v>419</v>
      </c>
      <c r="E90" t="s">
        <v>948</v>
      </c>
      <c r="F90" t="s">
        <v>16</v>
      </c>
    </row>
    <row r="91" spans="1:6" x14ac:dyDescent="0.35">
      <c r="A91">
        <v>5155</v>
      </c>
      <c r="B91">
        <v>258</v>
      </c>
      <c r="C91">
        <v>5155</v>
      </c>
      <c r="D91" t="s">
        <v>419</v>
      </c>
      <c r="E91" t="s">
        <v>948</v>
      </c>
      <c r="F91" t="s">
        <v>16</v>
      </c>
    </row>
    <row r="92" spans="1:6" x14ac:dyDescent="0.35">
      <c r="A92">
        <v>5156</v>
      </c>
      <c r="B92">
        <v>806</v>
      </c>
      <c r="C92">
        <v>5156</v>
      </c>
      <c r="D92" t="s">
        <v>419</v>
      </c>
      <c r="E92" t="s">
        <v>948</v>
      </c>
      <c r="F92" t="s">
        <v>16</v>
      </c>
    </row>
    <row r="93" spans="1:6" x14ac:dyDescent="0.35">
      <c r="A93">
        <v>5157</v>
      </c>
      <c r="B93">
        <v>750</v>
      </c>
      <c r="C93">
        <v>5157</v>
      </c>
      <c r="D93" t="s">
        <v>419</v>
      </c>
      <c r="E93" t="s">
        <v>948</v>
      </c>
      <c r="F93" t="s">
        <v>16</v>
      </c>
    </row>
    <row r="94" spans="1:6" x14ac:dyDescent="0.35">
      <c r="A94">
        <v>5164</v>
      </c>
      <c r="B94">
        <v>70</v>
      </c>
      <c r="C94">
        <v>5164</v>
      </c>
      <c r="D94" t="s">
        <v>419</v>
      </c>
      <c r="E94" t="s">
        <v>948</v>
      </c>
      <c r="F94" t="s">
        <v>16</v>
      </c>
    </row>
    <row r="95" spans="1:6" x14ac:dyDescent="0.35">
      <c r="A95">
        <v>5166</v>
      </c>
      <c r="B95">
        <v>725</v>
      </c>
      <c r="C95">
        <v>5166</v>
      </c>
      <c r="D95" t="s">
        <v>419</v>
      </c>
      <c r="E95" t="s">
        <v>948</v>
      </c>
      <c r="F95" t="s">
        <v>16</v>
      </c>
    </row>
    <row r="96" spans="1:6" x14ac:dyDescent="0.35">
      <c r="A96">
        <v>5167</v>
      </c>
      <c r="B96">
        <v>667</v>
      </c>
      <c r="C96">
        <v>5167</v>
      </c>
      <c r="D96" t="s">
        <v>419</v>
      </c>
      <c r="E96" t="s">
        <v>948</v>
      </c>
      <c r="F96" t="s">
        <v>16</v>
      </c>
    </row>
    <row r="97" spans="1:6" x14ac:dyDescent="0.35">
      <c r="A97">
        <v>5168</v>
      </c>
      <c r="B97">
        <v>363</v>
      </c>
      <c r="C97">
        <v>5168</v>
      </c>
      <c r="D97" t="s">
        <v>419</v>
      </c>
      <c r="E97" t="s">
        <v>948</v>
      </c>
      <c r="F97" t="s">
        <v>16</v>
      </c>
    </row>
    <row r="98" spans="1:6" x14ac:dyDescent="0.35">
      <c r="A98">
        <v>5169</v>
      </c>
      <c r="B98">
        <v>388</v>
      </c>
      <c r="C98">
        <v>5169</v>
      </c>
      <c r="D98" t="s">
        <v>419</v>
      </c>
      <c r="E98" t="s">
        <v>948</v>
      </c>
      <c r="F98" t="s">
        <v>16</v>
      </c>
    </row>
    <row r="99" spans="1:6" x14ac:dyDescent="0.35">
      <c r="A99">
        <v>5170</v>
      </c>
      <c r="B99">
        <v>302</v>
      </c>
      <c r="C99">
        <v>5170</v>
      </c>
      <c r="D99" t="s">
        <v>419</v>
      </c>
      <c r="E99" t="s">
        <v>948</v>
      </c>
      <c r="F99" t="s">
        <v>16</v>
      </c>
    </row>
    <row r="100" spans="1:6" x14ac:dyDescent="0.35">
      <c r="A100">
        <v>5173</v>
      </c>
      <c r="B100">
        <v>420</v>
      </c>
      <c r="C100">
        <v>5173</v>
      </c>
      <c r="D100" t="s">
        <v>419</v>
      </c>
      <c r="E100" t="s">
        <v>948</v>
      </c>
      <c r="F100" t="s">
        <v>16</v>
      </c>
    </row>
    <row r="101" spans="1:6" x14ac:dyDescent="0.35">
      <c r="A101">
        <v>5176</v>
      </c>
      <c r="B101">
        <v>253</v>
      </c>
      <c r="C101">
        <v>5176</v>
      </c>
      <c r="D101" t="s">
        <v>419</v>
      </c>
      <c r="E101" t="s">
        <v>948</v>
      </c>
      <c r="F101" t="s">
        <v>16</v>
      </c>
    </row>
    <row r="102" spans="1:6" x14ac:dyDescent="0.35">
      <c r="A102">
        <v>5179</v>
      </c>
      <c r="B102">
        <v>198</v>
      </c>
      <c r="C102">
        <v>5179</v>
      </c>
      <c r="D102" t="s">
        <v>419</v>
      </c>
      <c r="E102" t="s">
        <v>948</v>
      </c>
      <c r="F102" t="s">
        <v>16</v>
      </c>
    </row>
    <row r="103" spans="1:6" x14ac:dyDescent="0.35">
      <c r="A103">
        <v>5181</v>
      </c>
      <c r="B103">
        <v>762</v>
      </c>
      <c r="C103">
        <v>5181</v>
      </c>
      <c r="D103" t="s">
        <v>419</v>
      </c>
      <c r="E103" t="s">
        <v>948</v>
      </c>
      <c r="F103" t="s">
        <v>16</v>
      </c>
    </row>
    <row r="104" spans="1:6" x14ac:dyDescent="0.35">
      <c r="A104">
        <v>5183</v>
      </c>
      <c r="B104">
        <v>756</v>
      </c>
      <c r="C104">
        <v>5183</v>
      </c>
      <c r="D104" t="s">
        <v>419</v>
      </c>
      <c r="E104" t="s">
        <v>948</v>
      </c>
      <c r="F104" t="s">
        <v>16</v>
      </c>
    </row>
    <row r="105" spans="1:6" x14ac:dyDescent="0.35">
      <c r="A105">
        <v>5185</v>
      </c>
      <c r="B105">
        <v>541</v>
      </c>
      <c r="C105">
        <v>5185</v>
      </c>
      <c r="D105" t="s">
        <v>419</v>
      </c>
      <c r="E105" t="s">
        <v>948</v>
      </c>
      <c r="F105" t="s">
        <v>16</v>
      </c>
    </row>
    <row r="106" spans="1:6" x14ac:dyDescent="0.35">
      <c r="A106">
        <v>5187</v>
      </c>
      <c r="B106">
        <v>698</v>
      </c>
      <c r="C106">
        <v>5187</v>
      </c>
      <c r="D106" t="s">
        <v>419</v>
      </c>
      <c r="E106" t="s">
        <v>948</v>
      </c>
      <c r="F106" t="s">
        <v>16</v>
      </c>
    </row>
    <row r="107" spans="1:6" x14ac:dyDescent="0.35">
      <c r="A107">
        <v>5191</v>
      </c>
      <c r="B107">
        <v>664</v>
      </c>
      <c r="C107">
        <v>5191</v>
      </c>
      <c r="D107" t="s">
        <v>419</v>
      </c>
      <c r="E107" t="s">
        <v>948</v>
      </c>
      <c r="F107" t="s">
        <v>16</v>
      </c>
    </row>
    <row r="108" spans="1:6" x14ac:dyDescent="0.35">
      <c r="A108">
        <v>5192</v>
      </c>
      <c r="B108">
        <v>716</v>
      </c>
      <c r="C108">
        <v>5192</v>
      </c>
      <c r="D108" t="s">
        <v>419</v>
      </c>
      <c r="E108" t="s">
        <v>948</v>
      </c>
      <c r="F108" t="s">
        <v>16</v>
      </c>
    </row>
    <row r="109" spans="1:6" x14ac:dyDescent="0.35">
      <c r="A109">
        <v>5194</v>
      </c>
      <c r="B109">
        <v>383</v>
      </c>
      <c r="C109">
        <v>5194</v>
      </c>
      <c r="D109" t="s">
        <v>419</v>
      </c>
      <c r="E109" t="s">
        <v>948</v>
      </c>
      <c r="F109" t="s">
        <v>16</v>
      </c>
    </row>
    <row r="110" spans="1:6" x14ac:dyDescent="0.35">
      <c r="A110">
        <v>5195</v>
      </c>
      <c r="B110">
        <v>432</v>
      </c>
      <c r="C110">
        <v>5195</v>
      </c>
      <c r="D110" t="s">
        <v>419</v>
      </c>
      <c r="E110" t="s">
        <v>948</v>
      </c>
      <c r="F110" t="s">
        <v>16</v>
      </c>
    </row>
    <row r="111" spans="1:6" x14ac:dyDescent="0.35">
      <c r="A111">
        <v>5197</v>
      </c>
      <c r="B111">
        <v>250</v>
      </c>
      <c r="C111">
        <v>5197</v>
      </c>
      <c r="D111" t="s">
        <v>419</v>
      </c>
      <c r="E111" t="s">
        <v>948</v>
      </c>
      <c r="F111" t="s">
        <v>16</v>
      </c>
    </row>
    <row r="112" spans="1:6" x14ac:dyDescent="0.35">
      <c r="A112">
        <v>5200</v>
      </c>
      <c r="B112">
        <v>674</v>
      </c>
      <c r="C112">
        <v>5200</v>
      </c>
      <c r="D112" t="s">
        <v>419</v>
      </c>
      <c r="E112" t="s">
        <v>948</v>
      </c>
      <c r="F112" t="s">
        <v>16</v>
      </c>
    </row>
    <row r="113" spans="1:6" x14ac:dyDescent="0.35">
      <c r="A113">
        <v>5201</v>
      </c>
      <c r="B113">
        <v>606</v>
      </c>
      <c r="C113">
        <v>5201</v>
      </c>
      <c r="D113" t="s">
        <v>419</v>
      </c>
      <c r="E113" t="s">
        <v>948</v>
      </c>
      <c r="F113" t="s">
        <v>16</v>
      </c>
    </row>
    <row r="114" spans="1:6" x14ac:dyDescent="0.35">
      <c r="A114">
        <v>5204</v>
      </c>
      <c r="B114">
        <v>77</v>
      </c>
      <c r="C114">
        <v>5204</v>
      </c>
      <c r="D114" t="s">
        <v>419</v>
      </c>
      <c r="E114" t="s">
        <v>948</v>
      </c>
      <c r="F114" t="s">
        <v>16</v>
      </c>
    </row>
    <row r="115" spans="1:6" x14ac:dyDescent="0.35">
      <c r="A115">
        <v>5205</v>
      </c>
      <c r="B115">
        <v>816</v>
      </c>
      <c r="C115">
        <v>5205</v>
      </c>
      <c r="D115" t="s">
        <v>419</v>
      </c>
      <c r="E115" t="s">
        <v>948</v>
      </c>
      <c r="F115" t="s">
        <v>16</v>
      </c>
    </row>
    <row r="116" spans="1:6" x14ac:dyDescent="0.35">
      <c r="A116">
        <v>5206</v>
      </c>
      <c r="B116">
        <v>455</v>
      </c>
      <c r="C116">
        <v>5206</v>
      </c>
      <c r="D116" t="s">
        <v>419</v>
      </c>
      <c r="E116" t="s">
        <v>948</v>
      </c>
      <c r="F116" t="s">
        <v>16</v>
      </c>
    </row>
    <row r="117" spans="1:6" x14ac:dyDescent="0.35">
      <c r="A117">
        <v>5208</v>
      </c>
      <c r="B117">
        <v>217</v>
      </c>
      <c r="C117">
        <v>5208</v>
      </c>
      <c r="D117" t="s">
        <v>419</v>
      </c>
      <c r="E117" t="s">
        <v>948</v>
      </c>
      <c r="F117" t="s">
        <v>16</v>
      </c>
    </row>
    <row r="118" spans="1:6" x14ac:dyDescent="0.35">
      <c r="A118">
        <v>5216</v>
      </c>
      <c r="B118">
        <v>793</v>
      </c>
      <c r="C118">
        <v>5216</v>
      </c>
      <c r="D118" t="s">
        <v>419</v>
      </c>
      <c r="E118" t="s">
        <v>948</v>
      </c>
      <c r="F118" t="s">
        <v>16</v>
      </c>
    </row>
    <row r="119" spans="1:6" x14ac:dyDescent="0.35">
      <c r="A119">
        <v>5219</v>
      </c>
      <c r="B119">
        <v>16</v>
      </c>
      <c r="C119">
        <v>5219</v>
      </c>
      <c r="D119" t="s">
        <v>419</v>
      </c>
      <c r="E119" t="s">
        <v>948</v>
      </c>
      <c r="F119" t="s">
        <v>16</v>
      </c>
    </row>
    <row r="120" spans="1:6" x14ac:dyDescent="0.35">
      <c r="A120">
        <v>5220</v>
      </c>
      <c r="B120">
        <v>941</v>
      </c>
      <c r="C120">
        <v>5220</v>
      </c>
      <c r="D120" t="s">
        <v>419</v>
      </c>
      <c r="E120" t="s">
        <v>948</v>
      </c>
      <c r="F120" t="s">
        <v>16</v>
      </c>
    </row>
    <row r="121" spans="1:6" x14ac:dyDescent="0.35">
      <c r="A121">
        <v>5221</v>
      </c>
      <c r="B121">
        <v>221</v>
      </c>
      <c r="C121">
        <v>5221</v>
      </c>
      <c r="D121" t="s">
        <v>419</v>
      </c>
      <c r="E121" t="s">
        <v>948</v>
      </c>
      <c r="F121" t="s">
        <v>16</v>
      </c>
    </row>
    <row r="122" spans="1:6" x14ac:dyDescent="0.35">
      <c r="A122">
        <v>5224</v>
      </c>
      <c r="B122">
        <v>168</v>
      </c>
      <c r="C122">
        <v>5224</v>
      </c>
      <c r="D122" t="s">
        <v>419</v>
      </c>
      <c r="E122" t="s">
        <v>948</v>
      </c>
      <c r="F122" t="s">
        <v>16</v>
      </c>
    </row>
    <row r="123" spans="1:6" x14ac:dyDescent="0.35">
      <c r="A123">
        <v>5225</v>
      </c>
      <c r="B123">
        <v>946</v>
      </c>
      <c r="C123">
        <v>5225</v>
      </c>
      <c r="D123" t="s">
        <v>419</v>
      </c>
      <c r="E123" t="s">
        <v>948</v>
      </c>
      <c r="F123" t="s">
        <v>16</v>
      </c>
    </row>
    <row r="124" spans="1:6" x14ac:dyDescent="0.35">
      <c r="A124">
        <v>5227</v>
      </c>
      <c r="B124">
        <v>678</v>
      </c>
      <c r="C124">
        <v>5227</v>
      </c>
      <c r="D124" t="s">
        <v>419</v>
      </c>
      <c r="E124" t="s">
        <v>948</v>
      </c>
      <c r="F124" t="s">
        <v>16</v>
      </c>
    </row>
    <row r="125" spans="1:6" x14ac:dyDescent="0.35">
      <c r="A125">
        <v>5228</v>
      </c>
      <c r="B125">
        <v>285</v>
      </c>
      <c r="C125">
        <v>5228</v>
      </c>
      <c r="D125" t="s">
        <v>419</v>
      </c>
      <c r="E125" t="s">
        <v>948</v>
      </c>
      <c r="F125" t="s">
        <v>16</v>
      </c>
    </row>
    <row r="126" spans="1:6" x14ac:dyDescent="0.35">
      <c r="A126">
        <v>5231</v>
      </c>
      <c r="B126">
        <v>454</v>
      </c>
      <c r="C126">
        <v>5231</v>
      </c>
      <c r="D126" t="s">
        <v>419</v>
      </c>
      <c r="E126" t="s">
        <v>948</v>
      </c>
      <c r="F126" t="s">
        <v>16</v>
      </c>
    </row>
    <row r="127" spans="1:6" x14ac:dyDescent="0.35">
      <c r="A127">
        <v>6096</v>
      </c>
      <c r="B127">
        <v>625</v>
      </c>
      <c r="C127">
        <v>6096</v>
      </c>
      <c r="D127" t="s">
        <v>419</v>
      </c>
      <c r="E127" t="s">
        <v>948</v>
      </c>
      <c r="F127" t="s">
        <v>16</v>
      </c>
    </row>
    <row r="128" spans="1:6" x14ac:dyDescent="0.35">
      <c r="A128">
        <v>6149</v>
      </c>
      <c r="B128">
        <v>868</v>
      </c>
      <c r="C128">
        <v>6149</v>
      </c>
      <c r="D128" t="s">
        <v>419</v>
      </c>
      <c r="E128" t="s">
        <v>948</v>
      </c>
      <c r="F128" t="s">
        <v>22</v>
      </c>
    </row>
    <row r="129" spans="1:6" x14ac:dyDescent="0.35">
      <c r="A129">
        <v>6150</v>
      </c>
      <c r="B129">
        <v>571</v>
      </c>
      <c r="C129">
        <v>6150</v>
      </c>
      <c r="D129" t="s">
        <v>419</v>
      </c>
      <c r="E129" t="s">
        <v>948</v>
      </c>
      <c r="F129" t="s">
        <v>16</v>
      </c>
    </row>
    <row r="130" spans="1:6" x14ac:dyDescent="0.35">
      <c r="A130">
        <v>6169</v>
      </c>
      <c r="B130">
        <v>844</v>
      </c>
      <c r="C130">
        <v>6169</v>
      </c>
      <c r="D130" t="s">
        <v>419</v>
      </c>
      <c r="E130" t="s">
        <v>948</v>
      </c>
      <c r="F130" t="s">
        <v>16</v>
      </c>
    </row>
    <row r="131" spans="1:6" x14ac:dyDescent="0.35">
      <c r="A131">
        <v>6172</v>
      </c>
      <c r="B131">
        <v>30</v>
      </c>
      <c r="C131">
        <v>6172</v>
      </c>
      <c r="D131" t="s">
        <v>419</v>
      </c>
      <c r="E131" t="s">
        <v>948</v>
      </c>
      <c r="F131" t="s">
        <v>16</v>
      </c>
    </row>
    <row r="132" spans="1:6" x14ac:dyDescent="0.35">
      <c r="A132">
        <v>6174</v>
      </c>
      <c r="B132">
        <v>820</v>
      </c>
      <c r="C132">
        <v>6174</v>
      </c>
      <c r="D132" t="s">
        <v>419</v>
      </c>
      <c r="E132" t="s">
        <v>948</v>
      </c>
      <c r="F132" t="s">
        <v>16</v>
      </c>
    </row>
    <row r="133" spans="1:6" x14ac:dyDescent="0.35">
      <c r="A133">
        <v>6180</v>
      </c>
      <c r="B133">
        <v>690</v>
      </c>
      <c r="C133">
        <v>6180</v>
      </c>
      <c r="D133" t="s">
        <v>419</v>
      </c>
      <c r="E133" t="s">
        <v>948</v>
      </c>
      <c r="F133" t="s">
        <v>16</v>
      </c>
    </row>
    <row r="134" spans="1:6" x14ac:dyDescent="0.35">
      <c r="A134">
        <v>6182</v>
      </c>
      <c r="B134">
        <v>351</v>
      </c>
      <c r="C134">
        <v>6182</v>
      </c>
      <c r="D134" t="s">
        <v>419</v>
      </c>
      <c r="E134" t="s">
        <v>948</v>
      </c>
      <c r="F134" t="s">
        <v>16</v>
      </c>
    </row>
    <row r="135" spans="1:6" x14ac:dyDescent="0.35">
      <c r="A135">
        <v>6186</v>
      </c>
      <c r="B135">
        <v>267</v>
      </c>
      <c r="C135">
        <v>6186</v>
      </c>
      <c r="D135" t="s">
        <v>419</v>
      </c>
      <c r="E135" t="s">
        <v>948</v>
      </c>
      <c r="F135" t="s">
        <v>16</v>
      </c>
    </row>
    <row r="136" spans="1:6" x14ac:dyDescent="0.35">
      <c r="A136">
        <v>6204</v>
      </c>
      <c r="B136">
        <v>54</v>
      </c>
      <c r="C136">
        <v>6204</v>
      </c>
      <c r="D136" t="s">
        <v>419</v>
      </c>
      <c r="E136" t="s">
        <v>948</v>
      </c>
      <c r="F136" t="s">
        <v>16</v>
      </c>
    </row>
    <row r="137" spans="1:6" x14ac:dyDescent="0.35">
      <c r="A137">
        <v>6209</v>
      </c>
      <c r="B137">
        <v>688</v>
      </c>
      <c r="C137">
        <v>6209</v>
      </c>
      <c r="D137" t="s">
        <v>419</v>
      </c>
      <c r="E137" t="s">
        <v>948</v>
      </c>
      <c r="F137" t="s">
        <v>16</v>
      </c>
    </row>
    <row r="138" spans="1:6" x14ac:dyDescent="0.35">
      <c r="A138">
        <v>6215</v>
      </c>
      <c r="B138">
        <v>74</v>
      </c>
      <c r="C138">
        <v>6215</v>
      </c>
      <c r="D138" t="s">
        <v>419</v>
      </c>
      <c r="E138" t="s">
        <v>948</v>
      </c>
      <c r="F138" t="s">
        <v>22</v>
      </c>
    </row>
    <row r="139" spans="1:6" x14ac:dyDescent="0.35">
      <c r="A139">
        <v>6218</v>
      </c>
      <c r="B139">
        <v>178</v>
      </c>
      <c r="C139">
        <v>6218</v>
      </c>
      <c r="D139" t="s">
        <v>419</v>
      </c>
      <c r="E139" t="s">
        <v>948</v>
      </c>
      <c r="F139" t="s">
        <v>16</v>
      </c>
    </row>
    <row r="140" spans="1:6" x14ac:dyDescent="0.35">
      <c r="A140">
        <v>6242</v>
      </c>
      <c r="B140">
        <v>236</v>
      </c>
      <c r="C140">
        <v>6242</v>
      </c>
      <c r="D140" t="s">
        <v>419</v>
      </c>
      <c r="E140" t="s">
        <v>948</v>
      </c>
      <c r="F140" t="s">
        <v>16</v>
      </c>
    </row>
    <row r="141" spans="1:6" x14ac:dyDescent="0.35">
      <c r="A141">
        <v>6243</v>
      </c>
      <c r="B141">
        <v>231</v>
      </c>
      <c r="C141">
        <v>6243</v>
      </c>
      <c r="D141" t="s">
        <v>419</v>
      </c>
      <c r="E141" t="s">
        <v>948</v>
      </c>
      <c r="F141" t="s">
        <v>16</v>
      </c>
    </row>
    <row r="142" spans="1:6" x14ac:dyDescent="0.35">
      <c r="A142">
        <v>6245</v>
      </c>
      <c r="B142">
        <v>79</v>
      </c>
      <c r="C142">
        <v>6245</v>
      </c>
      <c r="D142" t="s">
        <v>419</v>
      </c>
      <c r="E142" t="s">
        <v>948</v>
      </c>
      <c r="F142" t="s">
        <v>16</v>
      </c>
    </row>
    <row r="143" spans="1:6" x14ac:dyDescent="0.35">
      <c r="A143">
        <v>6246</v>
      </c>
      <c r="B143">
        <v>78</v>
      </c>
      <c r="C143">
        <v>6246</v>
      </c>
      <c r="D143" t="s">
        <v>419</v>
      </c>
      <c r="E143" t="s">
        <v>948</v>
      </c>
      <c r="F143" t="s">
        <v>16</v>
      </c>
    </row>
    <row r="144" spans="1:6" x14ac:dyDescent="0.35">
      <c r="A144">
        <v>6248</v>
      </c>
      <c r="B144">
        <v>718</v>
      </c>
      <c r="C144">
        <v>6248</v>
      </c>
      <c r="D144" t="s">
        <v>419</v>
      </c>
      <c r="E144" t="s">
        <v>948</v>
      </c>
      <c r="F144" t="s">
        <v>16</v>
      </c>
    </row>
    <row r="145" spans="1:6" x14ac:dyDescent="0.35">
      <c r="A145">
        <v>6251</v>
      </c>
      <c r="B145">
        <v>477</v>
      </c>
      <c r="C145">
        <v>6251</v>
      </c>
      <c r="D145" t="s">
        <v>419</v>
      </c>
      <c r="E145" t="s">
        <v>948</v>
      </c>
      <c r="F145" t="s">
        <v>16</v>
      </c>
    </row>
    <row r="146" spans="1:6" x14ac:dyDescent="0.35">
      <c r="A146">
        <v>6253</v>
      </c>
      <c r="B146">
        <v>337</v>
      </c>
      <c r="C146">
        <v>6253</v>
      </c>
      <c r="D146" t="s">
        <v>419</v>
      </c>
      <c r="E146" t="s">
        <v>948</v>
      </c>
      <c r="F146" t="s">
        <v>16</v>
      </c>
    </row>
    <row r="147" spans="1:6" x14ac:dyDescent="0.35">
      <c r="A147">
        <v>6336</v>
      </c>
      <c r="B147">
        <v>524</v>
      </c>
      <c r="C147">
        <v>6336</v>
      </c>
      <c r="D147" t="s">
        <v>419</v>
      </c>
      <c r="E147" t="s">
        <v>948</v>
      </c>
      <c r="F147" t="s">
        <v>16</v>
      </c>
    </row>
    <row r="148" spans="1:6" x14ac:dyDescent="0.35">
      <c r="A148">
        <v>6406</v>
      </c>
      <c r="B148">
        <v>37</v>
      </c>
      <c r="C148">
        <v>6406</v>
      </c>
      <c r="D148" t="s">
        <v>419</v>
      </c>
      <c r="E148" t="s">
        <v>948</v>
      </c>
      <c r="F148" t="s">
        <v>16</v>
      </c>
    </row>
    <row r="149" spans="1:6" x14ac:dyDescent="0.35">
      <c r="A149">
        <v>6407</v>
      </c>
      <c r="B149">
        <v>601</v>
      </c>
      <c r="C149">
        <v>6407</v>
      </c>
      <c r="D149" t="s">
        <v>419</v>
      </c>
      <c r="E149" t="s">
        <v>948</v>
      </c>
      <c r="F149" t="s">
        <v>16</v>
      </c>
    </row>
    <row r="150" spans="1:6" x14ac:dyDescent="0.35">
      <c r="A150">
        <v>6465</v>
      </c>
      <c r="B150">
        <v>379</v>
      </c>
      <c r="C150">
        <v>6465</v>
      </c>
      <c r="D150" t="s">
        <v>419</v>
      </c>
      <c r="E150" t="s">
        <v>948</v>
      </c>
      <c r="F150" t="s">
        <v>16</v>
      </c>
    </row>
    <row r="151" spans="1:6" x14ac:dyDescent="0.35">
      <c r="A151">
        <v>6466</v>
      </c>
      <c r="B151">
        <v>894</v>
      </c>
      <c r="C151">
        <v>6466</v>
      </c>
      <c r="D151" t="s">
        <v>419</v>
      </c>
      <c r="E151" t="s">
        <v>948</v>
      </c>
      <c r="F151" t="s">
        <v>16</v>
      </c>
    </row>
    <row r="152" spans="1:6" x14ac:dyDescent="0.35">
      <c r="A152">
        <v>6467</v>
      </c>
      <c r="B152">
        <v>237</v>
      </c>
      <c r="C152">
        <v>6467</v>
      </c>
      <c r="D152" t="s">
        <v>419</v>
      </c>
      <c r="E152" t="s">
        <v>948</v>
      </c>
      <c r="F152" t="s">
        <v>16</v>
      </c>
    </row>
    <row r="153" spans="1:6" x14ac:dyDescent="0.35">
      <c r="A153">
        <v>6608</v>
      </c>
      <c r="B153">
        <v>202</v>
      </c>
      <c r="C153">
        <v>6608</v>
      </c>
      <c r="D153" t="s">
        <v>419</v>
      </c>
      <c r="E153" t="s">
        <v>948</v>
      </c>
      <c r="F153" t="s">
        <v>16</v>
      </c>
    </row>
    <row r="154" spans="1:6" x14ac:dyDescent="0.35">
      <c r="A154">
        <v>6613</v>
      </c>
      <c r="B154">
        <v>317</v>
      </c>
      <c r="C154">
        <v>6613</v>
      </c>
      <c r="D154" t="s">
        <v>419</v>
      </c>
      <c r="E154" t="s">
        <v>948</v>
      </c>
      <c r="F154" t="s">
        <v>22</v>
      </c>
    </row>
    <row r="155" spans="1:6" x14ac:dyDescent="0.35">
      <c r="A155">
        <v>6618</v>
      </c>
      <c r="B155">
        <v>352</v>
      </c>
      <c r="C155">
        <v>6618</v>
      </c>
      <c r="D155" t="s">
        <v>419</v>
      </c>
      <c r="E155" t="s">
        <v>948</v>
      </c>
      <c r="F155" t="s">
        <v>16</v>
      </c>
    </row>
    <row r="156" spans="1:6" x14ac:dyDescent="0.35">
      <c r="A156">
        <v>6628</v>
      </c>
      <c r="B156">
        <v>138</v>
      </c>
      <c r="C156">
        <v>6628</v>
      </c>
      <c r="D156" t="s">
        <v>419</v>
      </c>
      <c r="E156" t="s">
        <v>948</v>
      </c>
      <c r="F156" t="s">
        <v>16</v>
      </c>
    </row>
    <row r="157" spans="1:6" x14ac:dyDescent="0.35">
      <c r="A157">
        <v>6713</v>
      </c>
      <c r="B157">
        <v>613</v>
      </c>
      <c r="C157">
        <v>6713</v>
      </c>
      <c r="D157" t="s">
        <v>419</v>
      </c>
      <c r="E157" t="s">
        <v>948</v>
      </c>
      <c r="F157" t="s">
        <v>22</v>
      </c>
    </row>
    <row r="158" spans="1:6" x14ac:dyDescent="0.35">
      <c r="A158">
        <v>6715</v>
      </c>
      <c r="B158">
        <v>764</v>
      </c>
      <c r="C158">
        <v>6715</v>
      </c>
      <c r="D158" t="s">
        <v>419</v>
      </c>
      <c r="E158" t="s">
        <v>948</v>
      </c>
      <c r="F158" t="s">
        <v>16</v>
      </c>
    </row>
    <row r="159" spans="1:6" x14ac:dyDescent="0.35">
      <c r="A159">
        <v>6716</v>
      </c>
      <c r="B159">
        <v>843</v>
      </c>
      <c r="C159">
        <v>6716</v>
      </c>
      <c r="D159" t="s">
        <v>419</v>
      </c>
      <c r="E159" t="s">
        <v>948</v>
      </c>
      <c r="F159" t="s">
        <v>16</v>
      </c>
    </row>
    <row r="160" spans="1:6" x14ac:dyDescent="0.35">
      <c r="A160">
        <v>6718</v>
      </c>
      <c r="B160">
        <v>371</v>
      </c>
      <c r="C160">
        <v>6718</v>
      </c>
      <c r="D160" t="s">
        <v>419</v>
      </c>
      <c r="E160" t="s">
        <v>948</v>
      </c>
      <c r="F160" t="s">
        <v>16</v>
      </c>
    </row>
    <row r="161" spans="1:6" x14ac:dyDescent="0.35">
      <c r="A161">
        <v>6724</v>
      </c>
      <c r="B161">
        <v>348</v>
      </c>
      <c r="C161">
        <v>6724</v>
      </c>
      <c r="D161" t="s">
        <v>419</v>
      </c>
      <c r="E161" t="s">
        <v>948</v>
      </c>
      <c r="F161" t="s">
        <v>22</v>
      </c>
    </row>
    <row r="162" spans="1:6" x14ac:dyDescent="0.35">
      <c r="A162">
        <v>6735</v>
      </c>
      <c r="B162">
        <v>96</v>
      </c>
      <c r="C162">
        <v>6735</v>
      </c>
      <c r="D162" t="s">
        <v>419</v>
      </c>
      <c r="E162" t="s">
        <v>948</v>
      </c>
      <c r="F162" t="s">
        <v>16</v>
      </c>
    </row>
    <row r="163" spans="1:6" x14ac:dyDescent="0.35">
      <c r="A163">
        <v>6818</v>
      </c>
      <c r="B163">
        <v>888</v>
      </c>
      <c r="C163">
        <v>6818</v>
      </c>
      <c r="D163" t="s">
        <v>419</v>
      </c>
      <c r="E163" t="s">
        <v>948</v>
      </c>
      <c r="F163" t="s">
        <v>16</v>
      </c>
    </row>
    <row r="164" spans="1:6" x14ac:dyDescent="0.35">
      <c r="A164">
        <v>6839</v>
      </c>
      <c r="B164">
        <v>20</v>
      </c>
      <c r="C164">
        <v>6839</v>
      </c>
      <c r="D164" t="s">
        <v>419</v>
      </c>
      <c r="E164" t="s">
        <v>948</v>
      </c>
      <c r="F164" t="s">
        <v>16</v>
      </c>
    </row>
    <row r="165" spans="1:6" x14ac:dyDescent="0.35">
      <c r="A165">
        <v>6843</v>
      </c>
      <c r="B165">
        <v>741</v>
      </c>
      <c r="C165">
        <v>6843</v>
      </c>
      <c r="D165" t="s">
        <v>419</v>
      </c>
      <c r="E165" t="s">
        <v>948</v>
      </c>
      <c r="F165" t="s">
        <v>22</v>
      </c>
    </row>
    <row r="166" spans="1:6" x14ac:dyDescent="0.35">
      <c r="A166">
        <v>6911</v>
      </c>
      <c r="B166">
        <v>796</v>
      </c>
      <c r="C166">
        <v>6911</v>
      </c>
      <c r="D166" t="s">
        <v>419</v>
      </c>
      <c r="E166" t="s">
        <v>948</v>
      </c>
      <c r="F166" t="s">
        <v>16</v>
      </c>
    </row>
    <row r="167" spans="1:6" x14ac:dyDescent="0.35">
      <c r="A167">
        <v>6927</v>
      </c>
      <c r="B167">
        <v>536</v>
      </c>
      <c r="C167">
        <v>6927</v>
      </c>
      <c r="D167" t="s">
        <v>419</v>
      </c>
      <c r="E167" t="s">
        <v>948</v>
      </c>
      <c r="F167" t="s">
        <v>16</v>
      </c>
    </row>
    <row r="168" spans="1:6" x14ac:dyDescent="0.35">
      <c r="A168">
        <v>7074</v>
      </c>
      <c r="B168">
        <v>658</v>
      </c>
      <c r="C168">
        <v>7074</v>
      </c>
      <c r="D168" t="s">
        <v>419</v>
      </c>
      <c r="E168" t="s">
        <v>948</v>
      </c>
      <c r="F168" t="s">
        <v>16</v>
      </c>
    </row>
    <row r="169" spans="1:6" x14ac:dyDescent="0.35">
      <c r="A169">
        <v>7123</v>
      </c>
      <c r="B169">
        <v>549</v>
      </c>
      <c r="C169">
        <v>7123</v>
      </c>
      <c r="D169" t="s">
        <v>419</v>
      </c>
      <c r="E169" t="s">
        <v>948</v>
      </c>
      <c r="F169" t="s">
        <v>16</v>
      </c>
    </row>
    <row r="170" spans="1:6" x14ac:dyDescent="0.35">
      <c r="A170">
        <v>7124</v>
      </c>
      <c r="B170">
        <v>677</v>
      </c>
      <c r="C170">
        <v>7124</v>
      </c>
      <c r="D170" t="s">
        <v>419</v>
      </c>
      <c r="E170" t="s">
        <v>948</v>
      </c>
      <c r="F170" t="s">
        <v>16</v>
      </c>
    </row>
    <row r="171" spans="1:6" x14ac:dyDescent="0.35">
      <c r="A171">
        <v>7125</v>
      </c>
      <c r="B171">
        <v>484</v>
      </c>
      <c r="C171">
        <v>7125</v>
      </c>
      <c r="D171" t="s">
        <v>419</v>
      </c>
      <c r="E171" t="s">
        <v>948</v>
      </c>
      <c r="F171" t="s">
        <v>16</v>
      </c>
    </row>
    <row r="172" spans="1:6" x14ac:dyDescent="0.35">
      <c r="A172">
        <v>7126</v>
      </c>
      <c r="B172">
        <v>93</v>
      </c>
      <c r="C172">
        <v>7126</v>
      </c>
      <c r="D172" t="s">
        <v>419</v>
      </c>
      <c r="E172" t="s">
        <v>948</v>
      </c>
      <c r="F172" t="s">
        <v>16</v>
      </c>
    </row>
    <row r="173" spans="1:6" x14ac:dyDescent="0.35">
      <c r="A173">
        <v>7134</v>
      </c>
      <c r="B173">
        <v>123</v>
      </c>
      <c r="C173">
        <v>7134</v>
      </c>
      <c r="D173" t="s">
        <v>419</v>
      </c>
      <c r="E173" t="s">
        <v>948</v>
      </c>
      <c r="F173" t="s">
        <v>22</v>
      </c>
    </row>
    <row r="174" spans="1:6" x14ac:dyDescent="0.35">
      <c r="A174">
        <v>7139</v>
      </c>
      <c r="B174">
        <v>385</v>
      </c>
      <c r="C174">
        <v>7139</v>
      </c>
      <c r="D174" t="s">
        <v>419</v>
      </c>
      <c r="E174" t="s">
        <v>948</v>
      </c>
      <c r="F174" t="s">
        <v>16</v>
      </c>
    </row>
    <row r="175" spans="1:6" x14ac:dyDescent="0.35">
      <c r="A175">
        <v>7212</v>
      </c>
      <c r="B175">
        <v>233</v>
      </c>
      <c r="C175">
        <v>7212</v>
      </c>
      <c r="D175" t="s">
        <v>419</v>
      </c>
      <c r="E175" t="s">
        <v>948</v>
      </c>
      <c r="F175" t="s">
        <v>16</v>
      </c>
    </row>
    <row r="176" spans="1:6" x14ac:dyDescent="0.35">
      <c r="A176">
        <v>7316</v>
      </c>
      <c r="B176">
        <v>506</v>
      </c>
      <c r="C176">
        <v>7316</v>
      </c>
      <c r="D176" t="s">
        <v>419</v>
      </c>
      <c r="E176" t="s">
        <v>948</v>
      </c>
      <c r="F176" t="s">
        <v>16</v>
      </c>
    </row>
    <row r="177" spans="1:6" x14ac:dyDescent="0.35">
      <c r="A177">
        <v>7318</v>
      </c>
      <c r="B177">
        <v>651</v>
      </c>
      <c r="C177">
        <v>7318</v>
      </c>
      <c r="D177" t="s">
        <v>419</v>
      </c>
      <c r="E177" t="s">
        <v>948</v>
      </c>
      <c r="F177" t="s">
        <v>16</v>
      </c>
    </row>
    <row r="178" spans="1:6" x14ac:dyDescent="0.35">
      <c r="A178">
        <v>7327</v>
      </c>
      <c r="B178">
        <v>389</v>
      </c>
      <c r="C178">
        <v>7327</v>
      </c>
      <c r="D178" t="s">
        <v>419</v>
      </c>
      <c r="E178" t="s">
        <v>948</v>
      </c>
      <c r="F178" t="s">
        <v>16</v>
      </c>
    </row>
    <row r="179" spans="1:6" x14ac:dyDescent="0.35">
      <c r="A179">
        <v>7341</v>
      </c>
      <c r="B179">
        <v>41</v>
      </c>
      <c r="C179">
        <v>7341</v>
      </c>
      <c r="D179" t="s">
        <v>419</v>
      </c>
      <c r="E179" t="s">
        <v>948</v>
      </c>
      <c r="F179" t="s">
        <v>16</v>
      </c>
    </row>
    <row r="180" spans="1:6" x14ac:dyDescent="0.35">
      <c r="A180">
        <v>7374</v>
      </c>
      <c r="B180">
        <v>848</v>
      </c>
      <c r="C180">
        <v>7374</v>
      </c>
      <c r="D180" t="s">
        <v>419</v>
      </c>
      <c r="E180" t="s">
        <v>948</v>
      </c>
      <c r="F180" t="s">
        <v>22</v>
      </c>
    </row>
    <row r="181" spans="1:6" x14ac:dyDescent="0.35">
      <c r="A181">
        <v>7375</v>
      </c>
      <c r="B181">
        <v>623</v>
      </c>
      <c r="C181">
        <v>7375</v>
      </c>
      <c r="D181" t="s">
        <v>419</v>
      </c>
      <c r="E181" t="s">
        <v>948</v>
      </c>
      <c r="F181" t="s">
        <v>16</v>
      </c>
    </row>
    <row r="182" spans="1:6" x14ac:dyDescent="0.35">
      <c r="A182">
        <v>7429</v>
      </c>
      <c r="B182">
        <v>172</v>
      </c>
      <c r="C182">
        <v>7429</v>
      </c>
      <c r="D182" t="s">
        <v>419</v>
      </c>
      <c r="E182" t="s">
        <v>948</v>
      </c>
      <c r="F182" t="s">
        <v>16</v>
      </c>
    </row>
    <row r="183" spans="1:6" x14ac:dyDescent="0.35">
      <c r="A183">
        <v>7569</v>
      </c>
      <c r="B183">
        <v>332</v>
      </c>
      <c r="C183">
        <v>7569</v>
      </c>
      <c r="D183" t="s">
        <v>419</v>
      </c>
      <c r="E183" t="s">
        <v>948</v>
      </c>
      <c r="F183" t="s">
        <v>16</v>
      </c>
    </row>
    <row r="184" spans="1:6" x14ac:dyDescent="0.35">
      <c r="A184">
        <v>7613</v>
      </c>
      <c r="B184">
        <v>812</v>
      </c>
      <c r="C184">
        <v>7613</v>
      </c>
      <c r="D184" t="s">
        <v>419</v>
      </c>
      <c r="E184" t="s">
        <v>948</v>
      </c>
      <c r="F184" t="s">
        <v>22</v>
      </c>
    </row>
    <row r="185" spans="1:6" x14ac:dyDescent="0.35">
      <c r="A185">
        <v>7614</v>
      </c>
      <c r="B185">
        <v>812</v>
      </c>
      <c r="C185">
        <v>7614</v>
      </c>
      <c r="D185" t="s">
        <v>419</v>
      </c>
      <c r="E185" t="s">
        <v>948</v>
      </c>
      <c r="F185" t="s">
        <v>22</v>
      </c>
    </row>
    <row r="186" spans="1:6" x14ac:dyDescent="0.35">
      <c r="A186">
        <v>7680</v>
      </c>
      <c r="B186">
        <v>318</v>
      </c>
      <c r="C186">
        <v>7680</v>
      </c>
      <c r="D186" t="s">
        <v>419</v>
      </c>
      <c r="E186" t="s">
        <v>948</v>
      </c>
      <c r="F186" t="s">
        <v>16</v>
      </c>
    </row>
    <row r="187" spans="1:6" x14ac:dyDescent="0.35">
      <c r="A187">
        <v>7759</v>
      </c>
      <c r="B187">
        <v>476</v>
      </c>
      <c r="C187">
        <v>7759</v>
      </c>
      <c r="D187" t="s">
        <v>419</v>
      </c>
      <c r="E187" t="s">
        <v>948</v>
      </c>
      <c r="F187" t="s">
        <v>22</v>
      </c>
    </row>
    <row r="188" spans="1:6" x14ac:dyDescent="0.35">
      <c r="A188">
        <v>7812</v>
      </c>
      <c r="B188">
        <v>7</v>
      </c>
      <c r="C188">
        <v>7812</v>
      </c>
      <c r="D188" t="s">
        <v>419</v>
      </c>
      <c r="E188" t="s">
        <v>948</v>
      </c>
      <c r="F188" t="s">
        <v>22</v>
      </c>
    </row>
    <row r="189" spans="1:6" x14ac:dyDescent="0.35">
      <c r="A189">
        <v>7875</v>
      </c>
      <c r="B189">
        <v>609</v>
      </c>
      <c r="C189">
        <v>7875</v>
      </c>
      <c r="D189" t="s">
        <v>419</v>
      </c>
      <c r="E189" t="s">
        <v>948</v>
      </c>
      <c r="F189" t="s">
        <v>16</v>
      </c>
    </row>
    <row r="190" spans="1:6" x14ac:dyDescent="0.35">
      <c r="A190">
        <v>7888</v>
      </c>
      <c r="B190">
        <v>609</v>
      </c>
      <c r="C190">
        <v>7888</v>
      </c>
      <c r="D190" t="s">
        <v>419</v>
      </c>
      <c r="E190" t="s">
        <v>948</v>
      </c>
      <c r="F190" t="s">
        <v>16</v>
      </c>
    </row>
    <row r="191" spans="1:6" x14ac:dyDescent="0.35">
      <c r="A191">
        <v>7939</v>
      </c>
      <c r="B191">
        <v>166</v>
      </c>
      <c r="C191">
        <v>7939</v>
      </c>
      <c r="D191" t="s">
        <v>419</v>
      </c>
      <c r="E191" t="s">
        <v>948</v>
      </c>
      <c r="F191" t="s">
        <v>16</v>
      </c>
    </row>
    <row r="192" spans="1:6" x14ac:dyDescent="0.35">
      <c r="A192">
        <v>7940</v>
      </c>
      <c r="B192">
        <v>166</v>
      </c>
      <c r="C192">
        <v>7940</v>
      </c>
      <c r="D192" t="s">
        <v>419</v>
      </c>
      <c r="E192" t="s">
        <v>948</v>
      </c>
      <c r="F192" t="s">
        <v>16</v>
      </c>
    </row>
    <row r="193" spans="1:6" x14ac:dyDescent="0.35">
      <c r="A193">
        <v>7943</v>
      </c>
      <c r="B193">
        <v>91</v>
      </c>
      <c r="C193">
        <v>7943</v>
      </c>
      <c r="D193" t="s">
        <v>419</v>
      </c>
      <c r="E193" t="s">
        <v>948</v>
      </c>
      <c r="F193" t="s">
        <v>22</v>
      </c>
    </row>
    <row r="194" spans="1:6" x14ac:dyDescent="0.35">
      <c r="A194">
        <v>7979</v>
      </c>
      <c r="B194">
        <v>693</v>
      </c>
      <c r="C194">
        <v>7979</v>
      </c>
      <c r="D194" t="s">
        <v>419</v>
      </c>
      <c r="E194" t="s">
        <v>948</v>
      </c>
      <c r="F194" t="s">
        <v>16</v>
      </c>
    </row>
    <row r="195" spans="1:6" x14ac:dyDescent="0.35">
      <c r="A195">
        <v>7980</v>
      </c>
      <c r="B195">
        <v>419</v>
      </c>
      <c r="C195">
        <v>7980</v>
      </c>
      <c r="D195" t="s">
        <v>419</v>
      </c>
      <c r="E195" t="s">
        <v>948</v>
      </c>
      <c r="F195" t="s">
        <v>16</v>
      </c>
    </row>
    <row r="196" spans="1:6" x14ac:dyDescent="0.35">
      <c r="A196">
        <v>8018</v>
      </c>
      <c r="B196">
        <v>453</v>
      </c>
      <c r="C196">
        <v>8018</v>
      </c>
      <c r="D196" t="s">
        <v>419</v>
      </c>
      <c r="E196" t="s">
        <v>948</v>
      </c>
      <c r="F196" t="s">
        <v>16</v>
      </c>
    </row>
    <row r="197" spans="1:6" x14ac:dyDescent="0.35">
      <c r="A197">
        <v>8019</v>
      </c>
      <c r="B197">
        <v>453</v>
      </c>
      <c r="C197">
        <v>8019</v>
      </c>
      <c r="D197" t="s">
        <v>419</v>
      </c>
      <c r="E197" t="s">
        <v>948</v>
      </c>
      <c r="F197" t="s">
        <v>16</v>
      </c>
    </row>
    <row r="198" spans="1:6" x14ac:dyDescent="0.35">
      <c r="A198">
        <v>8090</v>
      </c>
      <c r="B198">
        <v>725</v>
      </c>
      <c r="C198">
        <v>8090</v>
      </c>
      <c r="D198" t="s">
        <v>419</v>
      </c>
      <c r="E198" t="s">
        <v>948</v>
      </c>
      <c r="F198" t="s">
        <v>16</v>
      </c>
    </row>
    <row r="199" spans="1:6" x14ac:dyDescent="0.35">
      <c r="A199">
        <v>8129</v>
      </c>
      <c r="B199">
        <v>569</v>
      </c>
      <c r="C199">
        <v>8129</v>
      </c>
      <c r="D199" t="s">
        <v>419</v>
      </c>
      <c r="E199" t="s">
        <v>948</v>
      </c>
      <c r="F199" t="s">
        <v>22</v>
      </c>
    </row>
    <row r="200" spans="1:6" x14ac:dyDescent="0.35">
      <c r="A200">
        <v>8139</v>
      </c>
      <c r="B200">
        <v>291</v>
      </c>
      <c r="C200">
        <v>8139</v>
      </c>
      <c r="D200" t="s">
        <v>419</v>
      </c>
      <c r="E200" t="s">
        <v>948</v>
      </c>
      <c r="F200" t="s">
        <v>22</v>
      </c>
    </row>
    <row r="201" spans="1:6" x14ac:dyDescent="0.35">
      <c r="A201">
        <v>8204</v>
      </c>
      <c r="B201">
        <v>810</v>
      </c>
      <c r="C201">
        <v>8204</v>
      </c>
      <c r="D201" t="s">
        <v>419</v>
      </c>
      <c r="E201" t="s">
        <v>948</v>
      </c>
      <c r="F201" t="s">
        <v>16</v>
      </c>
    </row>
    <row r="202" spans="1:6" x14ac:dyDescent="0.35">
      <c r="A202">
        <v>8294</v>
      </c>
      <c r="B202">
        <v>554</v>
      </c>
      <c r="C202">
        <v>8294</v>
      </c>
      <c r="D202" t="s">
        <v>419</v>
      </c>
      <c r="E202" t="s">
        <v>948</v>
      </c>
      <c r="F202" t="s">
        <v>16</v>
      </c>
    </row>
    <row r="203" spans="1:6" x14ac:dyDescent="0.35">
      <c r="A203">
        <v>8295</v>
      </c>
      <c r="B203">
        <v>554</v>
      </c>
      <c r="C203">
        <v>8295</v>
      </c>
      <c r="D203" t="s">
        <v>419</v>
      </c>
      <c r="E203" t="s">
        <v>948</v>
      </c>
      <c r="F203" t="s">
        <v>16</v>
      </c>
    </row>
    <row r="204" spans="1:6" x14ac:dyDescent="0.35">
      <c r="A204">
        <v>8313</v>
      </c>
      <c r="B204">
        <v>915</v>
      </c>
      <c r="C204">
        <v>8313</v>
      </c>
      <c r="D204" t="s">
        <v>419</v>
      </c>
      <c r="E204" t="s">
        <v>948</v>
      </c>
      <c r="F204" t="s">
        <v>16</v>
      </c>
    </row>
    <row r="205" spans="1:6" x14ac:dyDescent="0.35">
      <c r="A205">
        <v>8314</v>
      </c>
      <c r="B205">
        <v>915</v>
      </c>
      <c r="C205">
        <v>8314</v>
      </c>
      <c r="D205" t="s">
        <v>419</v>
      </c>
      <c r="E205" t="s">
        <v>948</v>
      </c>
      <c r="F205" t="s">
        <v>16</v>
      </c>
    </row>
    <row r="206" spans="1:6" x14ac:dyDescent="0.35">
      <c r="A206">
        <v>8333</v>
      </c>
      <c r="B206">
        <v>556</v>
      </c>
      <c r="C206">
        <v>8333</v>
      </c>
      <c r="D206" t="s">
        <v>419</v>
      </c>
      <c r="E206" t="s">
        <v>948</v>
      </c>
      <c r="F206" t="s">
        <v>16</v>
      </c>
    </row>
    <row r="207" spans="1:6" x14ac:dyDescent="0.35">
      <c r="A207">
        <v>8353</v>
      </c>
      <c r="B207">
        <v>944</v>
      </c>
      <c r="C207">
        <v>8353</v>
      </c>
      <c r="D207" t="s">
        <v>419</v>
      </c>
      <c r="E207" t="s">
        <v>948</v>
      </c>
      <c r="F207" t="s">
        <v>16</v>
      </c>
    </row>
    <row r="208" spans="1:6" x14ac:dyDescent="0.35">
      <c r="A208">
        <v>8354</v>
      </c>
      <c r="B208">
        <v>944</v>
      </c>
      <c r="C208">
        <v>8354</v>
      </c>
      <c r="D208" t="s">
        <v>419</v>
      </c>
      <c r="E208" t="s">
        <v>948</v>
      </c>
      <c r="F208" t="s">
        <v>16</v>
      </c>
    </row>
    <row r="209" spans="1:6" x14ac:dyDescent="0.35">
      <c r="A209">
        <v>8482</v>
      </c>
      <c r="B209">
        <v>495</v>
      </c>
      <c r="C209">
        <v>8482</v>
      </c>
      <c r="D209" t="s">
        <v>419</v>
      </c>
      <c r="E209" t="s">
        <v>948</v>
      </c>
      <c r="F209" t="s">
        <v>16</v>
      </c>
    </row>
    <row r="210" spans="1:6" x14ac:dyDescent="0.35">
      <c r="A210">
        <v>8497</v>
      </c>
      <c r="B210">
        <v>236</v>
      </c>
      <c r="C210">
        <v>8497</v>
      </c>
      <c r="D210" t="s">
        <v>419</v>
      </c>
      <c r="E210" t="s">
        <v>948</v>
      </c>
      <c r="F210" t="s">
        <v>16</v>
      </c>
    </row>
    <row r="211" spans="1:6" x14ac:dyDescent="0.35">
      <c r="A211">
        <v>8537</v>
      </c>
      <c r="B211">
        <v>193</v>
      </c>
      <c r="C211">
        <v>8537</v>
      </c>
      <c r="D211" t="s">
        <v>419</v>
      </c>
      <c r="E211" t="s">
        <v>948</v>
      </c>
      <c r="F211" t="s">
        <v>16</v>
      </c>
    </row>
    <row r="212" spans="1:6" x14ac:dyDescent="0.35">
      <c r="A212">
        <v>8576</v>
      </c>
      <c r="B212">
        <v>15</v>
      </c>
      <c r="C212">
        <v>8576</v>
      </c>
      <c r="D212" t="s">
        <v>419</v>
      </c>
      <c r="E212" t="s">
        <v>948</v>
      </c>
      <c r="F212" t="s">
        <v>16</v>
      </c>
    </row>
    <row r="213" spans="1:6" x14ac:dyDescent="0.35">
      <c r="A213">
        <v>8577</v>
      </c>
      <c r="B213">
        <v>15</v>
      </c>
      <c r="C213">
        <v>8577</v>
      </c>
      <c r="D213" t="s">
        <v>419</v>
      </c>
      <c r="E213" t="s">
        <v>948</v>
      </c>
      <c r="F213" t="s">
        <v>16</v>
      </c>
    </row>
    <row r="214" spans="1:6" x14ac:dyDescent="0.35">
      <c r="A214">
        <v>8578</v>
      </c>
      <c r="B214">
        <v>15</v>
      </c>
      <c r="C214">
        <v>8578</v>
      </c>
      <c r="D214" t="s">
        <v>419</v>
      </c>
      <c r="E214" t="s">
        <v>948</v>
      </c>
      <c r="F214" t="s">
        <v>16</v>
      </c>
    </row>
    <row r="215" spans="1:6" x14ac:dyDescent="0.35">
      <c r="A215">
        <v>8586</v>
      </c>
      <c r="B215">
        <v>728</v>
      </c>
      <c r="C215">
        <v>8586</v>
      </c>
      <c r="D215" t="s">
        <v>419</v>
      </c>
      <c r="E215" t="s">
        <v>948</v>
      </c>
      <c r="F215" t="s">
        <v>16</v>
      </c>
    </row>
    <row r="216" spans="1:6" x14ac:dyDescent="0.35">
      <c r="A216">
        <v>8587</v>
      </c>
      <c r="B216">
        <v>728</v>
      </c>
      <c r="C216">
        <v>8587</v>
      </c>
      <c r="D216" t="s">
        <v>419</v>
      </c>
      <c r="E216" t="s">
        <v>948</v>
      </c>
      <c r="F216" t="s">
        <v>16</v>
      </c>
    </row>
    <row r="217" spans="1:6" x14ac:dyDescent="0.35">
      <c r="A217">
        <v>8594</v>
      </c>
      <c r="B217">
        <v>78</v>
      </c>
      <c r="C217">
        <v>8594</v>
      </c>
      <c r="D217" t="s">
        <v>419</v>
      </c>
      <c r="E217" t="s">
        <v>948</v>
      </c>
      <c r="F217" t="s">
        <v>16</v>
      </c>
    </row>
    <row r="218" spans="1:6" x14ac:dyDescent="0.35">
      <c r="A218">
        <v>8630</v>
      </c>
      <c r="B218">
        <v>4</v>
      </c>
      <c r="C218">
        <v>8630</v>
      </c>
      <c r="D218" t="s">
        <v>419</v>
      </c>
      <c r="E218" t="s">
        <v>948</v>
      </c>
      <c r="F218" t="s">
        <v>16</v>
      </c>
    </row>
    <row r="219" spans="1:6" x14ac:dyDescent="0.35">
      <c r="A219">
        <v>8631</v>
      </c>
      <c r="B219">
        <v>4</v>
      </c>
      <c r="C219">
        <v>8631</v>
      </c>
      <c r="D219" t="s">
        <v>419</v>
      </c>
      <c r="E219" t="s">
        <v>948</v>
      </c>
      <c r="F219" t="s">
        <v>16</v>
      </c>
    </row>
    <row r="220" spans="1:6" x14ac:dyDescent="0.35">
      <c r="A220">
        <v>8660</v>
      </c>
      <c r="B220">
        <v>541</v>
      </c>
      <c r="C220">
        <v>8660</v>
      </c>
      <c r="D220" t="s">
        <v>419</v>
      </c>
      <c r="E220" t="s">
        <v>948</v>
      </c>
      <c r="F220" t="s">
        <v>16</v>
      </c>
    </row>
    <row r="221" spans="1:6" x14ac:dyDescent="0.35">
      <c r="A221">
        <v>8662</v>
      </c>
      <c r="B221">
        <v>866</v>
      </c>
      <c r="C221">
        <v>8662</v>
      </c>
      <c r="D221" t="s">
        <v>419</v>
      </c>
      <c r="E221" t="s">
        <v>948</v>
      </c>
      <c r="F221" t="s">
        <v>16</v>
      </c>
    </row>
    <row r="222" spans="1:6" x14ac:dyDescent="0.35">
      <c r="A222">
        <v>8679</v>
      </c>
      <c r="B222">
        <v>769</v>
      </c>
      <c r="C222">
        <v>8679</v>
      </c>
      <c r="D222" t="s">
        <v>419</v>
      </c>
      <c r="E222" t="s">
        <v>948</v>
      </c>
      <c r="F222" t="s">
        <v>16</v>
      </c>
    </row>
    <row r="223" spans="1:6" x14ac:dyDescent="0.35">
      <c r="A223">
        <v>8684</v>
      </c>
      <c r="B223">
        <v>779</v>
      </c>
      <c r="C223">
        <v>8684</v>
      </c>
      <c r="D223" t="s">
        <v>419</v>
      </c>
      <c r="E223" t="s">
        <v>948</v>
      </c>
      <c r="F223" t="s">
        <v>22</v>
      </c>
    </row>
    <row r="224" spans="1:6" x14ac:dyDescent="0.35">
      <c r="A224">
        <v>8685</v>
      </c>
      <c r="B224">
        <v>779</v>
      </c>
      <c r="C224">
        <v>8685</v>
      </c>
      <c r="D224" t="s">
        <v>419</v>
      </c>
      <c r="E224" t="s">
        <v>948</v>
      </c>
      <c r="F224" t="s">
        <v>16</v>
      </c>
    </row>
    <row r="225" spans="1:6" x14ac:dyDescent="0.35">
      <c r="A225">
        <v>8727</v>
      </c>
      <c r="B225">
        <v>60</v>
      </c>
      <c r="C225">
        <v>8727</v>
      </c>
      <c r="D225" t="s">
        <v>419</v>
      </c>
      <c r="E225" t="s">
        <v>948</v>
      </c>
      <c r="F225" t="s">
        <v>16</v>
      </c>
    </row>
    <row r="226" spans="1:6" x14ac:dyDescent="0.35">
      <c r="A226">
        <v>8728</v>
      </c>
      <c r="B226">
        <v>60</v>
      </c>
      <c r="C226">
        <v>8728</v>
      </c>
      <c r="D226" t="s">
        <v>419</v>
      </c>
      <c r="E226" t="s">
        <v>948</v>
      </c>
      <c r="F226" t="s">
        <v>22</v>
      </c>
    </row>
    <row r="227" spans="1:6" x14ac:dyDescent="0.35">
      <c r="A227">
        <v>8729</v>
      </c>
      <c r="B227">
        <v>60</v>
      </c>
      <c r="C227">
        <v>8729</v>
      </c>
      <c r="D227" t="s">
        <v>419</v>
      </c>
      <c r="E227" t="s">
        <v>948</v>
      </c>
      <c r="F227" t="s">
        <v>16</v>
      </c>
    </row>
    <row r="228" spans="1:6" x14ac:dyDescent="0.35">
      <c r="A228">
        <v>8737</v>
      </c>
      <c r="B228">
        <v>31</v>
      </c>
      <c r="C228">
        <v>8737</v>
      </c>
      <c r="D228" t="s">
        <v>419</v>
      </c>
      <c r="E228" t="s">
        <v>948</v>
      </c>
      <c r="F228" t="s">
        <v>16</v>
      </c>
    </row>
    <row r="229" spans="1:6" x14ac:dyDescent="0.35">
      <c r="A229">
        <v>8835</v>
      </c>
      <c r="B229">
        <v>509</v>
      </c>
      <c r="C229">
        <v>8835</v>
      </c>
      <c r="D229" t="s">
        <v>419</v>
      </c>
      <c r="E229" t="s">
        <v>948</v>
      </c>
      <c r="F229" t="s">
        <v>16</v>
      </c>
    </row>
    <row r="230" spans="1:6" x14ac:dyDescent="0.35">
      <c r="A230">
        <v>8861</v>
      </c>
      <c r="B230">
        <v>33</v>
      </c>
      <c r="C230">
        <v>8861</v>
      </c>
      <c r="D230" t="s">
        <v>419</v>
      </c>
      <c r="E230" t="s">
        <v>948</v>
      </c>
      <c r="F230" t="s">
        <v>16</v>
      </c>
    </row>
    <row r="231" spans="1:6" x14ac:dyDescent="0.35">
      <c r="A231">
        <v>8868</v>
      </c>
      <c r="B231">
        <v>225</v>
      </c>
      <c r="C231">
        <v>8868</v>
      </c>
      <c r="D231" t="s">
        <v>419</v>
      </c>
      <c r="E231" t="s">
        <v>948</v>
      </c>
      <c r="F231" t="s">
        <v>16</v>
      </c>
    </row>
    <row r="232" spans="1:6" x14ac:dyDescent="0.35">
      <c r="A232">
        <v>8869</v>
      </c>
      <c r="B232">
        <v>225</v>
      </c>
      <c r="C232">
        <v>8869</v>
      </c>
      <c r="D232" t="s">
        <v>419</v>
      </c>
      <c r="E232" t="s">
        <v>948</v>
      </c>
      <c r="F232" t="s">
        <v>16</v>
      </c>
    </row>
    <row r="233" spans="1:6" x14ac:dyDescent="0.35">
      <c r="A233">
        <v>8887</v>
      </c>
      <c r="B233">
        <v>442</v>
      </c>
      <c r="C233">
        <v>8887</v>
      </c>
      <c r="D233" t="s">
        <v>419</v>
      </c>
      <c r="E233" t="s">
        <v>948</v>
      </c>
      <c r="F233" t="s">
        <v>16</v>
      </c>
    </row>
    <row r="234" spans="1:6" x14ac:dyDescent="0.35">
      <c r="A234">
        <v>8888</v>
      </c>
      <c r="B234">
        <v>442</v>
      </c>
      <c r="C234">
        <v>8888</v>
      </c>
      <c r="D234" t="s">
        <v>419</v>
      </c>
      <c r="E234" t="s">
        <v>948</v>
      </c>
      <c r="F234" t="s">
        <v>16</v>
      </c>
    </row>
    <row r="235" spans="1:6" x14ac:dyDescent="0.35">
      <c r="A235">
        <v>8896</v>
      </c>
      <c r="B235">
        <v>721</v>
      </c>
      <c r="C235">
        <v>8896</v>
      </c>
      <c r="D235" t="s">
        <v>419</v>
      </c>
      <c r="E235" t="s">
        <v>948</v>
      </c>
      <c r="F235" t="s">
        <v>16</v>
      </c>
    </row>
    <row r="236" spans="1:6" x14ac:dyDescent="0.35">
      <c r="A236">
        <v>8897</v>
      </c>
      <c r="B236">
        <v>721</v>
      </c>
      <c r="C236">
        <v>8897</v>
      </c>
      <c r="D236" t="s">
        <v>419</v>
      </c>
      <c r="E236" t="s">
        <v>948</v>
      </c>
      <c r="F236" t="s">
        <v>22</v>
      </c>
    </row>
    <row r="237" spans="1:6" x14ac:dyDescent="0.35">
      <c r="A237">
        <v>8927</v>
      </c>
      <c r="B237">
        <v>20</v>
      </c>
      <c r="C237">
        <v>8927</v>
      </c>
      <c r="D237" t="s">
        <v>419</v>
      </c>
      <c r="E237" t="s">
        <v>948</v>
      </c>
      <c r="F237" t="s">
        <v>16</v>
      </c>
    </row>
    <row r="238" spans="1:6" x14ac:dyDescent="0.35">
      <c r="A238">
        <v>8974</v>
      </c>
      <c r="B238">
        <v>85</v>
      </c>
      <c r="C238">
        <v>8974</v>
      </c>
      <c r="D238" t="s">
        <v>419</v>
      </c>
      <c r="E238" t="s">
        <v>948</v>
      </c>
      <c r="F238" t="s">
        <v>16</v>
      </c>
    </row>
    <row r="239" spans="1:6" x14ac:dyDescent="0.35">
      <c r="A239">
        <v>8988</v>
      </c>
      <c r="B239">
        <v>536</v>
      </c>
      <c r="C239">
        <v>8988</v>
      </c>
      <c r="D239" t="s">
        <v>419</v>
      </c>
      <c r="E239" t="s">
        <v>948</v>
      </c>
      <c r="F239" t="s">
        <v>22</v>
      </c>
    </row>
    <row r="240" spans="1:6" x14ac:dyDescent="0.35">
      <c r="A240">
        <v>9004</v>
      </c>
      <c r="B240">
        <v>457</v>
      </c>
      <c r="C240">
        <v>9004</v>
      </c>
      <c r="D240" t="s">
        <v>419</v>
      </c>
      <c r="E240" t="s">
        <v>948</v>
      </c>
      <c r="F240" t="s">
        <v>16</v>
      </c>
    </row>
    <row r="241" spans="1:6" x14ac:dyDescent="0.35">
      <c r="A241">
        <v>9009</v>
      </c>
      <c r="B241">
        <v>348</v>
      </c>
      <c r="C241">
        <v>9009</v>
      </c>
      <c r="D241" t="s">
        <v>419</v>
      </c>
      <c r="E241" t="s">
        <v>948</v>
      </c>
      <c r="F241" t="s">
        <v>16</v>
      </c>
    </row>
    <row r="242" spans="1:6" x14ac:dyDescent="0.35">
      <c r="A242">
        <v>9051</v>
      </c>
      <c r="B242">
        <v>467</v>
      </c>
      <c r="C242">
        <v>9051</v>
      </c>
      <c r="D242" t="s">
        <v>419</v>
      </c>
      <c r="E242" t="s">
        <v>948</v>
      </c>
      <c r="F242" t="s">
        <v>16</v>
      </c>
    </row>
    <row r="243" spans="1:6" x14ac:dyDescent="0.35">
      <c r="A243">
        <v>9052</v>
      </c>
      <c r="B243">
        <v>467</v>
      </c>
      <c r="C243">
        <v>9052</v>
      </c>
      <c r="D243" t="s">
        <v>419</v>
      </c>
      <c r="E243" t="s">
        <v>948</v>
      </c>
      <c r="F243" t="s">
        <v>16</v>
      </c>
    </row>
    <row r="244" spans="1:6" x14ac:dyDescent="0.35">
      <c r="A244">
        <v>9204</v>
      </c>
      <c r="B244">
        <v>20</v>
      </c>
      <c r="C244">
        <v>9204</v>
      </c>
      <c r="D244" t="s">
        <v>419</v>
      </c>
      <c r="E244" t="s">
        <v>948</v>
      </c>
      <c r="F244" t="s">
        <v>16</v>
      </c>
    </row>
    <row r="245" spans="1:6" x14ac:dyDescent="0.35">
      <c r="A245">
        <v>9232</v>
      </c>
      <c r="B245">
        <v>845</v>
      </c>
      <c r="C245">
        <v>9232</v>
      </c>
      <c r="D245" t="s">
        <v>419</v>
      </c>
      <c r="E245" t="s">
        <v>948</v>
      </c>
      <c r="F245" t="s">
        <v>16</v>
      </c>
    </row>
    <row r="246" spans="1:6" x14ac:dyDescent="0.35">
      <c r="A246">
        <v>9306</v>
      </c>
      <c r="B246">
        <v>64</v>
      </c>
      <c r="C246">
        <v>9306</v>
      </c>
      <c r="D246" t="s">
        <v>419</v>
      </c>
      <c r="E246" t="s">
        <v>948</v>
      </c>
      <c r="F246" t="s">
        <v>16</v>
      </c>
    </row>
    <row r="247" spans="1:6" x14ac:dyDescent="0.35">
      <c r="A247">
        <v>9434</v>
      </c>
      <c r="B247">
        <v>451</v>
      </c>
      <c r="C247">
        <v>9434</v>
      </c>
      <c r="D247" t="s">
        <v>419</v>
      </c>
      <c r="E247" t="s">
        <v>948</v>
      </c>
      <c r="F247" t="s">
        <v>16</v>
      </c>
    </row>
    <row r="248" spans="1:6" x14ac:dyDescent="0.35">
      <c r="A248">
        <v>9512</v>
      </c>
      <c r="B248">
        <v>957</v>
      </c>
      <c r="C248">
        <v>9512</v>
      </c>
      <c r="D248" t="s">
        <v>419</v>
      </c>
      <c r="E248" t="s">
        <v>948</v>
      </c>
      <c r="F248" t="s">
        <v>16</v>
      </c>
    </row>
    <row r="249" spans="1:6" x14ac:dyDescent="0.35">
      <c r="A249">
        <v>9513</v>
      </c>
      <c r="B249">
        <v>957</v>
      </c>
      <c r="C249">
        <v>9513</v>
      </c>
      <c r="D249" t="s">
        <v>419</v>
      </c>
      <c r="E249" t="s">
        <v>948</v>
      </c>
      <c r="F249" t="s">
        <v>16</v>
      </c>
    </row>
    <row r="250" spans="1:6" x14ac:dyDescent="0.35">
      <c r="A250">
        <v>9580</v>
      </c>
      <c r="B250">
        <v>367</v>
      </c>
      <c r="C250">
        <v>9580</v>
      </c>
      <c r="D250" t="s">
        <v>419</v>
      </c>
      <c r="E250" t="s">
        <v>948</v>
      </c>
      <c r="F250" t="s">
        <v>16</v>
      </c>
    </row>
    <row r="251" spans="1:6" x14ac:dyDescent="0.35">
      <c r="A251">
        <v>9584</v>
      </c>
      <c r="B251">
        <v>890</v>
      </c>
      <c r="C251">
        <v>9584</v>
      </c>
      <c r="D251" t="s">
        <v>419</v>
      </c>
      <c r="E251" t="s">
        <v>948</v>
      </c>
      <c r="F251" t="s">
        <v>16</v>
      </c>
    </row>
    <row r="252" spans="1:6" x14ac:dyDescent="0.35">
      <c r="A252">
        <v>9604</v>
      </c>
      <c r="B252">
        <v>229</v>
      </c>
      <c r="C252">
        <v>9604</v>
      </c>
      <c r="D252" t="s">
        <v>419</v>
      </c>
      <c r="E252" t="s">
        <v>948</v>
      </c>
      <c r="F252" t="s">
        <v>16</v>
      </c>
    </row>
    <row r="253" spans="1:6" x14ac:dyDescent="0.35">
      <c r="A253">
        <v>9605</v>
      </c>
      <c r="B253">
        <v>229</v>
      </c>
      <c r="C253">
        <v>9605</v>
      </c>
      <c r="D253" t="s">
        <v>419</v>
      </c>
      <c r="E253" t="s">
        <v>948</v>
      </c>
      <c r="F253" t="s">
        <v>16</v>
      </c>
    </row>
    <row r="254" spans="1:6" x14ac:dyDescent="0.35">
      <c r="A254">
        <v>9643</v>
      </c>
      <c r="B254">
        <v>551</v>
      </c>
      <c r="C254">
        <v>9643</v>
      </c>
      <c r="D254" t="s">
        <v>419</v>
      </c>
      <c r="E254" t="s">
        <v>948</v>
      </c>
      <c r="F254" t="s">
        <v>16</v>
      </c>
    </row>
    <row r="255" spans="1:6" x14ac:dyDescent="0.35">
      <c r="A255">
        <v>9644</v>
      </c>
      <c r="B255">
        <v>551</v>
      </c>
      <c r="C255">
        <v>9644</v>
      </c>
      <c r="D255" t="s">
        <v>419</v>
      </c>
      <c r="E255" t="s">
        <v>948</v>
      </c>
      <c r="F255" t="s">
        <v>16</v>
      </c>
    </row>
    <row r="256" spans="1:6" x14ac:dyDescent="0.35">
      <c r="A256">
        <v>9682</v>
      </c>
      <c r="B256">
        <v>876</v>
      </c>
      <c r="C256">
        <v>9682</v>
      </c>
      <c r="D256" t="s">
        <v>419</v>
      </c>
      <c r="E256" t="s">
        <v>948</v>
      </c>
      <c r="F256" t="s">
        <v>16</v>
      </c>
    </row>
    <row r="257" spans="1:6" x14ac:dyDescent="0.35">
      <c r="A257">
        <v>9724</v>
      </c>
      <c r="B257">
        <v>849</v>
      </c>
      <c r="C257">
        <v>9724</v>
      </c>
      <c r="D257" t="s">
        <v>419</v>
      </c>
      <c r="E257" t="s">
        <v>948</v>
      </c>
      <c r="F257" t="s">
        <v>16</v>
      </c>
    </row>
    <row r="258" spans="1:6" x14ac:dyDescent="0.35">
      <c r="A258">
        <v>9725</v>
      </c>
      <c r="B258">
        <v>849</v>
      </c>
      <c r="C258">
        <v>9725</v>
      </c>
      <c r="D258" t="s">
        <v>419</v>
      </c>
      <c r="E258" t="s">
        <v>948</v>
      </c>
      <c r="F258" t="s">
        <v>16</v>
      </c>
    </row>
    <row r="259" spans="1:6" x14ac:dyDescent="0.35">
      <c r="A259">
        <v>9729</v>
      </c>
      <c r="B259">
        <v>516</v>
      </c>
      <c r="C259">
        <v>9729</v>
      </c>
      <c r="D259" t="s">
        <v>419</v>
      </c>
      <c r="E259" t="s">
        <v>948</v>
      </c>
      <c r="F259" t="s">
        <v>16</v>
      </c>
    </row>
    <row r="260" spans="1:6" x14ac:dyDescent="0.35">
      <c r="A260">
        <v>9810</v>
      </c>
      <c r="B260">
        <v>499</v>
      </c>
      <c r="C260">
        <v>9810</v>
      </c>
      <c r="D260" t="s">
        <v>419</v>
      </c>
      <c r="E260" t="s">
        <v>948</v>
      </c>
      <c r="F260" t="s">
        <v>16</v>
      </c>
    </row>
    <row r="261" spans="1:6" x14ac:dyDescent="0.35">
      <c r="A261">
        <v>9811</v>
      </c>
      <c r="B261">
        <v>499</v>
      </c>
      <c r="C261">
        <v>9811</v>
      </c>
      <c r="D261" t="s">
        <v>419</v>
      </c>
      <c r="E261" t="s">
        <v>948</v>
      </c>
      <c r="F261" t="s">
        <v>16</v>
      </c>
    </row>
    <row r="262" spans="1:6" x14ac:dyDescent="0.35">
      <c r="A262">
        <v>9906</v>
      </c>
      <c r="B262">
        <v>264</v>
      </c>
      <c r="C262">
        <v>9906</v>
      </c>
      <c r="D262" t="s">
        <v>419</v>
      </c>
      <c r="E262" t="s">
        <v>948</v>
      </c>
      <c r="F262" t="s">
        <v>16</v>
      </c>
    </row>
    <row r="263" spans="1:6" x14ac:dyDescent="0.35">
      <c r="A263">
        <v>9963</v>
      </c>
      <c r="B263">
        <v>57</v>
      </c>
      <c r="C263">
        <v>9963</v>
      </c>
      <c r="D263" t="s">
        <v>419</v>
      </c>
      <c r="E263" t="s">
        <v>948</v>
      </c>
      <c r="F263" t="s">
        <v>16</v>
      </c>
    </row>
    <row r="264" spans="1:6" x14ac:dyDescent="0.35">
      <c r="A264">
        <v>9265</v>
      </c>
      <c r="B264">
        <v>959</v>
      </c>
      <c r="C264">
        <v>9265</v>
      </c>
      <c r="D264" t="s">
        <v>419</v>
      </c>
      <c r="E264" t="s">
        <v>948</v>
      </c>
      <c r="F264" t="s">
        <v>22</v>
      </c>
    </row>
    <row r="265" spans="1:6" x14ac:dyDescent="0.35">
      <c r="A265">
        <v>4830</v>
      </c>
      <c r="B265">
        <v>907</v>
      </c>
      <c r="C265">
        <v>4830</v>
      </c>
      <c r="D265" t="s">
        <v>419</v>
      </c>
      <c r="E265" t="s">
        <v>948</v>
      </c>
      <c r="F265" t="s">
        <v>16</v>
      </c>
    </row>
    <row r="266" spans="1:6" x14ac:dyDescent="0.35">
      <c r="A266">
        <v>2228</v>
      </c>
      <c r="B266">
        <v>944</v>
      </c>
      <c r="C266">
        <v>2228</v>
      </c>
      <c r="D266" t="s">
        <v>419</v>
      </c>
      <c r="E266" t="s">
        <v>948</v>
      </c>
      <c r="F266" t="s">
        <v>16</v>
      </c>
    </row>
    <row r="267" spans="1:6" x14ac:dyDescent="0.35">
      <c r="A267">
        <v>4868</v>
      </c>
      <c r="B267">
        <v>777</v>
      </c>
      <c r="C267">
        <v>4868</v>
      </c>
      <c r="D267" t="s">
        <v>419</v>
      </c>
      <c r="E267" t="s">
        <v>948</v>
      </c>
      <c r="F267" t="s">
        <v>22</v>
      </c>
    </row>
    <row r="268" spans="1:6" x14ac:dyDescent="0.35">
      <c r="A268">
        <v>4866</v>
      </c>
      <c r="B268">
        <v>5</v>
      </c>
      <c r="C268">
        <v>4866</v>
      </c>
      <c r="D268" t="s">
        <v>949</v>
      </c>
      <c r="E268" t="s">
        <v>948</v>
      </c>
      <c r="F268" t="s">
        <v>22</v>
      </c>
    </row>
    <row r="269" spans="1:6" x14ac:dyDescent="0.35">
      <c r="A269">
        <v>192</v>
      </c>
      <c r="B269">
        <v>348</v>
      </c>
      <c r="C269">
        <v>192</v>
      </c>
      <c r="D269" t="s">
        <v>949</v>
      </c>
      <c r="E269" t="s">
        <v>948</v>
      </c>
      <c r="F269" t="s">
        <v>16</v>
      </c>
    </row>
    <row r="270" spans="1:6" x14ac:dyDescent="0.35">
      <c r="A270">
        <v>316</v>
      </c>
      <c r="B270">
        <v>4</v>
      </c>
      <c r="C270">
        <v>316</v>
      </c>
      <c r="D270" t="s">
        <v>949</v>
      </c>
      <c r="E270" t="s">
        <v>948</v>
      </c>
      <c r="F270" t="s">
        <v>16</v>
      </c>
    </row>
    <row r="271" spans="1:6" x14ac:dyDescent="0.35">
      <c r="A271">
        <v>442</v>
      </c>
      <c r="B271">
        <v>333</v>
      </c>
      <c r="C271">
        <v>442</v>
      </c>
      <c r="D271" t="s">
        <v>949</v>
      </c>
      <c r="E271" t="s">
        <v>948</v>
      </c>
      <c r="F271" t="s">
        <v>22</v>
      </c>
    </row>
    <row r="272" spans="1:6" x14ac:dyDescent="0.35">
      <c r="A272">
        <v>278</v>
      </c>
      <c r="B272">
        <v>292</v>
      </c>
      <c r="C272">
        <v>278</v>
      </c>
      <c r="D272" t="s">
        <v>949</v>
      </c>
      <c r="E272" t="s">
        <v>948</v>
      </c>
      <c r="F272" t="s">
        <v>16</v>
      </c>
    </row>
    <row r="273" spans="1:6" x14ac:dyDescent="0.35">
      <c r="A273">
        <v>172</v>
      </c>
      <c r="B273">
        <v>499</v>
      </c>
      <c r="C273">
        <v>172</v>
      </c>
      <c r="D273" t="s">
        <v>949</v>
      </c>
      <c r="E273" t="s">
        <v>948</v>
      </c>
      <c r="F273" t="s">
        <v>16</v>
      </c>
    </row>
    <row r="274" spans="1:6" x14ac:dyDescent="0.35">
      <c r="A274">
        <v>428</v>
      </c>
      <c r="B274">
        <v>306</v>
      </c>
      <c r="C274">
        <v>428</v>
      </c>
      <c r="D274" t="s">
        <v>949</v>
      </c>
      <c r="E274" t="s">
        <v>948</v>
      </c>
      <c r="F274" t="s">
        <v>22</v>
      </c>
    </row>
    <row r="275" spans="1:6" x14ac:dyDescent="0.35">
      <c r="A275">
        <v>2208</v>
      </c>
      <c r="B275">
        <v>185</v>
      </c>
      <c r="C275">
        <v>2208</v>
      </c>
      <c r="D275" t="s">
        <v>949</v>
      </c>
      <c r="E275" t="s">
        <v>948</v>
      </c>
      <c r="F275" t="s">
        <v>22</v>
      </c>
    </row>
    <row r="276" spans="1:6" x14ac:dyDescent="0.35">
      <c r="A276">
        <v>1469</v>
      </c>
      <c r="B276">
        <v>214</v>
      </c>
      <c r="C276">
        <v>1469</v>
      </c>
      <c r="D276" t="s">
        <v>949</v>
      </c>
      <c r="E276" t="s">
        <v>948</v>
      </c>
      <c r="F276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/>
  </sheetViews>
  <sheetFormatPr baseColWidth="10" defaultColWidth="8.7265625" defaultRowHeight="14.5" x14ac:dyDescent="0.35"/>
  <sheetData>
    <row r="1" spans="1:11" x14ac:dyDescent="0.35">
      <c r="A1" s="1" t="s">
        <v>410</v>
      </c>
      <c r="B1" s="1" t="s">
        <v>1</v>
      </c>
      <c r="C1" s="1" t="s">
        <v>2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</row>
    <row r="2" spans="1:11" x14ac:dyDescent="0.35">
      <c r="A2">
        <v>361</v>
      </c>
      <c r="B2">
        <v>5005</v>
      </c>
      <c r="C2" t="s">
        <v>16</v>
      </c>
      <c r="D2" t="s">
        <v>419</v>
      </c>
      <c r="E2" t="s">
        <v>488</v>
      </c>
      <c r="F2" t="s">
        <v>489</v>
      </c>
      <c r="G2" t="s">
        <v>490</v>
      </c>
      <c r="H2" s="2">
        <v>46070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MF</vt:lpstr>
      <vt:lpstr>Lista MF</vt:lpstr>
      <vt:lpstr>Notas</vt:lpstr>
      <vt:lpstr>CP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2026-03-18T18:14:25Z</dcterms:created>
  <dcterms:modified xsi:type="dcterms:W3CDTF">2026-03-18T18:43:17Z</dcterms:modified>
</cp:coreProperties>
</file>