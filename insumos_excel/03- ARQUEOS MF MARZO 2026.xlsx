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</row>
    <row r="2">
      <c r="A2" t="n">
        <v>4</v>
      </c>
      <c r="B2" t="n">
        <v>316</v>
      </c>
      <c r="C2" t="inlineStr">
        <is>
          <t>BELLTECH</t>
        </is>
      </c>
      <c r="D2" t="inlineStr">
        <is>
          <t>BELLTECH</t>
        </is>
      </c>
      <c r="E2" s="3" t="n">
        <v>46084</v>
      </c>
      <c r="F2" s="3" t="n">
        <v>46083</v>
      </c>
      <c r="G2" t="inlineStr">
        <is>
          <t>14:01:00</t>
        </is>
      </c>
      <c r="H2" t="n">
        <v>165401700</v>
      </c>
      <c r="I2" t="n">
        <v>152849650</v>
      </c>
      <c r="J2" t="n">
        <v>10330000</v>
      </c>
      <c r="K2" t="n">
        <v>30416000</v>
      </c>
      <c r="L2" t="n">
        <v>7270000</v>
      </c>
      <c r="M2">
        <f>I2-(H2+J2-K2)- L2</f>
        <v/>
      </c>
      <c r="N2">
        <f>IF(M2=0,"Cuadrado",IF(M2&gt;0,"Faltante","Sobrante"))</f>
        <v/>
      </c>
      <c r="O2" t="inlineStr">
        <is>
          <t>ACLARAR DIFERENCIA Y REPETIR EL ARQUEO</t>
        </is>
      </c>
      <c r="P2" t="n">
        <v>71278620</v>
      </c>
    </row>
    <row r="3">
      <c r="A3" t="n">
        <v>4</v>
      </c>
      <c r="B3" t="n">
        <v>8630</v>
      </c>
      <c r="C3" t="inlineStr">
        <is>
          <t>BELLTECH</t>
        </is>
      </c>
      <c r="D3" t="inlineStr">
        <is>
          <t>BELLTECH</t>
        </is>
      </c>
      <c r="E3" s="3" t="n">
        <v>46084</v>
      </c>
      <c r="F3" s="3" t="n">
        <v>46083</v>
      </c>
      <c r="G3" t="inlineStr">
        <is>
          <t>08:57:00</t>
        </is>
      </c>
      <c r="H3" t="n">
        <v>340986350</v>
      </c>
      <c r="I3" t="n">
        <v>309933350</v>
      </c>
      <c r="J3" t="n">
        <v>1640000</v>
      </c>
      <c r="K3" t="n">
        <v>32693000</v>
      </c>
      <c r="M3">
        <f>I3-(H3+J3-K3)- L3</f>
        <v/>
      </c>
      <c r="N3">
        <f>IF(M3=0,"Cuadrado",IF(M3&gt;0,"Faltante","Sobrante"))</f>
        <v/>
      </c>
      <c r="O3" t="inlineStr">
        <is>
          <t>Cajero cuadrado, sin observación por parte de la sucursal</t>
        </is>
      </c>
      <c r="P3" t="n">
        <v>71278620</v>
      </c>
    </row>
    <row r="4">
      <c r="A4" t="n">
        <v>4</v>
      </c>
      <c r="B4" t="n">
        <v>8631</v>
      </c>
      <c r="C4" t="inlineStr">
        <is>
          <t>BELLTECH</t>
        </is>
      </c>
      <c r="D4" t="inlineStr">
        <is>
          <t>BELLTECH</t>
        </is>
      </c>
      <c r="E4" s="3" t="n">
        <v>46084</v>
      </c>
      <c r="F4" s="3" t="n">
        <v>46083</v>
      </c>
      <c r="G4" t="inlineStr">
        <is>
          <t>11:06:00</t>
        </is>
      </c>
      <c r="H4" t="n">
        <v>212123550</v>
      </c>
      <c r="I4" t="n">
        <v>170623550</v>
      </c>
      <c r="J4" t="n">
        <v>15550000</v>
      </c>
      <c r="K4" t="n">
        <v>57050000</v>
      </c>
      <c r="M4">
        <f>I4-(H4+J4-K4)- L4</f>
        <v/>
      </c>
      <c r="N4">
        <f>IF(M4=0,"Cuadrado",IF(M4&gt;0,"Faltante","Sobrante"))</f>
        <v/>
      </c>
      <c r="O4" t="inlineStr">
        <is>
          <t>Cajero cuadrado, sin observación por parte de la sucursal</t>
        </is>
      </c>
      <c r="P4" t="n">
        <v>71278620</v>
      </c>
    </row>
    <row r="5">
      <c r="A5" t="n">
        <v>5</v>
      </c>
      <c r="B5" t="n">
        <v>4866</v>
      </c>
      <c r="C5" t="inlineStr">
        <is>
          <t>DIEBOLD</t>
        </is>
      </c>
      <c r="D5" t="inlineStr">
        <is>
          <t>BELLTECH</t>
        </is>
      </c>
      <c r="E5" s="3" t="n">
        <v>46084</v>
      </c>
      <c r="F5" s="3" t="n">
        <v>46083</v>
      </c>
      <c r="G5" t="inlineStr">
        <is>
          <t>15:26:24</t>
        </is>
      </c>
      <c r="H5" t="n">
        <v>204655550</v>
      </c>
      <c r="I5" t="n">
        <v>144824400</v>
      </c>
      <c r="J5" t="n">
        <v>9970000</v>
      </c>
      <c r="K5" t="n">
        <v>69703150</v>
      </c>
      <c r="M5">
        <f>I5-(H5+J5-K5)- L5</f>
        <v/>
      </c>
      <c r="N5">
        <f>IF(M5=0,"Cuadrado",IF(M5&gt;0,"Faltante","Sobrante"))</f>
        <v/>
      </c>
      <c r="O5" t="inlineStr">
        <is>
          <t>La diferencia es contabilizada por la Gerencia De Autoservicios y Efectivo de manera centralizada a la cuenta de sobrantes 279510020 el 03/03/2026</t>
        </is>
      </c>
      <c r="P5" t="n">
        <v>43824478</v>
      </c>
    </row>
    <row r="6">
      <c r="A6" t="n">
        <v>7</v>
      </c>
      <c r="B6" t="n">
        <v>5059</v>
      </c>
      <c r="C6" t="inlineStr">
        <is>
          <t>BELLTECH</t>
        </is>
      </c>
      <c r="D6" t="inlineStr">
        <is>
          <t>BELLTECH</t>
        </is>
      </c>
      <c r="E6" s="3" t="n">
        <v>46084</v>
      </c>
      <c r="F6" s="3" t="n">
        <v>46083</v>
      </c>
      <c r="G6" t="inlineStr">
        <is>
          <t>08:46:00</t>
        </is>
      </c>
      <c r="H6" t="n">
        <v>198375050</v>
      </c>
      <c r="I6" t="n">
        <v>200485150</v>
      </c>
      <c r="J6" t="n">
        <v>7370000</v>
      </c>
      <c r="K6" t="n">
        <v>0</v>
      </c>
      <c r="M6">
        <f>I6-(H6+J6-K6)- L6</f>
        <v/>
      </c>
      <c r="N6">
        <f>IF(M6=0,"Cuadrado",IF(M6&gt;0,"Faltante","Sobrante"))</f>
        <v/>
      </c>
      <c r="O6" t="inlineStr">
        <is>
          <t>La diferencia es contabilizada por la Gerencia De Autoservicios y Efectivo de manera centralizada a la cuenta de sobrantes 279510020 el 03/03/2026</t>
        </is>
      </c>
      <c r="P6" t="n">
        <v>1017155472</v>
      </c>
    </row>
    <row r="7">
      <c r="A7" t="n">
        <v>7</v>
      </c>
      <c r="B7" t="n">
        <v>7812</v>
      </c>
      <c r="C7" t="inlineStr">
        <is>
          <t>DIEBOLD</t>
        </is>
      </c>
      <c r="D7" t="inlineStr">
        <is>
          <t>BELLTECH</t>
        </is>
      </c>
      <c r="E7" s="3" t="n">
        <v>46084</v>
      </c>
      <c r="F7" s="3" t="n">
        <v>46083</v>
      </c>
      <c r="G7" t="inlineStr">
        <is>
          <t>09:25:00</t>
        </is>
      </c>
      <c r="H7" t="n">
        <v>69564800</v>
      </c>
      <c r="I7" t="n">
        <v>77472800</v>
      </c>
      <c r="J7" t="n">
        <v>4500000</v>
      </c>
      <c r="K7" t="n">
        <v>4955000</v>
      </c>
      <c r="L7" t="n">
        <v>8363000</v>
      </c>
      <c r="M7">
        <f>I7-(H7+J7-K7)- L7</f>
        <v/>
      </c>
      <c r="N7">
        <f>IF(M7=0,"Cuadrado",IF(M7&gt;0,"Faltante","Sobrante"))</f>
        <v/>
      </c>
      <c r="O7" t="inlineStr">
        <is>
          <t>Cajero cuadrado, sin observación por parte de la sucursal</t>
        </is>
      </c>
      <c r="P7" t="n">
        <v>1017155472</v>
      </c>
    </row>
    <row r="8">
      <c r="A8" t="n">
        <v>15</v>
      </c>
      <c r="B8" t="n">
        <v>8578</v>
      </c>
      <c r="C8" t="inlineStr">
        <is>
          <t>BELLTECH</t>
        </is>
      </c>
      <c r="D8" t="inlineStr">
        <is>
          <t>BELLTECH</t>
        </is>
      </c>
      <c r="E8" s="3" t="n">
        <v>46084</v>
      </c>
      <c r="F8" s="3" t="n">
        <v>46083</v>
      </c>
      <c r="G8" t="inlineStr">
        <is>
          <t>15:28:00</t>
        </is>
      </c>
      <c r="H8" t="n">
        <v>37305450</v>
      </c>
      <c r="I8" t="n">
        <v>53765450</v>
      </c>
      <c r="J8" t="n">
        <v>45750000</v>
      </c>
      <c r="K8" t="n">
        <v>28525000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sobrantes 279510020 el 03/03/2026</t>
        </is>
      </c>
      <c r="P8" t="n">
        <v>1037325417</v>
      </c>
    </row>
    <row r="9">
      <c r="A9" t="n">
        <v>33</v>
      </c>
      <c r="B9" t="n">
        <v>8861</v>
      </c>
      <c r="C9" t="inlineStr">
        <is>
          <t>BELLTECH</t>
        </is>
      </c>
      <c r="D9" t="inlineStr">
        <is>
          <t>BELLTECH</t>
        </is>
      </c>
      <c r="E9" s="3" t="n">
        <v>46084</v>
      </c>
      <c r="F9" s="3" t="n">
        <v>46083</v>
      </c>
      <c r="G9" t="inlineStr">
        <is>
          <t>11:23:00</t>
        </is>
      </c>
      <c r="H9" t="n">
        <v>134901800</v>
      </c>
      <c r="I9" t="n">
        <v>168074400</v>
      </c>
      <c r="J9" t="n">
        <v>23520000</v>
      </c>
      <c r="K9" t="n">
        <v>11607400</v>
      </c>
      <c r="M9">
        <f>I9-(H9+J9-K9)- L9</f>
        <v/>
      </c>
      <c r="N9">
        <f>IF(M9=0,"Cuadrado",IF(M9&gt;0,"Faltante","Sobrante"))</f>
        <v/>
      </c>
      <c r="O9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9" t="n">
        <v>79659379</v>
      </c>
    </row>
    <row r="10">
      <c r="A10" t="n">
        <v>54</v>
      </c>
      <c r="B10" t="n">
        <v>6204</v>
      </c>
      <c r="C10" t="inlineStr">
        <is>
          <t>BELLTECH</t>
        </is>
      </c>
      <c r="D10" t="inlineStr">
        <is>
          <t>BELLTECH</t>
        </is>
      </c>
      <c r="E10" s="3" t="n">
        <v>46084</v>
      </c>
      <c r="F10" s="3" t="n">
        <v>46083</v>
      </c>
      <c r="G10" t="inlineStr">
        <is>
          <t>09:43:00</t>
        </is>
      </c>
      <c r="H10" t="n">
        <v>240573750</v>
      </c>
      <c r="I10" t="n">
        <v>241908750</v>
      </c>
      <c r="J10" t="n">
        <v>3880000</v>
      </c>
      <c r="K10" t="n">
        <v>0</v>
      </c>
      <c r="M10">
        <f>I10-(H10+J10-K10)- L10</f>
        <v/>
      </c>
      <c r="N10">
        <f>IF(M10=0,"Cuadrado",IF(M10&gt;0,"Faltante","Sobrante"))</f>
        <v/>
      </c>
      <c r="O10" t="inlineStr">
        <is>
          <t>La diferencia es contabilizada por la Gerencia De Autoservicios y Efectivo de manera centralizada a la cuenta de sobrantes 279510020 el 03/03/2026</t>
        </is>
      </c>
      <c r="P10" t="n">
        <v>1019068822</v>
      </c>
    </row>
    <row r="11">
      <c r="A11" t="n">
        <v>60</v>
      </c>
      <c r="B11" t="n">
        <v>8729</v>
      </c>
      <c r="C11" t="inlineStr">
        <is>
          <t>BELLTECH</t>
        </is>
      </c>
      <c r="D11" t="inlineStr">
        <is>
          <t>BELLTECH</t>
        </is>
      </c>
      <c r="E11" s="3" t="n">
        <v>46084</v>
      </c>
      <c r="F11" s="3" t="n">
        <v>46083</v>
      </c>
      <c r="G11" t="inlineStr">
        <is>
          <t>10:41:00</t>
        </is>
      </c>
      <c r="H11" t="n">
        <v>43414250</v>
      </c>
      <c r="I11" t="n">
        <v>32468250</v>
      </c>
      <c r="J11" t="n">
        <v>18200000</v>
      </c>
      <c r="K11" t="n">
        <v>29196000</v>
      </c>
      <c r="L11" t="n">
        <v>50000</v>
      </c>
      <c r="M11">
        <f>I11-(H11+J11-K11)- L11</f>
        <v/>
      </c>
      <c r="N11">
        <f>IF(M11=0,"Cuadrado",IF(M11&gt;0,"Faltante","Sobrante"))</f>
        <v/>
      </c>
      <c r="O11" t="inlineStr">
        <is>
          <t>Cajero cuadrado, sin observación por parte de la sucursal</t>
        </is>
      </c>
      <c r="P11" t="n">
        <v>14697128</v>
      </c>
    </row>
    <row r="12">
      <c r="A12" t="n">
        <v>61</v>
      </c>
      <c r="B12" t="n">
        <v>788</v>
      </c>
      <c r="C12" t="inlineStr">
        <is>
          <t>BELLTECH</t>
        </is>
      </c>
      <c r="D12" t="inlineStr">
        <is>
          <t>DIEBOLD</t>
        </is>
      </c>
      <c r="E12" s="3" t="n">
        <v>46084</v>
      </c>
      <c r="F12" s="3" t="n">
        <v>46083</v>
      </c>
      <c r="G12" t="inlineStr">
        <is>
          <t>09:45:00</t>
        </is>
      </c>
      <c r="H12" t="n">
        <v>149527500</v>
      </c>
      <c r="I12" t="n">
        <v>155897500</v>
      </c>
      <c r="J12" t="n">
        <v>16070000</v>
      </c>
      <c r="K12" t="n">
        <v>9900000</v>
      </c>
      <c r="M12">
        <f>I12-(H12+J12-K12)- L12</f>
        <v/>
      </c>
      <c r="N12">
        <f>IF(M12=0,"Cuadrado",IF(M12&gt;0,"Faltante","Sobrante"))</f>
        <v/>
      </c>
      <c r="O12" t="inlineStr">
        <is>
          <t>REPITIERON ARQUEO</t>
        </is>
      </c>
      <c r="P12" t="n">
        <v>16497924</v>
      </c>
    </row>
    <row r="13">
      <c r="A13" t="n">
        <v>77</v>
      </c>
      <c r="B13" t="n">
        <v>5204</v>
      </c>
      <c r="C13" t="inlineStr">
        <is>
          <t>BELLTECH</t>
        </is>
      </c>
      <c r="D13" t="inlineStr">
        <is>
          <t>DIEBOLD</t>
        </is>
      </c>
      <c r="E13" s="3" t="n">
        <v>46084</v>
      </c>
      <c r="F13" s="3" t="n">
        <v>46080</v>
      </c>
      <c r="G13" t="inlineStr">
        <is>
          <t>10:25:00</t>
        </is>
      </c>
      <c r="H13" t="n">
        <v>125379500</v>
      </c>
      <c r="I13" t="n">
        <v>138577800</v>
      </c>
      <c r="J13" t="n">
        <v>31520000</v>
      </c>
      <c r="K13" t="n">
        <v>18321700</v>
      </c>
      <c r="M13">
        <f>I13-(H13+J13-K13)- L13</f>
        <v/>
      </c>
      <c r="N13">
        <f>IF(M13=0,"Cuadrado",IF(M13&gt;0,"Faltante","Sobrante"))</f>
        <v/>
      </c>
      <c r="O13" t="inlineStr">
        <is>
          <t>Cajero cuadrado, sin observación por parte de la sucursal</t>
        </is>
      </c>
      <c r="P13" t="n">
        <v>94493031</v>
      </c>
    </row>
    <row r="14">
      <c r="A14" t="n">
        <v>115</v>
      </c>
      <c r="B14" t="n">
        <v>5080</v>
      </c>
      <c r="C14" t="inlineStr">
        <is>
          <t>BELLTECH</t>
        </is>
      </c>
      <c r="D14" t="inlineStr">
        <is>
          <t>BELLTECH</t>
        </is>
      </c>
      <c r="E14" s="3" t="n">
        <v>46084</v>
      </c>
      <c r="F14" s="3" t="n">
        <v>46083</v>
      </c>
      <c r="G14" t="inlineStr">
        <is>
          <t>09:20:00</t>
        </is>
      </c>
      <c r="H14" t="n">
        <v>117021700</v>
      </c>
      <c r="I14" t="n">
        <v>127700600</v>
      </c>
      <c r="J14" t="n">
        <v>13120000</v>
      </c>
      <c r="K14" t="n">
        <v>2441000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03/03/2026</t>
        </is>
      </c>
      <c r="P14" t="n">
        <v>42158306</v>
      </c>
    </row>
    <row r="15">
      <c r="A15" t="n">
        <v>185</v>
      </c>
      <c r="B15" t="n">
        <v>2208</v>
      </c>
      <c r="C15" t="inlineStr">
        <is>
          <t>DIEBOLD</t>
        </is>
      </c>
      <c r="D15" t="inlineStr">
        <is>
          <t>BELLTECH</t>
        </is>
      </c>
      <c r="E15" s="3" t="n">
        <v>46084</v>
      </c>
      <c r="F15" s="3" t="n">
        <v>46083</v>
      </c>
      <c r="G15" t="inlineStr">
        <is>
          <t>10:16:00</t>
        </is>
      </c>
      <c r="H15" t="n">
        <v>72642500</v>
      </c>
      <c r="I15" t="n">
        <v>81285500</v>
      </c>
      <c r="J15" t="n">
        <v>60000</v>
      </c>
      <c r="K15" t="n">
        <v>1765000</v>
      </c>
      <c r="L15" t="n">
        <v>8823300</v>
      </c>
      <c r="M15">
        <f>I15-(H15+J15-K15)- L15</f>
        <v/>
      </c>
      <c r="N15">
        <f>IF(M15=0,"Cuadrado",IF(M15&gt;0,"Faltante","Sobrante"))</f>
        <v/>
      </c>
      <c r="O15" t="inlineStr">
        <is>
          <t>REPITIERON ARQUEO</t>
        </is>
      </c>
      <c r="P15" t="n">
        <v>66784636</v>
      </c>
    </row>
    <row r="16">
      <c r="A16" t="n">
        <v>191</v>
      </c>
      <c r="B16" t="n">
        <v>5112</v>
      </c>
      <c r="C16" t="inlineStr">
        <is>
          <t>BELLTECH</t>
        </is>
      </c>
      <c r="D16" t="inlineStr">
        <is>
          <t>BELLTECH</t>
        </is>
      </c>
      <c r="E16" s="3" t="n">
        <v>46084</v>
      </c>
      <c r="F16" s="3" t="n">
        <v>46081</v>
      </c>
      <c r="G16" t="inlineStr">
        <is>
          <t>09:41:00</t>
        </is>
      </c>
      <c r="H16" t="n">
        <v>293735350</v>
      </c>
      <c r="I16" t="n">
        <v>293735350</v>
      </c>
      <c r="J16" t="n">
        <v>0</v>
      </c>
      <c r="K16" t="n">
        <v>0</v>
      </c>
      <c r="M16">
        <f>I16-(H16+J16-K16)- L16</f>
        <v/>
      </c>
      <c r="N16">
        <f>IF(M16=0,"Cuadrado",IF(M16&gt;0,"Faltante","Sobrante"))</f>
        <v/>
      </c>
      <c r="O16" t="inlineStr">
        <is>
          <t>Cajero cuadrado, sin observación por parte de la sucursal</t>
        </is>
      </c>
      <c r="P16" t="n">
        <v>80812756</v>
      </c>
    </row>
    <row r="17">
      <c r="A17" t="n">
        <v>221</v>
      </c>
      <c r="B17" t="n">
        <v>5221</v>
      </c>
      <c r="C17" t="inlineStr">
        <is>
          <t>BELLTECH</t>
        </is>
      </c>
      <c r="D17" t="inlineStr">
        <is>
          <t>BELLTECH</t>
        </is>
      </c>
      <c r="E17" s="3" t="n">
        <v>46084</v>
      </c>
      <c r="F17" s="3" t="n">
        <v>46081</v>
      </c>
      <c r="G17" t="inlineStr">
        <is>
          <t>11:48:00</t>
        </is>
      </c>
      <c r="H17" t="n">
        <v>110352600</v>
      </c>
      <c r="I17" t="n">
        <v>174772600</v>
      </c>
      <c r="J17" t="n">
        <v>64420000</v>
      </c>
      <c r="K17" t="n">
        <v>0</v>
      </c>
      <c r="M17">
        <f>I17-(H17+J17-K17)- L17</f>
        <v/>
      </c>
      <c r="N17">
        <f>IF(M17=0,"Cuadrado",IF(M17&gt;0,"Faltante","Sobrante"))</f>
        <v/>
      </c>
      <c r="O17" t="inlineStr">
        <is>
          <t>Cajero cuadrado, sin observación por parte de la sucursal</t>
        </is>
      </c>
      <c r="P17" t="n">
        <v>52833254</v>
      </c>
    </row>
    <row r="18">
      <c r="A18" t="n">
        <v>231</v>
      </c>
      <c r="B18" t="n">
        <v>6243</v>
      </c>
      <c r="C18" t="inlineStr">
        <is>
          <t>BELLTECH</t>
        </is>
      </c>
      <c r="D18" t="inlineStr">
        <is>
          <t>BELLTECH</t>
        </is>
      </c>
      <c r="E18" s="3" t="n">
        <v>46084</v>
      </c>
      <c r="F18" s="3" t="n">
        <v>46083</v>
      </c>
      <c r="G18" t="inlineStr">
        <is>
          <t>09:06:00</t>
        </is>
      </c>
      <c r="H18" t="n">
        <v>140183150</v>
      </c>
      <c r="I18" t="n">
        <v>138868150</v>
      </c>
      <c r="J18" t="n">
        <v>0</v>
      </c>
      <c r="K18" t="n">
        <v>0</v>
      </c>
      <c r="M18">
        <f>I18-(H18+J18-K18)- L18</f>
        <v/>
      </c>
      <c r="N18">
        <f>IF(M18=0,"Cuadrado",IF(M18&gt;0,"Faltante","Sobrante"))</f>
        <v/>
      </c>
      <c r="O18" t="inlineStr">
        <is>
          <t>La diferencia es contabilizada por la Gerencia De Autoservicios y Efectivo de manera centralizada a la cuenta de sobrantes 279510020 el 03/03/2026</t>
        </is>
      </c>
      <c r="P18" t="n">
        <v>52979634</v>
      </c>
    </row>
    <row r="19">
      <c r="A19" t="n">
        <v>236</v>
      </c>
      <c r="B19" t="n">
        <v>8497</v>
      </c>
      <c r="C19" t="inlineStr">
        <is>
          <t>BELLTECH</t>
        </is>
      </c>
      <c r="D19" t="inlineStr">
        <is>
          <t>BELLTECH</t>
        </is>
      </c>
      <c r="E19" s="3" t="n">
        <v>46084</v>
      </c>
      <c r="F19" s="3" t="n">
        <v>46083</v>
      </c>
      <c r="G19" t="inlineStr">
        <is>
          <t>11:23:00</t>
        </is>
      </c>
      <c r="H19" t="n">
        <v>91447850</v>
      </c>
      <c r="I19" t="n">
        <v>328503750</v>
      </c>
      <c r="J19" t="n">
        <v>25800000</v>
      </c>
      <c r="K19" t="n">
        <v>67128000</v>
      </c>
      <c r="L19" t="n">
        <v>281748000</v>
      </c>
      <c r="M19">
        <f>I19-(H19+J19-K19)- L19</f>
        <v/>
      </c>
      <c r="N19">
        <f>IF(M19=0,"Cuadrado",IF(M19&gt;0,"Faltante","Sobrante"))</f>
        <v/>
      </c>
      <c r="O19" t="inlineStr">
        <is>
          <t>La diferencia es contabilizada por la Gerencia De Autoservicios y Efectivo de manera centralizada a la cuenta de sobrantes 279510020 el 03/03/2026</t>
        </is>
      </c>
      <c r="P19" t="n">
        <v>71369714</v>
      </c>
    </row>
    <row r="20">
      <c r="A20" t="n">
        <v>261</v>
      </c>
      <c r="B20" t="n">
        <v>5048</v>
      </c>
      <c r="C20" t="inlineStr">
        <is>
          <t>BELLTECH</t>
        </is>
      </c>
      <c r="D20" t="inlineStr">
        <is>
          <t>BELLTECH</t>
        </is>
      </c>
      <c r="E20" s="3" t="n">
        <v>46084</v>
      </c>
      <c r="F20" s="3" t="n">
        <v>46083</v>
      </c>
      <c r="G20" t="inlineStr">
        <is>
          <t>10:53:00</t>
        </is>
      </c>
      <c r="H20" t="n">
        <v>289683850</v>
      </c>
      <c r="I20" t="n">
        <v>234003350</v>
      </c>
      <c r="J20" t="n">
        <v>12930000</v>
      </c>
      <c r="K20" t="n">
        <v>54614950</v>
      </c>
      <c r="M20">
        <f>I20-(H20+J20-K20)- L20</f>
        <v/>
      </c>
      <c r="N20">
        <f>IF(M20=0,"Cuadrado",IF(M20&gt;0,"Faltante","Sobrante"))</f>
        <v/>
      </c>
      <c r="O20" t="inlineStr">
        <is>
          <t>REPITIERON ARQUEO</t>
        </is>
      </c>
      <c r="P20" t="n">
        <v>34327627</v>
      </c>
    </row>
    <row r="21">
      <c r="A21" t="n">
        <v>262</v>
      </c>
      <c r="B21" t="n">
        <v>5153</v>
      </c>
      <c r="C21" t="inlineStr">
        <is>
          <t>BELLTECH</t>
        </is>
      </c>
      <c r="D21" t="inlineStr">
        <is>
          <t>BELLTECH</t>
        </is>
      </c>
      <c r="E21" s="3" t="n">
        <v>46084</v>
      </c>
      <c r="F21" s="3" t="n">
        <v>46083</v>
      </c>
      <c r="G21" t="inlineStr">
        <is>
          <t>10:04:00</t>
        </is>
      </c>
      <c r="H21" t="n">
        <v>41691750</v>
      </c>
      <c r="I21" t="n">
        <v>75511750</v>
      </c>
      <c r="J21" t="n">
        <v>35520000</v>
      </c>
      <c r="K21" t="n">
        <v>1700000</v>
      </c>
      <c r="M21">
        <f>I21-(H21+J21-K21)- L21</f>
        <v/>
      </c>
      <c r="N21">
        <f>IF(M21=0,"Cuadrado",IF(M21&gt;0,"Faltante","Sobrante"))</f>
        <v/>
      </c>
      <c r="O21" t="inlineStr">
        <is>
          <t>Cajero cuadrado, sin observación por parte de la sucursal</t>
        </is>
      </c>
      <c r="P21" t="n">
        <v>1052378530</v>
      </c>
    </row>
    <row r="22">
      <c r="A22" t="n">
        <v>264</v>
      </c>
      <c r="B22" t="n">
        <v>9906</v>
      </c>
      <c r="C22" t="inlineStr">
        <is>
          <t>BELLTECH</t>
        </is>
      </c>
      <c r="D22" t="inlineStr">
        <is>
          <t>BELLTECH</t>
        </is>
      </c>
      <c r="E22" s="3" t="n">
        <v>46084</v>
      </c>
      <c r="F22" s="3" t="n">
        <v>46083</v>
      </c>
      <c r="G22" t="inlineStr">
        <is>
          <t>10:18:00</t>
        </is>
      </c>
      <c r="H22" t="n">
        <v>61182800</v>
      </c>
      <c r="I22" t="n">
        <v>63445750</v>
      </c>
      <c r="J22" t="n">
        <v>23250000</v>
      </c>
      <c r="K22" t="n">
        <v>20837000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sobrantes 279510020 el 03/03/2026</t>
        </is>
      </c>
      <c r="P22" t="n">
        <v>1069722520</v>
      </c>
    </row>
    <row r="23">
      <c r="A23" t="n">
        <v>291</v>
      </c>
      <c r="B23" t="n">
        <v>5114</v>
      </c>
      <c r="C23" t="inlineStr">
        <is>
          <t>BELLTECH</t>
        </is>
      </c>
      <c r="D23" t="inlineStr">
        <is>
          <t>BELLTECH</t>
        </is>
      </c>
      <c r="E23" s="3" t="n">
        <v>46084</v>
      </c>
      <c r="F23" s="3" t="n">
        <v>46080</v>
      </c>
      <c r="G23" t="inlineStr">
        <is>
          <t>10:44:00</t>
        </is>
      </c>
      <c r="H23" t="n">
        <v>129953250</v>
      </c>
      <c r="I23" t="n">
        <v>145821250</v>
      </c>
      <c r="J23" t="n">
        <v>29550000</v>
      </c>
      <c r="K23" t="n">
        <v>13682000</v>
      </c>
      <c r="M23">
        <f>I23-(H23+J23-K23)- L23</f>
        <v/>
      </c>
      <c r="N23">
        <f>IF(M23=0,"Cuadrado",IF(M23&gt;0,"Faltante","Sobrante"))</f>
        <v/>
      </c>
      <c r="O23" t="inlineStr">
        <is>
          <t>Cajero cuadrado, sin observación por parte de la sucursal</t>
        </is>
      </c>
      <c r="P23" t="n">
        <v>1095930956</v>
      </c>
    </row>
    <row r="24">
      <c r="A24" t="n">
        <v>291</v>
      </c>
      <c r="B24" t="n">
        <v>5114</v>
      </c>
      <c r="C24" t="inlineStr">
        <is>
          <t>BELLTECH</t>
        </is>
      </c>
      <c r="D24" t="inlineStr">
        <is>
          <t>BELLTECH</t>
        </is>
      </c>
      <c r="E24" s="3" t="n">
        <v>46084</v>
      </c>
      <c r="F24" s="3" t="n">
        <v>46083</v>
      </c>
      <c r="G24" t="inlineStr">
        <is>
          <t>09:32:00</t>
        </is>
      </c>
      <c r="H24" t="n">
        <v>201253250</v>
      </c>
      <c r="I24" t="n">
        <v>207333250</v>
      </c>
      <c r="J24" t="n">
        <v>17450000</v>
      </c>
      <c r="K24" t="n">
        <v>11190000</v>
      </c>
      <c r="M24">
        <f>I24-(H24+J24-K24)- L24</f>
        <v/>
      </c>
      <c r="N24">
        <f>IF(M24=0,"Cuadrado",IF(M24&gt;0,"Faltante","Sobrante"))</f>
        <v/>
      </c>
      <c r="O24" t="inlineStr">
        <is>
          <t>La diferencia es contabilizada por la Gerencia De Autoservicios y Efectivo de manera centralizada a la cuenta de sobrantes 279510020 el 03/03/2026</t>
        </is>
      </c>
      <c r="P24" t="n">
        <v>1095930956</v>
      </c>
    </row>
    <row r="25">
      <c r="A25" t="n">
        <v>318</v>
      </c>
      <c r="B25" t="n">
        <v>5136</v>
      </c>
      <c r="C25" t="inlineStr">
        <is>
          <t>BELLTECH</t>
        </is>
      </c>
      <c r="D25" t="inlineStr">
        <is>
          <t>DIEBOLD</t>
        </is>
      </c>
      <c r="E25" s="3" t="n">
        <v>46084</v>
      </c>
      <c r="F25" s="3" t="n">
        <v>46083</v>
      </c>
      <c r="G25" t="inlineStr">
        <is>
          <t>08:41:00</t>
        </is>
      </c>
      <c r="H25" t="n">
        <v>107378550</v>
      </c>
      <c r="I25" t="n">
        <v>98473550</v>
      </c>
      <c r="J25" t="n">
        <v>2870000</v>
      </c>
      <c r="K25" t="n">
        <v>11300000</v>
      </c>
      <c r="M25">
        <f>I25-(H25+J25-K25)- L25</f>
        <v/>
      </c>
      <c r="N25">
        <f>IF(M25=0,"Cuadrado",IF(M25&gt;0,"Faltante","Sobrante"))</f>
        <v/>
      </c>
      <c r="O25" t="inlineStr">
        <is>
          <t>La diferencia es contabilizada por la Gerencia De Autoservicios y Efectivo de manera centralizada a la cuenta de sobrantes 279510020 el 03/03/2026</t>
        </is>
      </c>
      <c r="P25" t="n">
        <v>1065862494</v>
      </c>
    </row>
    <row r="26">
      <c r="A26" t="n">
        <v>318</v>
      </c>
      <c r="B26" t="n">
        <v>7680</v>
      </c>
      <c r="C26" t="inlineStr">
        <is>
          <t>BELLTECH</t>
        </is>
      </c>
      <c r="D26" t="inlineStr">
        <is>
          <t>BELLTECH</t>
        </is>
      </c>
      <c r="E26" s="3" t="n">
        <v>46084</v>
      </c>
      <c r="F26" s="3" t="n">
        <v>46083</v>
      </c>
      <c r="G26" t="inlineStr">
        <is>
          <t>09:05:00</t>
        </is>
      </c>
      <c r="H26" t="n">
        <v>77044000</v>
      </c>
      <c r="I26" t="n">
        <v>69364000</v>
      </c>
      <c r="J26" t="n">
        <v>450000</v>
      </c>
      <c r="K26" t="n">
        <v>6400000</v>
      </c>
      <c r="M26">
        <f>I26-(H26+J26-K26)- L26</f>
        <v/>
      </c>
      <c r="N26">
        <f>IF(M26=0,"Cuadrado",IF(M26&gt;0,"Faltante","Sobrante"))</f>
        <v/>
      </c>
      <c r="O26" t="inlineStr">
        <is>
          <t>La diferencia es contabilizada por la Gerencia De Autoservicios y Efectivo de manera centralizada a la cuenta de sobrantes 279510020 el 03/03/2026</t>
        </is>
      </c>
      <c r="P26" t="n">
        <v>1065862494</v>
      </c>
    </row>
    <row r="27">
      <c r="A27" t="n">
        <v>322</v>
      </c>
      <c r="B27" t="n">
        <v>2444</v>
      </c>
      <c r="C27" t="inlineStr">
        <is>
          <t>BELLTECH</t>
        </is>
      </c>
      <c r="D27" t="inlineStr">
        <is>
          <t>BELLTECH</t>
        </is>
      </c>
      <c r="E27" s="3" t="n">
        <v>46084</v>
      </c>
      <c r="F27" s="3" t="n">
        <v>46083</v>
      </c>
      <c r="G27" t="inlineStr">
        <is>
          <t>09:03:00</t>
        </is>
      </c>
      <c r="H27" t="n">
        <v>239919900</v>
      </c>
      <c r="I27" t="n">
        <v>257059900</v>
      </c>
      <c r="J27" t="n">
        <v>0</v>
      </c>
      <c r="K27" t="n">
        <v>0</v>
      </c>
      <c r="M27">
        <f>I27-(H27+J27-K27)- L27</f>
        <v/>
      </c>
      <c r="N27">
        <f>IF(M27=0,"Cuadrado",IF(M27&gt;0,"Faltante","Sobrante"))</f>
        <v/>
      </c>
      <c r="O27" t="inlineStr">
        <is>
          <t>REPITIERON ARQUEO</t>
        </is>
      </c>
      <c r="P27" t="n">
        <v>1101320155</v>
      </c>
    </row>
    <row r="28">
      <c r="A28" t="n">
        <v>332</v>
      </c>
      <c r="B28" t="n">
        <v>7569</v>
      </c>
      <c r="C28" t="inlineStr">
        <is>
          <t>BELLTECH</t>
        </is>
      </c>
      <c r="D28" t="inlineStr">
        <is>
          <t>BELLTECH</t>
        </is>
      </c>
      <c r="E28" s="3" t="n">
        <v>46084</v>
      </c>
      <c r="F28" s="3" t="n">
        <v>46083</v>
      </c>
      <c r="G28" t="inlineStr">
        <is>
          <t>09:35:00</t>
        </is>
      </c>
      <c r="H28" t="n">
        <v>15708350</v>
      </c>
      <c r="I28" t="n">
        <v>216513950</v>
      </c>
      <c r="J28" t="n">
        <v>0</v>
      </c>
      <c r="K28" t="n">
        <v>7804400</v>
      </c>
      <c r="L28" t="n">
        <v>111822000</v>
      </c>
      <c r="M28">
        <f>I28-(H28+J28-K28)- L28</f>
        <v/>
      </c>
      <c r="N28">
        <f>IF(M28=0,"Cuadrado",IF(M28&gt;0,"Faltante","Sobrante"))</f>
        <v/>
      </c>
      <c r="O28" t="inlineStr">
        <is>
          <t>REPITIERON ARQUEO</t>
        </is>
      </c>
      <c r="P28" t="n">
        <v>80541675</v>
      </c>
    </row>
    <row r="29">
      <c r="A29" t="n">
        <v>348</v>
      </c>
      <c r="B29" t="n">
        <v>6724</v>
      </c>
      <c r="C29" t="inlineStr">
        <is>
          <t>DIEBOLD</t>
        </is>
      </c>
      <c r="D29" t="inlineStr">
        <is>
          <t>BELLTECH</t>
        </is>
      </c>
      <c r="E29" s="3" t="n">
        <v>46084</v>
      </c>
      <c r="F29" s="3" t="n">
        <v>46083</v>
      </c>
      <c r="G29" t="inlineStr">
        <is>
          <t>15:25:00</t>
        </is>
      </c>
      <c r="H29" t="n">
        <v>65431400</v>
      </c>
      <c r="I29" t="n">
        <v>105169800</v>
      </c>
      <c r="J29" t="n">
        <v>21090000</v>
      </c>
      <c r="K29" t="n">
        <v>82702000</v>
      </c>
      <c r="L29" t="n">
        <v>105446000</v>
      </c>
      <c r="M29">
        <f>I29-(H29+J29-K29)- L29</f>
        <v/>
      </c>
      <c r="N29">
        <f>IF(M29=0,"Cuadrado",IF(M29&gt;0,"Faltante","Sobrante"))</f>
        <v/>
      </c>
      <c r="O29" t="inlineStr">
        <is>
          <t>La diferencia es contabilizada por la Gerencia De Autoservicios y Efectivo de manera centralizada a la cuenta de sobrantes 279510020 el 03/03/2026</t>
        </is>
      </c>
      <c r="P29" t="n">
        <v>1123633014</v>
      </c>
    </row>
    <row r="30">
      <c r="A30" t="n">
        <v>383</v>
      </c>
      <c r="B30" t="n">
        <v>5194</v>
      </c>
      <c r="C30" t="inlineStr">
        <is>
          <t>BELLTECH</t>
        </is>
      </c>
      <c r="D30" t="inlineStr">
        <is>
          <t>BELLTECH</t>
        </is>
      </c>
      <c r="E30" s="3" t="n">
        <v>46084</v>
      </c>
      <c r="F30" s="3" t="n">
        <v>46083</v>
      </c>
      <c r="G30" t="inlineStr">
        <is>
          <t>12:28:41</t>
        </is>
      </c>
      <c r="H30" t="n">
        <v>76097750</v>
      </c>
      <c r="I30" t="n">
        <v>197826150</v>
      </c>
      <c r="J30" t="n">
        <v>30200000</v>
      </c>
      <c r="K30" t="n">
        <v>24594000</v>
      </c>
      <c r="M30">
        <f>I30-(H30+J30-K30)- L30</f>
        <v/>
      </c>
      <c r="N30">
        <f>IF(M30=0,"Cuadrado",IF(M30&gt;0,"Faltante","Sobrante"))</f>
        <v/>
      </c>
      <c r="O30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30" t="n">
        <v>1073160492</v>
      </c>
    </row>
    <row r="31">
      <c r="A31" t="n">
        <v>395</v>
      </c>
      <c r="B31" t="n">
        <v>1529</v>
      </c>
      <c r="C31" t="inlineStr">
        <is>
          <t>BELLTECH</t>
        </is>
      </c>
      <c r="D31" t="inlineStr">
        <is>
          <t>BELLTECH</t>
        </is>
      </c>
      <c r="E31" s="3" t="n">
        <v>46084</v>
      </c>
      <c r="F31" s="3" t="n">
        <v>46083</v>
      </c>
      <c r="G31" t="inlineStr">
        <is>
          <t>09:42:00</t>
        </is>
      </c>
      <c r="H31" t="n">
        <v>352278500</v>
      </c>
      <c r="I31" t="n">
        <v>350070350</v>
      </c>
      <c r="J31" t="n">
        <v>7850000</v>
      </c>
      <c r="K31" t="n">
        <v>0</v>
      </c>
      <c r="M31">
        <f>I31-(H31+J31-K31)- L31</f>
        <v/>
      </c>
      <c r="N31">
        <f>IF(M31=0,"Cuadrado",IF(M31&gt;0,"Faltante","Sobrante"))</f>
        <v/>
      </c>
      <c r="O31" t="inlineStr">
        <is>
          <t>La diferencia es contabilizada por la Gerencia De Autoservicios y Efectivo de manera centralizada a la cuenta de sobrantes 279510020 el 03/03/2026</t>
        </is>
      </c>
      <c r="P31" t="n">
        <v>1121857901</v>
      </c>
    </row>
    <row r="32">
      <c r="A32" t="n">
        <v>453</v>
      </c>
      <c r="B32" t="n">
        <v>8018</v>
      </c>
      <c r="C32" t="inlineStr">
        <is>
          <t>BELLTECH</t>
        </is>
      </c>
      <c r="D32" t="inlineStr">
        <is>
          <t>BELLTECH</t>
        </is>
      </c>
      <c r="E32" s="3" t="n">
        <v>46084</v>
      </c>
      <c r="F32" s="3" t="n">
        <v>46083</v>
      </c>
      <c r="G32" t="inlineStr">
        <is>
          <t>09:26:00</t>
        </is>
      </c>
      <c r="H32" t="n">
        <v>116554650</v>
      </c>
      <c r="I32" t="n">
        <v>83609650</v>
      </c>
      <c r="J32" t="n">
        <v>5880000</v>
      </c>
      <c r="K32" t="n">
        <v>24532000</v>
      </c>
      <c r="M32">
        <f>I32-(H32+J32-K32)- L32</f>
        <v/>
      </c>
      <c r="N32">
        <f>IF(M32=0,"Cuadrado",IF(M32&gt;0,"Faltante","Sobrante"))</f>
        <v/>
      </c>
      <c r="O32" t="inlineStr">
        <is>
          <t>REPITIERON ARQUEO</t>
        </is>
      </c>
      <c r="P32" t="n">
        <v>1083897578</v>
      </c>
    </row>
    <row r="33">
      <c r="A33" t="n">
        <v>455</v>
      </c>
      <c r="B33" t="n">
        <v>5206</v>
      </c>
      <c r="C33" t="inlineStr">
        <is>
          <t>BELLTECH</t>
        </is>
      </c>
      <c r="D33" t="inlineStr">
        <is>
          <t>BELLTECH</t>
        </is>
      </c>
      <c r="E33" s="3" t="n">
        <v>46084</v>
      </c>
      <c r="F33" s="3" t="n">
        <v>46083</v>
      </c>
      <c r="G33" t="inlineStr">
        <is>
          <t>09:23:00</t>
        </is>
      </c>
      <c r="H33" t="n">
        <v>369152000</v>
      </c>
      <c r="I33" t="n">
        <v>319262200</v>
      </c>
      <c r="J33" t="n">
        <v>6650000</v>
      </c>
      <c r="K33" t="n">
        <v>56539800</v>
      </c>
      <c r="M33">
        <f>I33-(H33+J33-K33)- L33</f>
        <v/>
      </c>
      <c r="N33">
        <f>IF(M33=0,"Cuadrado",IF(M33&gt;0,"Faltante","Sobrante"))</f>
        <v/>
      </c>
      <c r="O33" t="inlineStr">
        <is>
          <t>Cajero cuadrado, sin observación por parte de la sucursal</t>
        </is>
      </c>
      <c r="P33" t="n">
        <v>1083896352</v>
      </c>
    </row>
    <row r="34">
      <c r="A34" t="n">
        <v>457</v>
      </c>
      <c r="B34" t="n">
        <v>9004</v>
      </c>
      <c r="C34" t="inlineStr">
        <is>
          <t>BELLTECH</t>
        </is>
      </c>
      <c r="D34" t="inlineStr">
        <is>
          <t>DIEBOLD</t>
        </is>
      </c>
      <c r="E34" s="3" t="n">
        <v>46084</v>
      </c>
      <c r="F34" s="3" t="n">
        <v>46083</v>
      </c>
      <c r="G34" t="inlineStr">
        <is>
          <t>10:43:00</t>
        </is>
      </c>
      <c r="H34" t="n">
        <v>292223700</v>
      </c>
      <c r="I34" t="n">
        <v>232471100</v>
      </c>
      <c r="J34" t="n">
        <v>7900000</v>
      </c>
      <c r="K34" t="n">
        <v>59495000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sobrantes 279510020 el 03/03/2026</t>
        </is>
      </c>
      <c r="P34" t="n">
        <v>33750644</v>
      </c>
    </row>
    <row r="35">
      <c r="A35" t="n">
        <v>523</v>
      </c>
      <c r="B35" t="n">
        <v>5082</v>
      </c>
      <c r="C35" t="inlineStr">
        <is>
          <t>BELLTECH</t>
        </is>
      </c>
      <c r="D35" t="inlineStr">
        <is>
          <t>BELLTECH</t>
        </is>
      </c>
      <c r="E35" s="3" t="n">
        <v>46084</v>
      </c>
      <c r="F35" s="3" t="n">
        <v>46083</v>
      </c>
      <c r="G35" t="inlineStr">
        <is>
          <t>08:50:00</t>
        </is>
      </c>
      <c r="H35" t="n">
        <v>199521050</v>
      </c>
      <c r="I35" t="n">
        <v>200075050</v>
      </c>
      <c r="J35" t="n">
        <v>1660000</v>
      </c>
      <c r="K35" t="n">
        <v>1100000</v>
      </c>
      <c r="M35">
        <f>I35-(H35+J35-K35)- L35</f>
        <v/>
      </c>
      <c r="N35">
        <f>IF(M35=0,"Cuadrado",IF(M35&gt;0,"Faltante","Sobrante"))</f>
        <v/>
      </c>
      <c r="O35" t="inlineStr">
        <is>
          <t>La diferencia es contabilizada por la Gerencia De Autoservicios y Efectivo de manera centralizada a la cuenta de sobrantes 279510020 el 03/03/2026</t>
        </is>
      </c>
      <c r="P35" t="n">
        <v>1065609766</v>
      </c>
    </row>
    <row r="36">
      <c r="A36" t="n">
        <v>554</v>
      </c>
      <c r="B36" t="n">
        <v>8294</v>
      </c>
      <c r="C36" t="inlineStr">
        <is>
          <t>BELLTECH</t>
        </is>
      </c>
      <c r="D36" t="inlineStr">
        <is>
          <t>BELLTECH</t>
        </is>
      </c>
      <c r="E36" s="3" t="n">
        <v>46084</v>
      </c>
      <c r="F36" s="3" t="n">
        <v>46083</v>
      </c>
      <c r="G36" t="inlineStr">
        <is>
          <t>10:34:00</t>
        </is>
      </c>
      <c r="H36" t="n">
        <v>209347850</v>
      </c>
      <c r="I36" t="n">
        <v>219907850</v>
      </c>
      <c r="J36" t="n">
        <v>10560000</v>
      </c>
      <c r="K36" t="n">
        <v>0</v>
      </c>
      <c r="M36">
        <f>I36-(H36+J36-K36)- L36</f>
        <v/>
      </c>
      <c r="N36">
        <f>IF(M36=0,"Cuadrado",IF(M36&gt;0,"Faltante","Sobrante"))</f>
        <v/>
      </c>
      <c r="O36" t="inlineStr">
        <is>
          <t>Cajero cuadrado, sin observación por parte de la sucursal</t>
        </is>
      </c>
      <c r="P36" t="n">
        <v>1010130794</v>
      </c>
    </row>
    <row r="37">
      <c r="A37" t="n">
        <v>554</v>
      </c>
      <c r="B37" t="n">
        <v>8295</v>
      </c>
      <c r="C37" t="inlineStr">
        <is>
          <t>BELLTECH</t>
        </is>
      </c>
      <c r="D37" t="inlineStr">
        <is>
          <t>BELLTECH</t>
        </is>
      </c>
      <c r="E37" s="3" t="n">
        <v>46084</v>
      </c>
      <c r="F37" s="3" t="n">
        <v>46083</v>
      </c>
      <c r="G37" t="inlineStr">
        <is>
          <t>15:45:00</t>
        </is>
      </c>
      <c r="H37" t="n">
        <v>160173050</v>
      </c>
      <c r="I37" t="n">
        <v>135761900</v>
      </c>
      <c r="J37" t="n">
        <v>1000000</v>
      </c>
      <c r="K37" t="n">
        <v>16603000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sobrantes 279510020 el 03/03/2026</t>
        </is>
      </c>
      <c r="P37" t="n">
        <v>1010130794</v>
      </c>
    </row>
    <row r="38">
      <c r="A38" t="n">
        <v>556</v>
      </c>
      <c r="B38" t="n">
        <v>8333</v>
      </c>
      <c r="C38" t="inlineStr">
        <is>
          <t>BELLTECH</t>
        </is>
      </c>
      <c r="D38" t="inlineStr">
        <is>
          <t>BELLTECH</t>
        </is>
      </c>
      <c r="E38" s="3" t="n">
        <v>46084</v>
      </c>
      <c r="F38" s="3" t="n">
        <v>46081</v>
      </c>
      <c r="G38" t="inlineStr">
        <is>
          <t>08:55:00</t>
        </is>
      </c>
      <c r="H38" t="n">
        <v>232437400</v>
      </c>
      <c r="I38" t="n">
        <v>252363900</v>
      </c>
      <c r="J38" t="n">
        <v>31530000</v>
      </c>
      <c r="K38" t="n">
        <v>11603500</v>
      </c>
      <c r="M38">
        <f>I38-(H38+J38-K38)- L38</f>
        <v/>
      </c>
      <c r="N38">
        <f>IF(M38=0,"Cuadrado",IF(M38&gt;0,"Faltante","Sobrante"))</f>
        <v/>
      </c>
      <c r="O38" t="inlineStr">
        <is>
          <t>Cajero cuadrado, sin observación por parte de la sucursal</t>
        </is>
      </c>
      <c r="P38" t="n">
        <v>39450196</v>
      </c>
    </row>
    <row r="39">
      <c r="A39" t="n">
        <v>613</v>
      </c>
      <c r="B39" t="n">
        <v>6713</v>
      </c>
      <c r="C39" t="inlineStr">
        <is>
          <t>DIEBOLD</t>
        </is>
      </c>
      <c r="D39" t="inlineStr">
        <is>
          <t>BELLTECH</t>
        </is>
      </c>
      <c r="E39" s="3" t="n">
        <v>46084</v>
      </c>
      <c r="F39" s="3" t="n">
        <v>46083</v>
      </c>
      <c r="G39" t="inlineStr">
        <is>
          <t>09:43:00</t>
        </is>
      </c>
      <c r="H39" t="n">
        <v>113270800</v>
      </c>
      <c r="I39" t="n">
        <v>110824100</v>
      </c>
      <c r="J39" t="n">
        <v>14050000</v>
      </c>
      <c r="K39" t="n">
        <v>16111300</v>
      </c>
      <c r="M39">
        <f>I39-(H39+J39-K39)- L39</f>
        <v/>
      </c>
      <c r="N39">
        <f>IF(M39=0,"Cuadrado",IF(M39&gt;0,"Faltante","Sobrante"))</f>
        <v/>
      </c>
      <c r="O39" t="inlineStr">
        <is>
          <t>La diferencia es contabilizada por la Gerencia De Autoservicios y Efectivo de manera centralizada a la cuenta de sobrantes 279510020 el 03/03/2026</t>
        </is>
      </c>
      <c r="P39" t="n">
        <v>32106943</v>
      </c>
    </row>
    <row r="40">
      <c r="A40" t="n">
        <v>634</v>
      </c>
      <c r="B40" t="n">
        <v>5087</v>
      </c>
      <c r="C40" t="inlineStr">
        <is>
          <t>BELLTECH</t>
        </is>
      </c>
      <c r="D40" t="inlineStr">
        <is>
          <t>BELLTECH</t>
        </is>
      </c>
      <c r="E40" s="3" t="n">
        <v>46084</v>
      </c>
      <c r="F40" s="3" t="n">
        <v>46083</v>
      </c>
      <c r="G40" t="inlineStr">
        <is>
          <t>09:04:00</t>
        </is>
      </c>
      <c r="H40" t="n">
        <v>242530800</v>
      </c>
      <c r="I40" t="n">
        <v>254556300</v>
      </c>
      <c r="J40" t="n">
        <v>12040000</v>
      </c>
      <c r="K40" t="n">
        <v>0</v>
      </c>
      <c r="M40">
        <f>I40-(H40+J40-K40)- L40</f>
        <v/>
      </c>
      <c r="N40">
        <f>IF(M40=0,"Cuadrado",IF(M40&gt;0,"Faltante","Sobrante"))</f>
        <v/>
      </c>
      <c r="O40" t="inlineStr">
        <is>
          <t>La diferencia es contabilizada por la Gerencia De Autoservicios y Efectivo de manera centralizada a la cuenta de sobrantes 279510020 el 03/03/2026</t>
        </is>
      </c>
      <c r="P40" t="n">
        <v>1032424944</v>
      </c>
    </row>
    <row r="41">
      <c r="A41" t="n">
        <v>651</v>
      </c>
      <c r="B41" t="n">
        <v>7318</v>
      </c>
      <c r="C41" t="inlineStr">
        <is>
          <t>DIEBOLD</t>
        </is>
      </c>
      <c r="D41" t="inlineStr">
        <is>
          <t>BELLTECH</t>
        </is>
      </c>
      <c r="E41" s="3" t="n">
        <v>46084</v>
      </c>
      <c r="F41" s="3" t="n">
        <v>46080</v>
      </c>
      <c r="G41" t="inlineStr">
        <is>
          <t>11:29:00</t>
        </is>
      </c>
      <c r="H41" t="n">
        <v>72889300</v>
      </c>
      <c r="I41" t="n">
        <v>101307300</v>
      </c>
      <c r="J41" t="n">
        <v>43670000</v>
      </c>
      <c r="K41" t="n">
        <v>15252000</v>
      </c>
      <c r="M41">
        <f>I41-(H41+J41-K41)- L41</f>
        <v/>
      </c>
      <c r="N41">
        <f>IF(M41=0,"Cuadrado",IF(M41&gt;0,"Faltante","Sobrante"))</f>
        <v/>
      </c>
      <c r="O41" t="inlineStr">
        <is>
          <t>Cajero cuadrado, sin observación por parte de la sucursal</t>
        </is>
      </c>
      <c r="P41" t="n">
        <v>70136398</v>
      </c>
    </row>
    <row r="42">
      <c r="A42" t="n">
        <v>659</v>
      </c>
      <c r="B42" t="n">
        <v>5102</v>
      </c>
      <c r="C42" t="inlineStr">
        <is>
          <t>BELLTECH</t>
        </is>
      </c>
      <c r="D42" t="inlineStr">
        <is>
          <t>BELLTECH</t>
        </is>
      </c>
      <c r="E42" s="3" t="n">
        <v>46084</v>
      </c>
      <c r="F42" s="3" t="n">
        <v>46083</v>
      </c>
      <c r="G42" t="inlineStr">
        <is>
          <t>10:03:00</t>
        </is>
      </c>
      <c r="H42" t="n">
        <v>147494150</v>
      </c>
      <c r="I42" t="n">
        <v>162044150</v>
      </c>
      <c r="J42" t="n">
        <v>18760000</v>
      </c>
      <c r="K42" t="n">
        <v>4240000</v>
      </c>
      <c r="M42">
        <f>I42-(H42+J42-K42)- L42</f>
        <v/>
      </c>
      <c r="N42">
        <f>IF(M42=0,"Cuadrado",IF(M42&gt;0,"Faltante","Sobrante"))</f>
        <v/>
      </c>
      <c r="O42" t="inlineStr">
        <is>
          <t>REPITIERON ARQUEO</t>
        </is>
      </c>
      <c r="P42" t="n">
        <v>1110555222</v>
      </c>
    </row>
    <row r="43">
      <c r="A43" t="n">
        <v>667</v>
      </c>
      <c r="B43" t="n">
        <v>5167</v>
      </c>
      <c r="C43" t="inlineStr">
        <is>
          <t>BELLTECH</t>
        </is>
      </c>
      <c r="D43" t="inlineStr">
        <is>
          <t>BELLTECH</t>
        </is>
      </c>
      <c r="E43" s="3" t="n">
        <v>46084</v>
      </c>
      <c r="F43" s="3" t="n">
        <v>46083</v>
      </c>
      <c r="G43" t="inlineStr">
        <is>
          <t>08:38:00</t>
        </is>
      </c>
      <c r="H43" t="n">
        <v>137263550</v>
      </c>
      <c r="I43" t="n">
        <v>137654200</v>
      </c>
      <c r="J43" t="n">
        <v>500000</v>
      </c>
      <c r="K43" t="n">
        <v>0</v>
      </c>
      <c r="M43">
        <f>I43-(H43+J43-K43)- L43</f>
        <v/>
      </c>
      <c r="N43">
        <f>IF(M43=0,"Cuadrado",IF(M43&gt;0,"Faltante","Sobrante"))</f>
        <v/>
      </c>
      <c r="O43" t="inlineStr">
        <is>
          <t>La diferencia es contabilizada por la Gerencia De Autoservicios y Efectivo de manera centralizada a la cuenta de sobrantes 279510020 el 03/03/2026</t>
        </is>
      </c>
      <c r="P43" t="n">
        <v>79953058</v>
      </c>
    </row>
    <row r="44">
      <c r="A44" t="n">
        <v>682</v>
      </c>
      <c r="B44" t="n">
        <v>5049</v>
      </c>
      <c r="C44" t="inlineStr">
        <is>
          <t>BELLTECH</t>
        </is>
      </c>
      <c r="D44" t="inlineStr">
        <is>
          <t>BELLTECH</t>
        </is>
      </c>
      <c r="E44" s="3" t="n">
        <v>46084</v>
      </c>
      <c r="F44" s="3" t="n">
        <v>46083</v>
      </c>
      <c r="G44" t="inlineStr">
        <is>
          <t>13:43:00</t>
        </is>
      </c>
      <c r="H44" t="n">
        <v>207673400</v>
      </c>
      <c r="I44" t="n">
        <v>169164800</v>
      </c>
      <c r="J44" t="n">
        <v>40760000</v>
      </c>
      <c r="K44" t="n">
        <v>161877000</v>
      </c>
      <c r="L44" t="n">
        <v>82621000</v>
      </c>
      <c r="M44">
        <f>I44-(H44+J44-K44)- L44</f>
        <v/>
      </c>
      <c r="N44">
        <f>IF(M44=0,"Cuadrado",IF(M44&gt;0,"Faltante","Sobrante"))</f>
        <v/>
      </c>
      <c r="O44" t="inlineStr">
        <is>
          <t>La diferencia es contabilizada por la Gerencia De Autoservicios y Efectivo de manera centralizada a la cuenta de sobrantes 279510020 el 03/03/2026</t>
        </is>
      </c>
      <c r="P44" t="n">
        <v>1018447800</v>
      </c>
    </row>
    <row r="45">
      <c r="A45" t="n">
        <v>698</v>
      </c>
      <c r="B45" t="n">
        <v>5187</v>
      </c>
      <c r="C45" t="inlineStr">
        <is>
          <t>BELLTECH</t>
        </is>
      </c>
      <c r="D45" t="inlineStr">
        <is>
          <t>BELLTECH</t>
        </is>
      </c>
      <c r="E45" s="3" t="n">
        <v>46084</v>
      </c>
      <c r="F45" s="3" t="n">
        <v>46080</v>
      </c>
      <c r="G45" t="inlineStr">
        <is>
          <t>13:02:00</t>
        </is>
      </c>
      <c r="H45" t="n">
        <v>255606100</v>
      </c>
      <c r="I45" t="n">
        <v>232013900</v>
      </c>
      <c r="J45" t="n">
        <v>25720000</v>
      </c>
      <c r="K45" t="n">
        <v>49312200</v>
      </c>
      <c r="M45">
        <f>I45-(H45+J45-K45)- L45</f>
        <v/>
      </c>
      <c r="N45">
        <f>IF(M45=0,"Cuadrado",IF(M45&gt;0,"Faltante","Sobrante"))</f>
        <v/>
      </c>
      <c r="O45" t="inlineStr">
        <is>
          <t>Cajero cuadrado, sin observación por parte de la sucursal</t>
        </is>
      </c>
      <c r="P45" t="n">
        <v>1019065205</v>
      </c>
    </row>
    <row r="46">
      <c r="A46" t="n">
        <v>723</v>
      </c>
      <c r="B46" t="n">
        <v>5046</v>
      </c>
      <c r="C46" t="inlineStr">
        <is>
          <t>BELLTECH</t>
        </is>
      </c>
      <c r="D46" t="inlineStr">
        <is>
          <t>BELLTECH</t>
        </is>
      </c>
      <c r="E46" s="3" t="n">
        <v>46084</v>
      </c>
      <c r="F46" s="3" t="n">
        <v>46083</v>
      </c>
      <c r="G46" t="inlineStr">
        <is>
          <t>09:56:00</t>
        </is>
      </c>
      <c r="H46" t="n">
        <v>252009000</v>
      </c>
      <c r="I46" t="n">
        <v>273030000</v>
      </c>
      <c r="J46" t="n">
        <v>0</v>
      </c>
      <c r="K46" t="n">
        <v>0</v>
      </c>
      <c r="L46" t="n">
        <v>21021000</v>
      </c>
      <c r="M46">
        <f>I46-(H46+J46-K46)- L46</f>
        <v/>
      </c>
      <c r="N46">
        <f>IF(M46=0,"Cuadrado",IF(M46&gt;0,"Faltante","Sobrante"))</f>
        <v/>
      </c>
      <c r="O46" t="inlineStr">
        <is>
          <t>Cajero cuadrado, sin observación por parte de la sucursal</t>
        </is>
      </c>
      <c r="P46" t="n">
        <v>1088310723</v>
      </c>
    </row>
    <row r="47">
      <c r="A47" t="n">
        <v>725</v>
      </c>
      <c r="B47" t="n">
        <v>8090</v>
      </c>
      <c r="C47" t="inlineStr">
        <is>
          <t>BELLTECH</t>
        </is>
      </c>
      <c r="D47" t="inlineStr">
        <is>
          <t>BELLTECH</t>
        </is>
      </c>
      <c r="E47" s="3" t="n">
        <v>46084</v>
      </c>
      <c r="F47" s="3" t="n">
        <v>46080</v>
      </c>
      <c r="G47" t="inlineStr">
        <is>
          <t>09:40:00</t>
        </is>
      </c>
      <c r="H47" t="n">
        <v>75762300</v>
      </c>
      <c r="I47" t="n">
        <v>86092300</v>
      </c>
      <c r="J47" t="n">
        <v>10550000</v>
      </c>
      <c r="K47" t="n">
        <v>220000</v>
      </c>
      <c r="M47">
        <f>I47-(H47+J47-K47)- L47</f>
        <v/>
      </c>
      <c r="N47">
        <f>IF(M47=0,"Cuadrado",IF(M47&gt;0,"Faltante","Sobrante"))</f>
        <v/>
      </c>
      <c r="O47" t="inlineStr">
        <is>
          <t>Cajero cuadrado, sin observación por parte de la sucursal</t>
        </is>
      </c>
      <c r="P47" t="n">
        <v>1088032608</v>
      </c>
    </row>
    <row r="48">
      <c r="A48" t="n">
        <v>728</v>
      </c>
      <c r="B48" t="n">
        <v>8586</v>
      </c>
      <c r="C48" t="inlineStr">
        <is>
          <t>BELLTECH</t>
        </is>
      </c>
      <c r="D48" t="inlineStr">
        <is>
          <t>BELLTECH</t>
        </is>
      </c>
      <c r="E48" s="3" t="n">
        <v>46084</v>
      </c>
      <c r="F48" s="3" t="n">
        <v>46083</v>
      </c>
      <c r="G48" t="inlineStr">
        <is>
          <t>09:29:00</t>
        </is>
      </c>
      <c r="H48" t="n">
        <v>21395000</v>
      </c>
      <c r="I48" t="n">
        <v>57395000</v>
      </c>
      <c r="J48" t="n">
        <v>41600000</v>
      </c>
      <c r="K48" t="n">
        <v>2248500</v>
      </c>
      <c r="M48">
        <f>I48-(H48+J48-K48)- L48</f>
        <v/>
      </c>
      <c r="N48">
        <f>IF(M48=0,"Cuadrado",IF(M48&gt;0,"Faltante","Sobrante"))</f>
        <v/>
      </c>
      <c r="O48" t="inlineStr">
        <is>
          <t>La diferencia es contabilizada por la Gerencia De Autoservicios y Efectivo de manera centralizada a la cuenta de sobrantes 279510020 el 03/03/2026</t>
        </is>
      </c>
      <c r="P48" t="n">
        <v>1112783690</v>
      </c>
    </row>
    <row r="49">
      <c r="A49" t="n">
        <v>728</v>
      </c>
      <c r="B49" t="n">
        <v>8587</v>
      </c>
      <c r="C49" t="inlineStr">
        <is>
          <t>BELLTECH</t>
        </is>
      </c>
      <c r="D49" t="inlineStr">
        <is>
          <t>BELLTECH</t>
        </is>
      </c>
      <c r="E49" s="3" t="n">
        <v>46084</v>
      </c>
      <c r="F49" s="3" t="n">
        <v>46083</v>
      </c>
      <c r="G49" t="inlineStr">
        <is>
          <t>09:17:00</t>
        </is>
      </c>
      <c r="H49" t="n">
        <v>53145600</v>
      </c>
      <c r="I49" t="n">
        <v>43795600</v>
      </c>
      <c r="J49" t="n">
        <v>1350000</v>
      </c>
      <c r="K49" t="n">
        <v>10700000</v>
      </c>
      <c r="M49">
        <f>I49-(H49+J49-K49)- L49</f>
        <v/>
      </c>
      <c r="N49">
        <f>IF(M49=0,"Cuadrado",IF(M49&gt;0,"Faltante","Sobrante"))</f>
        <v/>
      </c>
      <c r="O49" t="inlineStr">
        <is>
          <t>Cajero cuadrado, sin observación por parte de la sucursal</t>
        </is>
      </c>
      <c r="P49" t="n">
        <v>1112783690</v>
      </c>
    </row>
    <row r="50">
      <c r="A50" t="n">
        <v>781</v>
      </c>
      <c r="B50" t="n">
        <v>5057</v>
      </c>
      <c r="C50" t="inlineStr">
        <is>
          <t>BELLTECH</t>
        </is>
      </c>
      <c r="D50" t="inlineStr">
        <is>
          <t>BELLTECH</t>
        </is>
      </c>
      <c r="E50" s="3" t="n">
        <v>46084</v>
      </c>
      <c r="F50" s="3" t="n">
        <v>46083</v>
      </c>
      <c r="G50" t="inlineStr">
        <is>
          <t>10:23:00</t>
        </is>
      </c>
      <c r="H50" t="n">
        <v>510283800</v>
      </c>
      <c r="I50" t="n">
        <v>488188150</v>
      </c>
      <c r="J50" t="n">
        <v>240000</v>
      </c>
      <c r="K50" t="n">
        <v>3169000</v>
      </c>
      <c r="M50">
        <f>I50-(H50+J50-K50)- L50</f>
        <v/>
      </c>
      <c r="N50">
        <f>IF(M50=0,"Cuadrado",IF(M50&gt;0,"Faltante","Sobrante"))</f>
        <v/>
      </c>
      <c r="O50" t="inlineStr">
        <is>
          <t>REPITIERON ARQUEO</t>
        </is>
      </c>
      <c r="P50" t="n">
        <v>1082848167</v>
      </c>
    </row>
    <row r="51">
      <c r="A51" t="n">
        <v>796</v>
      </c>
      <c r="B51" t="n">
        <v>6911</v>
      </c>
      <c r="C51" t="inlineStr">
        <is>
          <t>BELLTECH</t>
        </is>
      </c>
      <c r="D51" t="inlineStr">
        <is>
          <t>BELLTECH</t>
        </is>
      </c>
      <c r="E51" s="3" t="n">
        <v>46084</v>
      </c>
      <c r="F51" s="3" t="n">
        <v>46083</v>
      </c>
      <c r="G51" t="inlineStr">
        <is>
          <t>14:22:00</t>
        </is>
      </c>
      <c r="H51" t="n">
        <v>225619500</v>
      </c>
      <c r="I51" t="n">
        <v>146645500</v>
      </c>
      <c r="J51" t="n">
        <v>51030000</v>
      </c>
      <c r="K51" t="n">
        <v>114049800</v>
      </c>
      <c r="M51">
        <f>I51-(H51+J51-K51)- L51</f>
        <v/>
      </c>
      <c r="N51">
        <f>IF(M51=0,"Cuadrado",IF(M51&gt;0,"Faltante","Sobrante"))</f>
        <v/>
      </c>
      <c r="O51" t="inlineStr">
        <is>
          <t>REPITIERON ARQUEO</t>
        </is>
      </c>
      <c r="P51" t="n">
        <v>1095802301</v>
      </c>
    </row>
    <row r="52">
      <c r="A52" t="n">
        <v>849</v>
      </c>
      <c r="B52" t="n">
        <v>9724</v>
      </c>
      <c r="C52" t="inlineStr">
        <is>
          <t>BELLTECH</t>
        </is>
      </c>
      <c r="D52" t="inlineStr">
        <is>
          <t>BELLTECH</t>
        </is>
      </c>
      <c r="E52" s="3" t="n">
        <v>46084</v>
      </c>
      <c r="F52" s="3" t="n">
        <v>46083</v>
      </c>
      <c r="G52" t="inlineStr">
        <is>
          <t>08:43:00</t>
        </is>
      </c>
      <c r="H52" t="n">
        <v>179585400</v>
      </c>
      <c r="I52" t="n">
        <v>169885400</v>
      </c>
      <c r="J52" t="n">
        <v>0</v>
      </c>
      <c r="K52" t="n">
        <v>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03/03/2026</t>
        </is>
      </c>
      <c r="P52" t="n">
        <v>86063461</v>
      </c>
    </row>
    <row r="53">
      <c r="A53" t="n">
        <v>849</v>
      </c>
      <c r="B53" t="n">
        <v>9725</v>
      </c>
      <c r="C53" t="inlineStr">
        <is>
          <t>BELLTECH</t>
        </is>
      </c>
      <c r="D53" t="inlineStr">
        <is>
          <t>BELLTECH</t>
        </is>
      </c>
      <c r="E53" s="3" t="n">
        <v>46084</v>
      </c>
      <c r="F53" s="3" t="n">
        <v>46083</v>
      </c>
      <c r="G53" t="inlineStr">
        <is>
          <t>08:43:00</t>
        </is>
      </c>
      <c r="H53" t="n">
        <v>180547300</v>
      </c>
      <c r="I53" t="n">
        <v>214545300</v>
      </c>
      <c r="J53" t="n">
        <v>0</v>
      </c>
      <c r="K53" t="n">
        <v>0</v>
      </c>
      <c r="M53">
        <f>I53-(H53+J53-K53)- L53</f>
        <v/>
      </c>
      <c r="N53">
        <f>IF(M53=0,"Cuadrado",IF(M53&gt;0,"Faltante","Sobrante"))</f>
        <v/>
      </c>
      <c r="O53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53" t="n">
        <v>86063461</v>
      </c>
    </row>
    <row r="54">
      <c r="A54" t="n">
        <v>852</v>
      </c>
      <c r="B54" t="n">
        <v>5050</v>
      </c>
      <c r="C54" t="inlineStr">
        <is>
          <t>BELLTECH</t>
        </is>
      </c>
      <c r="D54" t="inlineStr">
        <is>
          <t>BELLTECH</t>
        </is>
      </c>
      <c r="E54" s="3" t="n">
        <v>46084</v>
      </c>
      <c r="F54" s="3" t="n">
        <v>46083</v>
      </c>
      <c r="G54" t="inlineStr">
        <is>
          <t>09:47:00</t>
        </is>
      </c>
      <c r="H54" t="n">
        <v>266592150</v>
      </c>
      <c r="I54" t="n">
        <v>277422150</v>
      </c>
      <c r="J54" t="n">
        <v>17390000</v>
      </c>
      <c r="K54" t="n">
        <v>6560000</v>
      </c>
      <c r="M54">
        <f>I54-(H54+J54-K54)- L54</f>
        <v/>
      </c>
      <c r="N54">
        <f>IF(M54=0,"Cuadrado",IF(M54&gt;0,"Faltante","Sobrante"))</f>
        <v/>
      </c>
      <c r="O54" t="inlineStr">
        <is>
          <t>Cajero cuadrado, sin observación por parte de la sucursal</t>
        </is>
      </c>
      <c r="P54" t="n">
        <v>1088251245</v>
      </c>
    </row>
    <row r="55">
      <c r="A55" t="n">
        <v>866</v>
      </c>
      <c r="B55" t="n">
        <v>8662</v>
      </c>
      <c r="C55" t="inlineStr">
        <is>
          <t>BELLTECH</t>
        </is>
      </c>
      <c r="D55" t="inlineStr">
        <is>
          <t>BELLTECH</t>
        </is>
      </c>
      <c r="E55" s="3" t="n">
        <v>46084</v>
      </c>
      <c r="F55" s="3" t="n">
        <v>46083</v>
      </c>
      <c r="G55" t="inlineStr">
        <is>
          <t>09:37:00</t>
        </is>
      </c>
      <c r="H55" t="n">
        <v>63045450</v>
      </c>
      <c r="I55" t="n">
        <v>74845450</v>
      </c>
      <c r="J55" t="n">
        <v>11400000</v>
      </c>
      <c r="K55" t="n">
        <v>0</v>
      </c>
      <c r="M55">
        <f>I55-(H55+J55-K55)- L55</f>
        <v/>
      </c>
      <c r="N55">
        <f>IF(M55=0,"Cuadrado",IF(M55&gt;0,"Faltante","Sobrante"))</f>
        <v/>
      </c>
      <c r="O55" t="inlineStr">
        <is>
          <t xml:space="preserve">ACLARAR DIFERENCIA Y REPETIR EL ARQUEO </t>
        </is>
      </c>
      <c r="P55" t="n">
        <v>1113674245</v>
      </c>
    </row>
    <row r="56">
      <c r="A56" t="n">
        <v>876</v>
      </c>
      <c r="B56" t="n">
        <v>9682</v>
      </c>
      <c r="C56" t="inlineStr">
        <is>
          <t>BELLTECH</t>
        </is>
      </c>
      <c r="D56" t="inlineStr">
        <is>
          <t>BELLTECH</t>
        </is>
      </c>
      <c r="E56" s="3" t="n">
        <v>46084</v>
      </c>
      <c r="F56" s="3" t="n">
        <v>46083</v>
      </c>
      <c r="G56" t="inlineStr">
        <is>
          <t>15:49:00</t>
        </is>
      </c>
      <c r="H56" t="n">
        <v>504195450</v>
      </c>
      <c r="I56" t="n">
        <v>382634450</v>
      </c>
      <c r="J56" t="n">
        <v>7520000</v>
      </c>
      <c r="K56" t="n">
        <v>131620000</v>
      </c>
      <c r="L56" t="n">
        <v>2539000</v>
      </c>
      <c r="M56">
        <f>I56-(H56+J56-K56)- L56</f>
        <v/>
      </c>
      <c r="N56">
        <f>IF(M56=0,"Cuadrado",IF(M56&gt;0,"Faltante","Sobrante"))</f>
        <v/>
      </c>
      <c r="O56" t="inlineStr">
        <is>
          <t>El faltante $2.539.000 es cruzado con sobrante contabilizado el día 06/02/2026 el cual es reversado por la seccion el día 03/03/2026</t>
        </is>
      </c>
      <c r="P56" t="n">
        <v>1002032451</v>
      </c>
    </row>
    <row r="57">
      <c r="A57" t="n">
        <v>888</v>
      </c>
      <c r="B57" t="n">
        <v>6818</v>
      </c>
      <c r="C57" t="inlineStr">
        <is>
          <t>BELLTECH</t>
        </is>
      </c>
      <c r="D57" t="inlineStr">
        <is>
          <t>BELLTECH</t>
        </is>
      </c>
      <c r="E57" s="3" t="n">
        <v>46084</v>
      </c>
      <c r="F57" s="3" t="n">
        <v>46083</v>
      </c>
      <c r="G57" t="inlineStr">
        <is>
          <t>11:09:00</t>
        </is>
      </c>
      <c r="H57" t="n">
        <v>125980200</v>
      </c>
      <c r="I57" t="n">
        <v>123180200</v>
      </c>
      <c r="J57" t="n">
        <v>0</v>
      </c>
      <c r="K57" t="n">
        <v>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03/03/2026</t>
        </is>
      </c>
      <c r="P57" t="n">
        <v>1085921765</v>
      </c>
    </row>
    <row r="58">
      <c r="A58" t="n">
        <v>907</v>
      </c>
      <c r="B58" t="n">
        <v>4830</v>
      </c>
      <c r="C58" t="inlineStr">
        <is>
          <t>BELLTECH</t>
        </is>
      </c>
      <c r="D58" t="inlineStr">
        <is>
          <t>BELLTECH</t>
        </is>
      </c>
      <c r="E58" s="3" t="n">
        <v>46084</v>
      </c>
      <c r="F58" s="3" t="n">
        <v>46083</v>
      </c>
      <c r="G58" t="inlineStr">
        <is>
          <t>09:43:00</t>
        </is>
      </c>
      <c r="H58" t="n">
        <v>260035950</v>
      </c>
      <c r="I58" t="n">
        <v>259735950</v>
      </c>
      <c r="J58" t="n">
        <v>0</v>
      </c>
      <c r="K58" t="n">
        <v>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03/03/2026</t>
        </is>
      </c>
      <c r="P58" t="n">
        <v>71339401</v>
      </c>
    </row>
    <row r="59">
      <c r="A59" t="n">
        <v>907</v>
      </c>
      <c r="B59" t="n">
        <v>5019</v>
      </c>
      <c r="C59" t="inlineStr">
        <is>
          <t>BELLTECH</t>
        </is>
      </c>
      <c r="D59" t="inlineStr">
        <is>
          <t>BELLTECH</t>
        </is>
      </c>
      <c r="E59" s="3" t="n">
        <v>46084</v>
      </c>
      <c r="F59" s="3" t="n">
        <v>46083</v>
      </c>
      <c r="G59" t="inlineStr">
        <is>
          <t>09:08:00</t>
        </is>
      </c>
      <c r="H59" t="n">
        <v>259784700</v>
      </c>
      <c r="I59" t="n">
        <v>274754700</v>
      </c>
      <c r="J59" t="n">
        <v>15000000</v>
      </c>
      <c r="K59" t="n">
        <v>0</v>
      </c>
      <c r="M59">
        <f>I59-(H59+J59-K59)- L59</f>
        <v/>
      </c>
      <c r="N59">
        <f>IF(M59=0,"Cuadrado",IF(M59&gt;0,"Faltante","Sobrante"))</f>
        <v/>
      </c>
      <c r="O59" t="inlineStr">
        <is>
          <t>La diferencia es contabilizada por la Gerencia De Autoservicios y Efectivo de manera centralizada a la cuenta de sobrantes 279510020 el 03/03/2026</t>
        </is>
      </c>
      <c r="P59" t="n">
        <v>71339401</v>
      </c>
    </row>
    <row r="60">
      <c r="A60" t="n">
        <v>946</v>
      </c>
      <c r="B60" t="n">
        <v>5225</v>
      </c>
      <c r="C60" t="inlineStr">
        <is>
          <t>BELLTECH</t>
        </is>
      </c>
      <c r="D60" t="inlineStr">
        <is>
          <t>BELLTECH</t>
        </is>
      </c>
      <c r="E60" s="3" t="n">
        <v>46084</v>
      </c>
      <c r="F60" s="3" t="n">
        <v>46080</v>
      </c>
      <c r="G60" t="inlineStr">
        <is>
          <t>15:31:00</t>
        </is>
      </c>
      <c r="H60" t="n">
        <v>203942750</v>
      </c>
      <c r="I60" t="n">
        <v>246926750</v>
      </c>
      <c r="J60" t="n">
        <v>47380000</v>
      </c>
      <c r="K60" t="n">
        <v>4396000</v>
      </c>
      <c r="M60">
        <f>I60-(H60+J60-K60)- L60</f>
        <v/>
      </c>
      <c r="N60">
        <f>IF(M60=0,"Cuadrado",IF(M60&gt;0,"Faltante","Sobrante"))</f>
        <v/>
      </c>
      <c r="O60" t="inlineStr">
        <is>
          <t>Cajero cuadrado, sin observación por parte de la sucursal</t>
        </is>
      </c>
      <c r="P60" t="n">
        <v>20500181</v>
      </c>
    </row>
    <row r="61">
      <c r="A61" t="n">
        <v>1</v>
      </c>
      <c r="B61" t="n">
        <v>5000</v>
      </c>
      <c r="C61" t="inlineStr">
        <is>
          <t>BELLTECH</t>
        </is>
      </c>
      <c r="D61" t="inlineStr">
        <is>
          <t>BELLTECH</t>
        </is>
      </c>
      <c r="E61" s="3" t="n">
        <v>46085</v>
      </c>
      <c r="F61" s="3" t="n">
        <v>46084</v>
      </c>
      <c r="G61" t="inlineStr">
        <is>
          <t>15:25:00</t>
        </is>
      </c>
      <c r="H61" t="n">
        <v>196112400</v>
      </c>
      <c r="I61" t="n">
        <v>246926400</v>
      </c>
      <c r="J61" t="n">
        <v>75910000</v>
      </c>
      <c r="K61" t="n">
        <v>24702000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04/03/2026</t>
        </is>
      </c>
      <c r="P61" t="n">
        <v>1017128064</v>
      </c>
    </row>
    <row r="62">
      <c r="A62" t="n">
        <v>93</v>
      </c>
      <c r="B62" t="n">
        <v>7126</v>
      </c>
      <c r="C62" t="inlineStr">
        <is>
          <t>BELLTECH</t>
        </is>
      </c>
      <c r="D62" t="inlineStr">
        <is>
          <t>BELLTECH</t>
        </is>
      </c>
      <c r="E62" s="3" t="n">
        <v>46085</v>
      </c>
      <c r="F62" s="3" t="n">
        <v>46084</v>
      </c>
      <c r="G62" t="inlineStr">
        <is>
          <t>15:40:00</t>
        </is>
      </c>
      <c r="H62" t="n">
        <v>141650850</v>
      </c>
      <c r="I62" t="n">
        <v>150308850</v>
      </c>
      <c r="J62" t="n">
        <v>19680000</v>
      </c>
      <c r="K62" t="n">
        <v>11022000</v>
      </c>
      <c r="M62">
        <f>I62-(H62+J62-K62)- L62</f>
        <v/>
      </c>
      <c r="N62">
        <f>IF(M62=0,"Cuadrado",IF(M62&gt;0,"Faltante","Sobrante"))</f>
        <v/>
      </c>
      <c r="O62" t="inlineStr">
        <is>
          <t>Cajero cuadrado, sin observación por parte de la sucursal</t>
        </is>
      </c>
      <c r="P62" t="n">
        <v>1067931735</v>
      </c>
    </row>
    <row r="63">
      <c r="A63" t="n">
        <v>166</v>
      </c>
      <c r="B63" t="n">
        <v>7940</v>
      </c>
      <c r="C63" t="inlineStr">
        <is>
          <t>BELLTECH</t>
        </is>
      </c>
      <c r="D63" t="inlineStr">
        <is>
          <t>DIEBOLD</t>
        </is>
      </c>
      <c r="E63" s="3" t="n">
        <v>46085</v>
      </c>
      <c r="F63" s="3" t="n">
        <v>46084</v>
      </c>
      <c r="G63" t="inlineStr">
        <is>
          <t>14:51:00</t>
        </is>
      </c>
      <c r="H63" t="n">
        <v>337097000</v>
      </c>
      <c r="I63" t="n">
        <v>204376600</v>
      </c>
      <c r="J63" t="n">
        <v>40230000</v>
      </c>
      <c r="K63" t="n">
        <v>169096500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04/03/2026</t>
        </is>
      </c>
      <c r="P63" t="n">
        <v>50938822</v>
      </c>
    </row>
    <row r="64">
      <c r="A64" t="n">
        <v>185</v>
      </c>
      <c r="B64" t="n">
        <v>2208</v>
      </c>
      <c r="C64" t="inlineStr">
        <is>
          <t>DIEBOLD</t>
        </is>
      </c>
      <c r="D64" t="inlineStr">
        <is>
          <t>BELLTECH</t>
        </is>
      </c>
      <c r="E64" s="3" t="n">
        <v>46085</v>
      </c>
      <c r="F64" s="3" t="n">
        <v>46084</v>
      </c>
      <c r="G64" t="inlineStr">
        <is>
          <t>11:03:00</t>
        </is>
      </c>
      <c r="H64" t="n">
        <v>45108500</v>
      </c>
      <c r="I64" t="n">
        <v>44373200</v>
      </c>
      <c r="J64" t="n">
        <v>2850000</v>
      </c>
      <c r="K64" t="n">
        <v>5110000</v>
      </c>
      <c r="M64">
        <f>I64-(H64+J64-K64)- L64</f>
        <v/>
      </c>
      <c r="N64">
        <f>IF(M64=0,"Cuadrado",IF(M64&gt;0,"Faltante","Sobrante"))</f>
        <v/>
      </c>
      <c r="O64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64" t="n">
        <v>66784636</v>
      </c>
    </row>
    <row r="65">
      <c r="A65" t="n">
        <v>233</v>
      </c>
      <c r="B65" t="n">
        <v>7212</v>
      </c>
      <c r="C65" t="inlineStr">
        <is>
          <t>BELLTECH</t>
        </is>
      </c>
      <c r="D65" t="inlineStr">
        <is>
          <t>DIEBOLD</t>
        </is>
      </c>
      <c r="E65" s="3" t="n">
        <v>46085</v>
      </c>
      <c r="F65" s="3" t="n">
        <v>46084</v>
      </c>
      <c r="G65" t="inlineStr">
        <is>
          <t>09:14:00</t>
        </is>
      </c>
      <c r="H65" t="n">
        <v>233874400</v>
      </c>
      <c r="I65" t="n">
        <v>238254400</v>
      </c>
      <c r="J65" t="n">
        <v>2100000</v>
      </c>
      <c r="K65" t="n">
        <v>220000</v>
      </c>
      <c r="M65">
        <f>I65-(H65+J65-K65)- L65</f>
        <v/>
      </c>
      <c r="N65">
        <f>IF(M65=0,"Cuadrado",IF(M65&gt;0,"Faltante","Sobrante"))</f>
        <v/>
      </c>
      <c r="O65" t="inlineStr">
        <is>
          <t>REPITIERON ARQUEO</t>
        </is>
      </c>
      <c r="P65" t="n">
        <v>80271480</v>
      </c>
    </row>
    <row r="66">
      <c r="A66" t="n">
        <v>291</v>
      </c>
      <c r="B66" t="n">
        <v>8139</v>
      </c>
      <c r="C66" t="inlineStr">
        <is>
          <t>DIEBOLD</t>
        </is>
      </c>
      <c r="D66" t="inlineStr">
        <is>
          <t>BELLTECH</t>
        </is>
      </c>
      <c r="E66" s="3" t="n">
        <v>46085</v>
      </c>
      <c r="F66" s="3" t="n">
        <v>46084</v>
      </c>
      <c r="G66" t="inlineStr">
        <is>
          <t>09:16:00</t>
        </is>
      </c>
      <c r="H66" t="n">
        <v>98387300</v>
      </c>
      <c r="I66" t="n">
        <v>111026600</v>
      </c>
      <c r="J66" t="n">
        <v>16070000</v>
      </c>
      <c r="K66" t="n">
        <v>3450000</v>
      </c>
      <c r="L66" t="n">
        <v>19300</v>
      </c>
      <c r="M66">
        <f>I66-(H66+J66-K66)- L66</f>
        <v/>
      </c>
      <c r="N66">
        <f>IF(M66=0,"Cuadrado",IF(M66&gt;0,"Faltante","Sobrante"))</f>
        <v/>
      </c>
      <c r="O66" t="inlineStr">
        <is>
          <t>El faltante de $19.300 es cruzado con sobrante contabilizado el día 23/02/2026 el cual es reversado por la seccion el día 04/03/2026</t>
        </is>
      </c>
      <c r="P66" t="n">
        <v>1095930956</v>
      </c>
    </row>
    <row r="67">
      <c r="A67" t="n">
        <v>331</v>
      </c>
      <c r="B67" t="n">
        <v>574</v>
      </c>
      <c r="C67" t="inlineStr">
        <is>
          <t>BELLTECH</t>
        </is>
      </c>
      <c r="D67" t="inlineStr">
        <is>
          <t>BELLTECH</t>
        </is>
      </c>
      <c r="E67" s="3" t="n">
        <v>46085</v>
      </c>
      <c r="F67" s="3" t="n">
        <v>46084</v>
      </c>
      <c r="G67" t="inlineStr">
        <is>
          <t>14:47:00</t>
        </is>
      </c>
      <c r="H67" t="n">
        <v>110266600</v>
      </c>
      <c r="I67" t="n">
        <v>419768750</v>
      </c>
      <c r="J67" t="n">
        <v>27370000</v>
      </c>
      <c r="K67" t="n">
        <v>175978850</v>
      </c>
      <c r="L67" t="n">
        <v>266636000</v>
      </c>
      <c r="M67">
        <f>I67-(H67+J67-K67)- L67</f>
        <v/>
      </c>
      <c r="N67">
        <f>IF(M67=0,"Cuadrado",IF(M67&gt;0,"Faltante","Sobrante"))</f>
        <v/>
      </c>
      <c r="O67" t="inlineStr">
        <is>
          <t>REPITIERON ARQUEO</t>
        </is>
      </c>
      <c r="P67" t="n">
        <v>32244978</v>
      </c>
    </row>
    <row r="68">
      <c r="A68" t="n">
        <v>392</v>
      </c>
      <c r="B68" t="n">
        <v>5064</v>
      </c>
      <c r="C68" t="inlineStr">
        <is>
          <t>BELLTECH</t>
        </is>
      </c>
      <c r="D68" t="inlineStr">
        <is>
          <t>BELLTECH</t>
        </is>
      </c>
      <c r="E68" s="3" t="n">
        <v>46085</v>
      </c>
      <c r="F68" s="3" t="n">
        <v>46084</v>
      </c>
      <c r="G68" t="inlineStr">
        <is>
          <t>11:47:00</t>
        </is>
      </c>
      <c r="H68" t="n">
        <v>156577650</v>
      </c>
      <c r="I68" t="n">
        <v>158719650</v>
      </c>
      <c r="J68" t="n">
        <v>45650000</v>
      </c>
      <c r="K68" t="n">
        <v>44635000</v>
      </c>
      <c r="L68" t="n">
        <v>1127000</v>
      </c>
      <c r="M68">
        <f>I68-(H68+J68-K68)- L68</f>
        <v/>
      </c>
      <c r="N68">
        <f>IF(M68=0,"Cuadrado",IF(M68&gt;0,"Faltante","Sobrante"))</f>
        <v/>
      </c>
      <c r="O68" t="inlineStr">
        <is>
          <t>El faltante de $1.127.000 es cruzado con sobrante contabilizado el día 17/02/2026 el cual es reversado por la seccion el día 04/03/2026</t>
        </is>
      </c>
      <c r="P68" t="n">
        <v>1054547012</v>
      </c>
    </row>
    <row r="69">
      <c r="A69" t="n">
        <v>430</v>
      </c>
      <c r="B69" t="n">
        <v>5104</v>
      </c>
      <c r="C69" t="inlineStr">
        <is>
          <t>BELLTECH</t>
        </is>
      </c>
      <c r="D69" t="inlineStr">
        <is>
          <t>BELLTECH</t>
        </is>
      </c>
      <c r="E69" s="3" t="n">
        <v>46085</v>
      </c>
      <c r="F69" s="3" t="n">
        <v>46084</v>
      </c>
      <c r="G69" t="inlineStr">
        <is>
          <t>10:17:00</t>
        </is>
      </c>
      <c r="H69" t="n">
        <v>336412000</v>
      </c>
      <c r="I69" t="n">
        <v>303428650</v>
      </c>
      <c r="J69" t="n">
        <v>15920000</v>
      </c>
      <c r="K69" t="n">
        <v>49488000</v>
      </c>
      <c r="M69">
        <f>I69-(H69+J69-K69)- L69</f>
        <v/>
      </c>
      <c r="N69">
        <f>IF(M69=0,"Cuadrado",IF(M69&gt;0,"Faltante","Sobrante"))</f>
        <v/>
      </c>
      <c r="O69" t="inlineStr">
        <is>
          <t>REPITIERON ARQUEO</t>
        </is>
      </c>
      <c r="P69" t="n">
        <v>1035234232</v>
      </c>
    </row>
    <row r="70">
      <c r="A70" t="n">
        <v>453</v>
      </c>
      <c r="B70" t="n">
        <v>8018</v>
      </c>
      <c r="C70" t="inlineStr">
        <is>
          <t>BELLTECH</t>
        </is>
      </c>
      <c r="D70" t="inlineStr">
        <is>
          <t>BELLTECH</t>
        </is>
      </c>
      <c r="E70" s="3" t="n">
        <v>46085</v>
      </c>
      <c r="F70" s="3" t="n">
        <v>46084</v>
      </c>
      <c r="G70" t="inlineStr">
        <is>
          <t>09:00:00</t>
        </is>
      </c>
      <c r="H70" t="n">
        <v>317539300</v>
      </c>
      <c r="I70" t="n">
        <v>276186300</v>
      </c>
      <c r="J70" t="n">
        <v>4780000</v>
      </c>
      <c r="K70" t="n">
        <v>18220000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04/03/2026</t>
        </is>
      </c>
      <c r="P70" t="n">
        <v>1083897578</v>
      </c>
    </row>
    <row r="71">
      <c r="A71" t="n">
        <v>453</v>
      </c>
      <c r="B71" t="n">
        <v>8019</v>
      </c>
      <c r="C71" t="inlineStr">
        <is>
          <t>BELLTECH</t>
        </is>
      </c>
      <c r="D71" t="inlineStr">
        <is>
          <t>BELLTECH</t>
        </is>
      </c>
      <c r="E71" s="3" t="n">
        <v>46085</v>
      </c>
      <c r="F71" s="3" t="n">
        <v>46084</v>
      </c>
      <c r="G71" t="inlineStr">
        <is>
          <t>08:06:00</t>
        </is>
      </c>
      <c r="H71" t="n">
        <v>290564100</v>
      </c>
      <c r="I71" t="n">
        <v>260374100</v>
      </c>
      <c r="J71" t="n">
        <v>7170000</v>
      </c>
      <c r="K71" t="n">
        <v>34750000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04/03/2026</t>
        </is>
      </c>
      <c r="P71" t="n">
        <v>1083897578</v>
      </c>
    </row>
    <row r="72">
      <c r="A72" t="n">
        <v>509</v>
      </c>
      <c r="B72" t="n">
        <v>8835</v>
      </c>
      <c r="C72" t="inlineStr">
        <is>
          <t>BELLTECH</t>
        </is>
      </c>
      <c r="D72" t="inlineStr">
        <is>
          <t>BELLTECH</t>
        </is>
      </c>
      <c r="E72" s="3" t="n">
        <v>46085</v>
      </c>
      <c r="F72" s="3" t="n">
        <v>46084</v>
      </c>
      <c r="G72" t="inlineStr">
        <is>
          <t>09:58:00</t>
        </is>
      </c>
      <c r="H72" t="n">
        <v>289365350</v>
      </c>
      <c r="I72" t="n">
        <v>230723250</v>
      </c>
      <c r="J72" t="n">
        <v>4280000</v>
      </c>
      <c r="K72" t="n">
        <v>64171700</v>
      </c>
      <c r="M72">
        <f>I72-(H72+J72-K72)- L72</f>
        <v/>
      </c>
      <c r="N72">
        <f>IF(M72=0,"Cuadrado",IF(M72&gt;0,"Faltante","Sobrante"))</f>
        <v/>
      </c>
      <c r="O72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2" t="n">
        <v>1143370364</v>
      </c>
    </row>
    <row r="73">
      <c r="A73" t="n">
        <v>524</v>
      </c>
      <c r="B73" t="n">
        <v>6336</v>
      </c>
      <c r="C73" t="inlineStr">
        <is>
          <t>BELLTECH</t>
        </is>
      </c>
      <c r="D73" t="inlineStr">
        <is>
          <t>BELLTECH</t>
        </is>
      </c>
      <c r="E73" s="3" t="n">
        <v>46085</v>
      </c>
      <c r="F73" s="3" t="n">
        <v>46084</v>
      </c>
      <c r="G73" t="inlineStr">
        <is>
          <t>08:49:00</t>
        </is>
      </c>
      <c r="H73" t="n">
        <v>260115300</v>
      </c>
      <c r="I73" t="n">
        <v>260773100</v>
      </c>
      <c r="J73" t="n">
        <v>660000</v>
      </c>
      <c r="K73" t="n">
        <v>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sobrantes 279510020 el 04/03/2026</t>
        </is>
      </c>
      <c r="P73" t="n">
        <v>1004211532</v>
      </c>
    </row>
    <row r="74">
      <c r="A74" t="n">
        <v>551</v>
      </c>
      <c r="B74" t="n">
        <v>9644</v>
      </c>
      <c r="C74" t="inlineStr">
        <is>
          <t>BELLTECH</t>
        </is>
      </c>
      <c r="D74" t="inlineStr">
        <is>
          <t>BELLTECH</t>
        </is>
      </c>
      <c r="E74" s="3" t="n">
        <v>46085</v>
      </c>
      <c r="F74" s="3" t="n">
        <v>46084</v>
      </c>
      <c r="G74" t="inlineStr">
        <is>
          <t>15:57:29</t>
        </is>
      </c>
      <c r="H74" t="n">
        <v>389260600</v>
      </c>
      <c r="I74" t="n">
        <v>295698550</v>
      </c>
      <c r="J74" t="n">
        <v>54650000</v>
      </c>
      <c r="K74" t="n">
        <v>133333050</v>
      </c>
      <c r="M74">
        <f>I74-(H74+J74-K74)- L74</f>
        <v/>
      </c>
      <c r="N74">
        <f>IF(M74=0,"Cuadrado",IF(M74&gt;0,"Faltante","Sobrante"))</f>
        <v/>
      </c>
      <c r="O74" t="inlineStr">
        <is>
          <t xml:space="preserve">ACLARAR DIFERENCIA Y REPETIR EL ARQUEO </t>
        </is>
      </c>
      <c r="P74" t="n">
        <v>1152213498</v>
      </c>
    </row>
    <row r="75">
      <c r="A75" t="n">
        <v>571</v>
      </c>
      <c r="B75" t="n">
        <v>6150</v>
      </c>
      <c r="C75" t="inlineStr">
        <is>
          <t>BELLTECH</t>
        </is>
      </c>
      <c r="D75" t="inlineStr">
        <is>
          <t>BELLTECH</t>
        </is>
      </c>
      <c r="E75" s="3" t="n">
        <v>46085</v>
      </c>
      <c r="F75" s="3" t="n">
        <v>46084</v>
      </c>
      <c r="G75" t="inlineStr">
        <is>
          <t>15:37:00</t>
        </is>
      </c>
      <c r="H75" t="n">
        <v>81955300</v>
      </c>
      <c r="I75" t="n">
        <v>67953850</v>
      </c>
      <c r="J75" t="n">
        <v>61680000</v>
      </c>
      <c r="K75" t="n">
        <v>75648900</v>
      </c>
      <c r="M75">
        <f>I75-(H75+J75-K75)- L75</f>
        <v/>
      </c>
      <c r="N75">
        <f>IF(M75=0,"Cuadrado",IF(M75&gt;0,"Faltante","Sobrante"))</f>
        <v/>
      </c>
      <c r="O75" t="inlineStr">
        <is>
          <t>La diferencia es contabilizada por la Gerencia De Autoservicios y Efectivo de manera centralizada a la cuenta de sobrantes 279510020 el 04/03/2026</t>
        </is>
      </c>
      <c r="P75" t="n">
        <v>1019116828</v>
      </c>
    </row>
    <row r="76">
      <c r="A76" t="n">
        <v>623</v>
      </c>
      <c r="B76" t="n">
        <v>5047</v>
      </c>
      <c r="C76" t="inlineStr">
        <is>
          <t>BELLTECH</t>
        </is>
      </c>
      <c r="D76" t="inlineStr">
        <is>
          <t>BELLTECH</t>
        </is>
      </c>
      <c r="E76" s="3" t="n">
        <v>46085</v>
      </c>
      <c r="F76" s="3" t="n">
        <v>46084</v>
      </c>
      <c r="G76" t="inlineStr">
        <is>
          <t>10:54:00</t>
        </is>
      </c>
      <c r="H76" t="n">
        <v>212035800</v>
      </c>
      <c r="I76" t="n">
        <v>221845800</v>
      </c>
      <c r="J76" t="n">
        <v>10260000</v>
      </c>
      <c r="K76" t="n">
        <v>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04/03/2026</t>
        </is>
      </c>
      <c r="P76" t="n">
        <v>1060651791</v>
      </c>
    </row>
    <row r="77">
      <c r="A77" t="n">
        <v>674</v>
      </c>
      <c r="B77" t="n">
        <v>5200</v>
      </c>
      <c r="C77" t="inlineStr">
        <is>
          <t>BELLTECH</t>
        </is>
      </c>
      <c r="D77" t="inlineStr">
        <is>
          <t>BELLTECH</t>
        </is>
      </c>
      <c r="E77" s="3" t="n">
        <v>46085</v>
      </c>
      <c r="F77" s="3" t="n">
        <v>46084</v>
      </c>
      <c r="G77" t="inlineStr">
        <is>
          <t>08:34:00</t>
        </is>
      </c>
      <c r="H77" t="n">
        <v>71893250</v>
      </c>
      <c r="I77" t="n">
        <v>28043300</v>
      </c>
      <c r="J77" t="n">
        <v>19150000</v>
      </c>
      <c r="K77" t="n">
        <v>0</v>
      </c>
      <c r="L77" t="n">
        <v>-62999950</v>
      </c>
      <c r="M77">
        <f>I77-(H77+J77-K77)- L77</f>
        <v/>
      </c>
      <c r="N77">
        <f>IF(M77=0,"Cuadrado",IF(M77&gt;0,"Faltante","Sobrante"))</f>
        <v/>
      </c>
      <c r="O77" t="inlineStr">
        <is>
          <t>El faltante  de $50 es cruzado con sobrante contabilizado el día 27/02/2026 el cual es reversado por la seccion el día 04/03/2026</t>
        </is>
      </c>
      <c r="P77" t="n">
        <v>79813088</v>
      </c>
    </row>
    <row r="78">
      <c r="A78" t="n">
        <v>678</v>
      </c>
      <c r="B78" t="n">
        <v>5227</v>
      </c>
      <c r="C78" t="inlineStr">
        <is>
          <t>BELLTECH</t>
        </is>
      </c>
      <c r="D78" t="inlineStr">
        <is>
          <t>BELLTECH</t>
        </is>
      </c>
      <c r="E78" s="3" t="n">
        <v>46085</v>
      </c>
      <c r="F78" s="3" t="n">
        <v>46084</v>
      </c>
      <c r="G78" t="inlineStr">
        <is>
          <t>14:26:00</t>
        </is>
      </c>
      <c r="H78" t="n">
        <v>79082350</v>
      </c>
      <c r="I78" t="n">
        <v>86475000</v>
      </c>
      <c r="J78" t="n">
        <v>34900000</v>
      </c>
      <c r="K78" t="n">
        <v>22427350</v>
      </c>
      <c r="M78">
        <f>I78-(H78+J78-K78)- L78</f>
        <v/>
      </c>
      <c r="N78">
        <f>IF(M78=0,"Cuadrado",IF(M78&gt;0,"Faltante","Sobrante"))</f>
        <v/>
      </c>
      <c r="O78" t="inlineStr">
        <is>
          <t>La diferencia es contabilizada por la Gerencia De Autoservicios y Efectivo de manera centralizada a la cuenta de sobrantes 279510020 el 04/03/2026</t>
        </is>
      </c>
      <c r="P78" t="n">
        <v>1102586250</v>
      </c>
    </row>
    <row r="79">
      <c r="A79" t="n">
        <v>692</v>
      </c>
      <c r="B79" t="n">
        <v>1515</v>
      </c>
      <c r="C79" t="inlineStr">
        <is>
          <t>BELLTECH</t>
        </is>
      </c>
      <c r="D79" t="inlineStr">
        <is>
          <t>BELLTECH</t>
        </is>
      </c>
      <c r="E79" s="3" t="n">
        <v>46085</v>
      </c>
      <c r="F79" s="3" t="n">
        <v>46084</v>
      </c>
      <c r="G79" t="inlineStr">
        <is>
          <t>15:37:00</t>
        </is>
      </c>
      <c r="H79" t="n">
        <v>327365550</v>
      </c>
      <c r="I79" t="n">
        <v>200057550</v>
      </c>
      <c r="J79" t="n">
        <v>33500000</v>
      </c>
      <c r="K79" t="n">
        <v>158964850</v>
      </c>
      <c r="M79">
        <f>I79-(H79+J79-K79)- L79</f>
        <v/>
      </c>
      <c r="N79">
        <f>IF(M79=0,"Cuadrado",IF(M79&gt;0,"Faltante","Sobrante"))</f>
        <v/>
      </c>
      <c r="O79" t="inlineStr">
        <is>
          <t>La diferencia es contabilizada por la Gerencia De Autoservicios y Efectivo de manera centralizada a la cuenta de sobrantes 279510020 el 04/03/2026</t>
        </is>
      </c>
      <c r="P79" t="n">
        <v>30840635</v>
      </c>
    </row>
    <row r="80">
      <c r="A80" t="n">
        <v>728</v>
      </c>
      <c r="B80" t="n">
        <v>8586</v>
      </c>
      <c r="C80" t="inlineStr">
        <is>
          <t>BELLTECH</t>
        </is>
      </c>
      <c r="D80" t="inlineStr">
        <is>
          <t>BELLTECH</t>
        </is>
      </c>
      <c r="E80" s="3" t="n">
        <v>46085</v>
      </c>
      <c r="F80" s="3" t="n">
        <v>46084</v>
      </c>
      <c r="G80" t="inlineStr">
        <is>
          <t>11:20:00</t>
        </is>
      </c>
      <c r="H80" t="n">
        <v>124069800</v>
      </c>
      <c r="I80" t="n">
        <v>43355300</v>
      </c>
      <c r="J80" t="n">
        <v>24450000</v>
      </c>
      <c r="K80" t="n">
        <v>103924000</v>
      </c>
      <c r="L80" t="n">
        <v>-1240500</v>
      </c>
      <c r="M80">
        <f>I80-(H80+J80-K80)- L80</f>
        <v/>
      </c>
      <c r="N80">
        <f>IF(M80=0,"Cuadrado",IF(M80&gt;0,"Faltante","Sobrante"))</f>
        <v/>
      </c>
      <c r="O80" t="inlineStr">
        <is>
          <t>Cajero cuadrado, sin observación por parte de la sucursal</t>
        </is>
      </c>
      <c r="P80" t="n">
        <v>1112783690</v>
      </c>
    </row>
    <row r="81">
      <c r="A81" t="n">
        <v>728</v>
      </c>
      <c r="B81" t="n">
        <v>8587</v>
      </c>
      <c r="C81" t="inlineStr">
        <is>
          <t>BELLTECH</t>
        </is>
      </c>
      <c r="D81" t="inlineStr">
        <is>
          <t>BELLTECH</t>
        </is>
      </c>
      <c r="E81" s="3" t="n">
        <v>46085</v>
      </c>
      <c r="F81" s="3" t="n">
        <v>46084</v>
      </c>
      <c r="G81" t="inlineStr">
        <is>
          <t>11:36:00</t>
        </is>
      </c>
      <c r="H81" t="n">
        <v>117107850</v>
      </c>
      <c r="I81" t="n">
        <v>87763850</v>
      </c>
      <c r="J81" t="n">
        <v>4320000</v>
      </c>
      <c r="K81" t="n">
        <v>33684000</v>
      </c>
      <c r="L81" t="n">
        <v>20000</v>
      </c>
      <c r="M81">
        <f>I81-(H81+J81-K81)- L81</f>
        <v/>
      </c>
      <c r="N81">
        <f>IF(M81=0,"Cuadrado",IF(M81&gt;0,"Faltante","Sobrante"))</f>
        <v/>
      </c>
      <c r="O81" t="inlineStr">
        <is>
          <t>Cajero cuadrado, sin observación por parte de la sucursal</t>
        </is>
      </c>
      <c r="P81" t="n">
        <v>1112783690</v>
      </c>
    </row>
    <row r="82">
      <c r="A82" t="n">
        <v>741</v>
      </c>
      <c r="B82" t="n">
        <v>6843</v>
      </c>
      <c r="C82" t="inlineStr">
        <is>
          <t>DIEBOLD</t>
        </is>
      </c>
      <c r="D82" t="inlineStr">
        <is>
          <t>BELLTECH</t>
        </is>
      </c>
      <c r="E82" s="3" t="n">
        <v>46085</v>
      </c>
      <c r="F82" s="3" t="n">
        <v>46084</v>
      </c>
      <c r="G82" t="inlineStr">
        <is>
          <t>14:49:00</t>
        </is>
      </c>
      <c r="H82" t="n">
        <v>159080350</v>
      </c>
      <c r="I82" t="n">
        <v>187116200</v>
      </c>
      <c r="J82" t="n">
        <v>47230000</v>
      </c>
      <c r="K82" t="n">
        <v>58009000</v>
      </c>
      <c r="M82">
        <f>I82-(H82+J82-K82)- L82</f>
        <v/>
      </c>
      <c r="N82">
        <f>IF(M82=0,"Cuadrado",IF(M82&gt;0,"Faltante","Sobrante"))</f>
        <v/>
      </c>
      <c r="O82" t="inlineStr">
        <is>
          <t>REPITIERON ARQUEO</t>
        </is>
      </c>
      <c r="P82" t="n">
        <v>1130637714</v>
      </c>
    </row>
    <row r="83">
      <c r="A83" t="n">
        <v>779</v>
      </c>
      <c r="B83" t="n">
        <v>5013</v>
      </c>
      <c r="C83" t="inlineStr">
        <is>
          <t>BELLTECH</t>
        </is>
      </c>
      <c r="D83" t="inlineStr">
        <is>
          <t>BELLTECH</t>
        </is>
      </c>
      <c r="E83" s="3" t="n">
        <v>46085</v>
      </c>
      <c r="F83" s="3" t="n">
        <v>46084</v>
      </c>
      <c r="G83" t="inlineStr">
        <is>
          <t>10:54:00</t>
        </is>
      </c>
      <c r="H83" t="n">
        <v>44427800</v>
      </c>
      <c r="I83" t="n">
        <v>208299800</v>
      </c>
      <c r="J83" t="n">
        <v>9000000</v>
      </c>
      <c r="K83" t="n">
        <v>51762000</v>
      </c>
      <c r="L83" t="n">
        <v>216761000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04/03/2026</t>
        </is>
      </c>
      <c r="P83" t="n">
        <v>1082858126</v>
      </c>
    </row>
    <row r="84">
      <c r="A84" t="n">
        <v>779</v>
      </c>
      <c r="B84" t="n">
        <v>8685</v>
      </c>
      <c r="C84" t="inlineStr">
        <is>
          <t>BELLTECH</t>
        </is>
      </c>
      <c r="D84" t="inlineStr">
        <is>
          <t>BELLTECH</t>
        </is>
      </c>
      <c r="E84" s="3" t="n">
        <v>46085</v>
      </c>
      <c r="F84" s="3" t="n">
        <v>46084</v>
      </c>
      <c r="G84" t="inlineStr">
        <is>
          <t>10:39:00</t>
        </is>
      </c>
      <c r="H84" t="n">
        <v>72923450</v>
      </c>
      <c r="I84" t="n">
        <v>62434550</v>
      </c>
      <c r="J84" t="n">
        <v>6450000</v>
      </c>
      <c r="K84" t="n">
        <v>12427000</v>
      </c>
      <c r="M84">
        <f>I84-(H84+J84-K84)- L84</f>
        <v/>
      </c>
      <c r="N84">
        <f>IF(M84=0,"Cuadrado",IF(M84&gt;0,"Faltante","Sobrante"))</f>
        <v/>
      </c>
      <c r="O84" t="inlineStr">
        <is>
          <t>La diferencia es contabilizada por la Gerencia De Autoservicios y Efectivo de manera centralizada a la cuenta de sobrantes 279510020 el 04/03/2026</t>
        </is>
      </c>
      <c r="P84" t="n">
        <v>1082858126</v>
      </c>
    </row>
    <row r="85">
      <c r="A85" t="n">
        <v>795</v>
      </c>
      <c r="B85" t="n">
        <v>1027</v>
      </c>
      <c r="C85" t="inlineStr">
        <is>
          <t>BELLTECH</t>
        </is>
      </c>
      <c r="D85" t="inlineStr">
        <is>
          <t>BELLTECH</t>
        </is>
      </c>
      <c r="E85" s="3" t="n">
        <v>46085</v>
      </c>
      <c r="F85" s="3" t="n">
        <v>46084</v>
      </c>
      <c r="G85" t="inlineStr">
        <is>
          <t>09:09:00</t>
        </is>
      </c>
      <c r="H85" t="n">
        <v>213479350</v>
      </c>
      <c r="I85" t="n">
        <v>211855750</v>
      </c>
      <c r="J85" t="n">
        <v>5580000</v>
      </c>
      <c r="K85" t="n">
        <v>6230000</v>
      </c>
      <c r="M85">
        <f>I85-(H85+J85-K85)- L85</f>
        <v/>
      </c>
      <c r="N85">
        <f>IF(M85=0,"Cuadrado",IF(M85&gt;0,"Faltante","Sobrante"))</f>
        <v/>
      </c>
      <c r="O85" t="inlineStr">
        <is>
          <t>La diferencia es contabilizada por la Gerencia De Autoservicios y Efectivo de manera centralizada a la cuenta de sobrantes 279510020 el 04/03/2026</t>
        </is>
      </c>
      <c r="P85" t="n">
        <v>91274094</v>
      </c>
    </row>
    <row r="86">
      <c r="A86" t="n">
        <v>849</v>
      </c>
      <c r="B86" t="n">
        <v>9725</v>
      </c>
      <c r="C86" t="inlineStr">
        <is>
          <t>BELLTECH</t>
        </is>
      </c>
      <c r="D86" t="inlineStr">
        <is>
          <t>BELLTECH</t>
        </is>
      </c>
      <c r="E86" s="3" t="n">
        <v>46085</v>
      </c>
      <c r="F86" s="3" t="n">
        <v>46084</v>
      </c>
      <c r="G86" t="inlineStr">
        <is>
          <t>16:33:00</t>
        </is>
      </c>
      <c r="H86" t="n">
        <v>236004250</v>
      </c>
      <c r="I86" t="n">
        <v>371192950</v>
      </c>
      <c r="J86" t="n">
        <v>52030000</v>
      </c>
      <c r="K86" t="n">
        <v>258989300</v>
      </c>
      <c r="L86" t="n">
        <v>342274000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04/03/2026</t>
        </is>
      </c>
      <c r="P86" t="n">
        <v>86063461</v>
      </c>
    </row>
    <row r="87">
      <c r="A87" t="n">
        <v>882</v>
      </c>
      <c r="B87" t="n">
        <v>5020</v>
      </c>
      <c r="C87" t="inlineStr">
        <is>
          <t>BELLTECH</t>
        </is>
      </c>
      <c r="D87" t="inlineStr">
        <is>
          <t>DIEBOLD</t>
        </is>
      </c>
      <c r="E87" s="3" t="n">
        <v>46085</v>
      </c>
      <c r="F87" s="3" t="n">
        <v>46084</v>
      </c>
      <c r="G87" t="inlineStr">
        <is>
          <t>10:59:00</t>
        </is>
      </c>
      <c r="H87" t="n">
        <v>188154500</v>
      </c>
      <c r="I87" t="n">
        <v>138132800</v>
      </c>
      <c r="J87" t="n">
        <v>23370000</v>
      </c>
      <c r="K87" t="n">
        <v>75053700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87" t="n">
        <v>33369487</v>
      </c>
    </row>
    <row r="88">
      <c r="A88" t="n">
        <v>927</v>
      </c>
      <c r="B88" t="n">
        <v>5143</v>
      </c>
      <c r="C88" t="inlineStr">
        <is>
          <t>BELLTECH</t>
        </is>
      </c>
      <c r="D88" t="inlineStr">
        <is>
          <t>BELLTECH</t>
        </is>
      </c>
      <c r="E88" s="3" t="n">
        <v>46085</v>
      </c>
      <c r="F88" s="3" t="n">
        <v>46084</v>
      </c>
      <c r="G88" t="inlineStr">
        <is>
          <t>14:44:00</t>
        </is>
      </c>
      <c r="H88" t="n">
        <v>235905950</v>
      </c>
      <c r="I88" t="n">
        <v>118917350</v>
      </c>
      <c r="J88" t="n">
        <v>53080000</v>
      </c>
      <c r="K88" t="n">
        <v>160828000</v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04/03/2026</t>
        </is>
      </c>
      <c r="P88" t="n">
        <v>1124849676</v>
      </c>
    </row>
    <row r="89">
      <c r="A89" t="n">
        <v>937</v>
      </c>
      <c r="B89" t="n">
        <v>5115</v>
      </c>
      <c r="C89" t="inlineStr">
        <is>
          <t>BELLTECH</t>
        </is>
      </c>
      <c r="D89" t="inlineStr">
        <is>
          <t>DIEBOLD</t>
        </is>
      </c>
      <c r="E89" s="3" t="n">
        <v>46085</v>
      </c>
      <c r="F89" s="3" t="n">
        <v>46084</v>
      </c>
      <c r="G89" t="inlineStr">
        <is>
          <t>08:22:00</t>
        </is>
      </c>
      <c r="H89" t="n">
        <v>108987600</v>
      </c>
      <c r="I89" t="n">
        <v>109516500</v>
      </c>
      <c r="J89" t="n">
        <v>2310000</v>
      </c>
      <c r="K89" t="n">
        <v>1750000</v>
      </c>
      <c r="M89">
        <f>I89-(H89+J89-K89)- L89</f>
        <v/>
      </c>
      <c r="N89">
        <f>IF(M89=0,"Cuadrado",IF(M89&gt;0,"Faltante","Sobrante"))</f>
        <v/>
      </c>
      <c r="O89" t="inlineStr">
        <is>
          <t>La diferencia es contabilizada por la Gerencia De Autoservicios y Efectivo de manera centralizada a la cuenta de sobrantes 279510020 el 04/03/2026</t>
        </is>
      </c>
      <c r="P89" t="n">
        <v>1061702364</v>
      </c>
    </row>
    <row r="90">
      <c r="A90" t="n">
        <v>941</v>
      </c>
      <c r="B90" t="n">
        <v>5220</v>
      </c>
      <c r="C90" t="inlineStr">
        <is>
          <t>BELLTECH</t>
        </is>
      </c>
      <c r="D90" t="inlineStr">
        <is>
          <t>BELLTECH</t>
        </is>
      </c>
      <c r="E90" s="3" t="n">
        <v>46085</v>
      </c>
      <c r="F90" s="3" t="n">
        <v>46084</v>
      </c>
      <c r="G90" t="inlineStr">
        <is>
          <t>16:44:00</t>
        </is>
      </c>
      <c r="H90" t="n">
        <v>175224750</v>
      </c>
      <c r="I90" t="n">
        <v>202854800</v>
      </c>
      <c r="J90" t="n">
        <v>15720000</v>
      </c>
      <c r="K90" t="n">
        <v>283115900</v>
      </c>
      <c r="L90" t="n">
        <v>294909000</v>
      </c>
      <c r="M90">
        <f>I90-(H90+J90-K90)- L90</f>
        <v/>
      </c>
      <c r="N90">
        <f>IF(M90=0,"Cuadrado",IF(M90&gt;0,"Faltante","Sobrante"))</f>
        <v/>
      </c>
      <c r="O90" t="inlineStr">
        <is>
          <t>REPITIERON ARQUEO</t>
        </is>
      </c>
      <c r="P90" t="n">
        <v>1075228904</v>
      </c>
    </row>
    <row r="91">
      <c r="A91" t="n">
        <v>946</v>
      </c>
      <c r="B91" t="n">
        <v>5225</v>
      </c>
      <c r="C91" t="inlineStr">
        <is>
          <t>BELLTECH</t>
        </is>
      </c>
      <c r="D91" t="inlineStr">
        <is>
          <t>BELLTECH</t>
        </is>
      </c>
      <c r="E91" s="3" t="n">
        <v>46085</v>
      </c>
      <c r="F91" s="3" t="n">
        <v>46084</v>
      </c>
      <c r="G91" t="inlineStr">
        <is>
          <t>10:48:00</t>
        </is>
      </c>
      <c r="H91" t="n">
        <v>279513950</v>
      </c>
      <c r="I91" t="n">
        <v>285863950</v>
      </c>
      <c r="J91" t="n">
        <v>10920000</v>
      </c>
      <c r="K91" t="n">
        <v>4570000</v>
      </c>
      <c r="M91">
        <f>I91-(H91+J91-K91)- L91</f>
        <v/>
      </c>
      <c r="N91">
        <f>IF(M91=0,"Cuadrado",IF(M91&gt;0,"Faltante","Sobrante"))</f>
        <v/>
      </c>
      <c r="O91" t="inlineStr">
        <is>
          <t>Cajero cuadrado, sin observación por parte de la sucursal</t>
        </is>
      </c>
      <c r="P91" t="n">
        <v>20500181</v>
      </c>
    </row>
    <row r="92">
      <c r="A92" t="n">
        <v>33</v>
      </c>
      <c r="B92" t="n">
        <v>8861</v>
      </c>
      <c r="C92" t="inlineStr">
        <is>
          <t>BELLTECH</t>
        </is>
      </c>
      <c r="D92" t="inlineStr">
        <is>
          <t>BELLTECH</t>
        </is>
      </c>
      <c r="E92" s="3" t="n">
        <v>46086</v>
      </c>
      <c r="F92" s="3" t="n">
        <v>46085</v>
      </c>
      <c r="G92" t="inlineStr">
        <is>
          <t>09:26:00</t>
        </is>
      </c>
      <c r="H92" t="n">
        <v>150096000</v>
      </c>
      <c r="I92" t="n">
        <v>165586000</v>
      </c>
      <c r="J92" t="n">
        <v>15490000</v>
      </c>
      <c r="K92" t="n">
        <v>0</v>
      </c>
      <c r="M92">
        <f>I92-(H92+J92-K92)- L92</f>
        <v/>
      </c>
      <c r="N92">
        <f>IF(M92=0,"Cuadrado",IF(M92&gt;0,"Faltante","Sobrante"))</f>
        <v/>
      </c>
      <c r="O92" t="inlineStr">
        <is>
          <t>Cajero cuadrado, sin observación por parte de la sucursal</t>
        </is>
      </c>
      <c r="P92" t="n">
        <v>79659379</v>
      </c>
    </row>
    <row r="93">
      <c r="A93" t="n">
        <v>61</v>
      </c>
      <c r="B93" t="n">
        <v>788</v>
      </c>
      <c r="C93" t="inlineStr">
        <is>
          <t>BELLTECH</t>
        </is>
      </c>
      <c r="D93" t="inlineStr">
        <is>
          <t>BELLTECH</t>
        </is>
      </c>
      <c r="E93" s="3" t="n">
        <v>46086</v>
      </c>
      <c r="F93" s="3" t="n">
        <v>46085</v>
      </c>
      <c r="G93" t="inlineStr">
        <is>
          <t>09:23:00</t>
        </is>
      </c>
      <c r="H93" t="n">
        <v>386695450</v>
      </c>
      <c r="I93" t="n">
        <v>390715450</v>
      </c>
      <c r="J93" t="n">
        <v>6560000</v>
      </c>
      <c r="K93" t="n">
        <v>700000</v>
      </c>
      <c r="M93">
        <f>I93-(H93+J93-K93)- L93</f>
        <v/>
      </c>
      <c r="N93">
        <f>IF(M93=0,"Cuadrado",IF(M93&gt;0,"Faltante","Sobrante"))</f>
        <v/>
      </c>
      <c r="O93" t="inlineStr">
        <is>
          <t>La diferencia es contabilizada por la Gerencia De Autoservicios y Efectivo de manera centralizada a la cuenta de sobrantes 279510020 el 05/03/2026</t>
        </is>
      </c>
      <c r="P93" t="n">
        <v>1144070638</v>
      </c>
    </row>
    <row r="94">
      <c r="A94" t="n">
        <v>70</v>
      </c>
      <c r="B94" t="n">
        <v>5164</v>
      </c>
      <c r="C94" t="inlineStr">
        <is>
          <t>BELLTECH</t>
        </is>
      </c>
      <c r="D94" t="inlineStr">
        <is>
          <t>BELLTECH</t>
        </is>
      </c>
      <c r="E94" s="3" t="n">
        <v>46086</v>
      </c>
      <c r="F94" s="3" t="n">
        <v>46085</v>
      </c>
      <c r="G94" t="inlineStr">
        <is>
          <t>10:19:00</t>
        </is>
      </c>
      <c r="H94" t="n">
        <v>254910900</v>
      </c>
      <c r="I94" t="n">
        <v>236263200</v>
      </c>
      <c r="J94" t="n">
        <v>7010000</v>
      </c>
      <c r="K94" t="n">
        <v>17266000</v>
      </c>
      <c r="M94">
        <f>I94-(H94+J94-K94)- L94</f>
        <v/>
      </c>
      <c r="N94">
        <f>IF(M94=0,"Cuadrado",IF(M94&gt;0,"Faltante","Sobrante"))</f>
        <v/>
      </c>
      <c r="O94" t="inlineStr">
        <is>
          <t>La diferencia es contabilizada por la Gerencia De Autoservicios y Efectivo de manera centralizada a la cuenta de sobrantes 279510020 el 05/03/2026</t>
        </is>
      </c>
      <c r="P94" t="n">
        <v>30231139</v>
      </c>
    </row>
    <row r="95">
      <c r="A95" t="n">
        <v>73</v>
      </c>
      <c r="B95" t="n">
        <v>5108</v>
      </c>
      <c r="C95" t="inlineStr">
        <is>
          <t>BELLTECH</t>
        </is>
      </c>
      <c r="D95" t="inlineStr">
        <is>
          <t>BELLTECH</t>
        </is>
      </c>
      <c r="E95" s="3" t="n">
        <v>46086</v>
      </c>
      <c r="F95" s="3" t="n">
        <v>46085</v>
      </c>
      <c r="G95" t="inlineStr">
        <is>
          <t>09:28:33</t>
        </is>
      </c>
      <c r="H95" t="n">
        <v>161090900</v>
      </c>
      <c r="I95" t="n">
        <v>161415900</v>
      </c>
      <c r="J95" t="n">
        <v>1680000</v>
      </c>
      <c r="K95" t="n">
        <v>1324950</v>
      </c>
      <c r="L95" t="n">
        <v>-30000</v>
      </c>
      <c r="M95">
        <f>I95-(H95+J95-K95)- L95</f>
        <v/>
      </c>
      <c r="N95">
        <f>IF(M95=0,"Cuadrado",IF(M95&gt;0,"Faltante","Sobrante"))</f>
        <v/>
      </c>
      <c r="O95" t="inlineStr">
        <is>
          <t>La diferencia es contabilizada por la Gerencia De Autoservicios y Efectivo de manera centralizada a la cuenta de sobrantes 279510020 el 05/03/2026</t>
        </is>
      </c>
      <c r="P95" t="n">
        <v>42157515</v>
      </c>
    </row>
    <row r="96">
      <c r="A96" t="n">
        <v>74</v>
      </c>
      <c r="B96" t="n">
        <v>6215</v>
      </c>
      <c r="C96" t="inlineStr">
        <is>
          <t>DIEBOLD</t>
        </is>
      </c>
      <c r="D96" t="inlineStr">
        <is>
          <t>BELLTECH</t>
        </is>
      </c>
      <c r="E96" s="3" t="n">
        <v>46086</v>
      </c>
      <c r="F96" s="3" t="n">
        <v>46085</v>
      </c>
      <c r="G96" t="inlineStr">
        <is>
          <t>16:57:00</t>
        </is>
      </c>
      <c r="H96" t="n">
        <v>268116700</v>
      </c>
      <c r="I96" t="n">
        <v>128726700</v>
      </c>
      <c r="J96" t="n">
        <v>11480000</v>
      </c>
      <c r="K96" t="n">
        <v>145198000</v>
      </c>
      <c r="L96" t="n">
        <v>-1938000</v>
      </c>
      <c r="M96">
        <f>I96-(H96+J96-K96)- L96</f>
        <v/>
      </c>
      <c r="N96">
        <f>IF(M96=0,"Cuadrado",IF(M96&gt;0,"Faltante","Sobrante"))</f>
        <v/>
      </c>
      <c r="O96" t="inlineStr">
        <is>
          <t>La diferencia es contabilizada por la Gerencia De Autoservicios y Efectivo de manera centralizada a la cuenta de sobrantes 279510020 el 05/03/2026</t>
        </is>
      </c>
      <c r="P96" t="n">
        <v>59314706</v>
      </c>
    </row>
    <row r="97">
      <c r="A97" t="n">
        <v>85</v>
      </c>
      <c r="B97" t="n">
        <v>8974</v>
      </c>
      <c r="C97" t="inlineStr">
        <is>
          <t>BELLTECH</t>
        </is>
      </c>
      <c r="D97" t="inlineStr">
        <is>
          <t>BELLTECH</t>
        </is>
      </c>
      <c r="E97" s="3" t="n">
        <v>46086</v>
      </c>
      <c r="F97" s="3" t="n">
        <v>46085</v>
      </c>
      <c r="G97" t="inlineStr">
        <is>
          <t>14:59:00</t>
        </is>
      </c>
      <c r="H97" t="n">
        <v>197096700</v>
      </c>
      <c r="I97" t="n">
        <v>81733000</v>
      </c>
      <c r="J97" t="n">
        <v>14640000</v>
      </c>
      <c r="K97" t="n">
        <v>130025800</v>
      </c>
      <c r="M97">
        <f>I97-(H97+J97-K97)- L97</f>
        <v/>
      </c>
      <c r="N97">
        <f>IF(M97=0,"Cuadrado",IF(M97&gt;0,"Faltante","Sobrante"))</f>
        <v/>
      </c>
      <c r="O97" t="inlineStr">
        <is>
          <t>REPITIERON ARQUEO</t>
        </is>
      </c>
      <c r="P97" t="n">
        <v>1047413788</v>
      </c>
    </row>
    <row r="98">
      <c r="A98" t="n">
        <v>91</v>
      </c>
      <c r="B98" t="n">
        <v>5148</v>
      </c>
      <c r="C98" t="inlineStr">
        <is>
          <t>BELLTECH</t>
        </is>
      </c>
      <c r="D98" t="inlineStr">
        <is>
          <t>BELLTECH</t>
        </is>
      </c>
      <c r="E98" s="3" t="n">
        <v>46086</v>
      </c>
      <c r="F98" s="3" t="n">
        <v>46085</v>
      </c>
      <c r="G98" t="inlineStr">
        <is>
          <t>11:34:00</t>
        </is>
      </c>
      <c r="H98" t="n">
        <v>254880550</v>
      </c>
      <c r="I98" t="n">
        <v>221930400</v>
      </c>
      <c r="J98" t="n">
        <v>4180000</v>
      </c>
      <c r="K98" t="n">
        <v>26257000</v>
      </c>
      <c r="M98">
        <f>I98-(H98+J98-K98)- L98</f>
        <v/>
      </c>
      <c r="N98">
        <f>IF(M98=0,"Cuadrado",IF(M98&gt;0,"Faltante","Sobrante"))</f>
        <v/>
      </c>
      <c r="O98" t="inlineStr">
        <is>
          <t>REPITIERON ARQUEO</t>
        </is>
      </c>
      <c r="P98" t="n">
        <v>1067844638</v>
      </c>
    </row>
    <row r="99">
      <c r="A99" t="n">
        <v>108</v>
      </c>
      <c r="B99" t="n">
        <v>2254</v>
      </c>
      <c r="C99" t="inlineStr">
        <is>
          <t>DIEBOLD</t>
        </is>
      </c>
      <c r="D99" t="inlineStr">
        <is>
          <t>BELLTECH</t>
        </is>
      </c>
      <c r="E99" s="3" t="n">
        <v>46086</v>
      </c>
      <c r="F99" s="3" t="n">
        <v>46085</v>
      </c>
      <c r="G99" t="inlineStr">
        <is>
          <t>09:14:30</t>
        </is>
      </c>
      <c r="H99" t="n">
        <v>179018600</v>
      </c>
      <c r="I99" t="n">
        <v>176742800</v>
      </c>
      <c r="J99" t="n">
        <v>1530000</v>
      </c>
      <c r="K99" t="n">
        <v>2120000</v>
      </c>
      <c r="M99">
        <f>I99-(H99+J99-K99)- L99</f>
        <v/>
      </c>
      <c r="N99">
        <f>IF(M99=0,"Cuadrado",IF(M99&gt;0,"Faltante","Sobrante"))</f>
        <v/>
      </c>
      <c r="O99" t="inlineStr">
        <is>
          <t>La diferencia es contabilizada por la Gerencia De Autoservicios y Efectivo de manera centralizada a la cuenta de sobrantes 279510020 el 05/03/2026</t>
        </is>
      </c>
      <c r="P99" t="n">
        <v>80206469</v>
      </c>
    </row>
    <row r="100">
      <c r="A100" t="n">
        <v>167</v>
      </c>
      <c r="B100" t="n">
        <v>5030</v>
      </c>
      <c r="C100" t="inlineStr">
        <is>
          <t>BELLTECH</t>
        </is>
      </c>
      <c r="D100" t="inlineStr">
        <is>
          <t>BELLTECH</t>
        </is>
      </c>
      <c r="E100" s="3" t="n">
        <v>46086</v>
      </c>
      <c r="F100" s="3" t="n">
        <v>46085</v>
      </c>
      <c r="G100" t="inlineStr">
        <is>
          <t>08:05:00</t>
        </is>
      </c>
      <c r="H100" t="n">
        <v>355239350</v>
      </c>
      <c r="I100" t="n">
        <v>354189150</v>
      </c>
      <c r="J100" t="n">
        <v>110000</v>
      </c>
      <c r="K100" t="n">
        <v>525000</v>
      </c>
      <c r="M100">
        <f>I100-(H100+J100-K100)- L100</f>
        <v/>
      </c>
      <c r="N100">
        <f>IF(M100=0,"Cuadrado",IF(M100&gt;0,"Faltante","Sobrante"))</f>
        <v/>
      </c>
      <c r="O100" t="inlineStr">
        <is>
          <t>La diferencia es contabilizada por la Gerencia De Autoservicios y Efectivo de manera centralizada a la cuenta de sobrantes 279510020 el 05/03/2026</t>
        </is>
      </c>
      <c r="P100" t="n">
        <v>80076538</v>
      </c>
    </row>
    <row r="101">
      <c r="A101" t="n">
        <v>197</v>
      </c>
      <c r="B101" t="n">
        <v>5084</v>
      </c>
      <c r="C101" t="inlineStr">
        <is>
          <t>BELLTECH</t>
        </is>
      </c>
      <c r="D101" t="inlineStr">
        <is>
          <t>BELLTECH</t>
        </is>
      </c>
      <c r="E101" s="3" t="n">
        <v>46086</v>
      </c>
      <c r="F101" s="3" t="n">
        <v>46084</v>
      </c>
      <c r="G101" t="inlineStr">
        <is>
          <t>08:13:00</t>
        </is>
      </c>
      <c r="H101" t="n">
        <v>547184600</v>
      </c>
      <c r="I101" t="n">
        <v>547479600</v>
      </c>
      <c r="J101" t="n">
        <v>0</v>
      </c>
      <c r="K101" t="n">
        <v>0</v>
      </c>
      <c r="M101">
        <f>I101-(H101+J101-K101)- L101</f>
        <v/>
      </c>
      <c r="N101">
        <f>IF(M101=0,"Cuadrado",IF(M101&gt;0,"Faltante","Sobrante"))</f>
        <v/>
      </c>
      <c r="O101" t="inlineStr">
        <is>
          <t>REPITIERON ARQUEO</t>
        </is>
      </c>
      <c r="P101" t="n">
        <v>1065607404</v>
      </c>
    </row>
    <row r="102">
      <c r="A102" t="n">
        <v>261</v>
      </c>
      <c r="B102" t="n">
        <v>5048</v>
      </c>
      <c r="C102" t="inlineStr">
        <is>
          <t>BELLTECH</t>
        </is>
      </c>
      <c r="D102" t="inlineStr">
        <is>
          <t>BELLTECH</t>
        </is>
      </c>
      <c r="E102" s="3" t="n">
        <v>46086</v>
      </c>
      <c r="F102" s="3" t="n">
        <v>46085</v>
      </c>
      <c r="G102" t="inlineStr">
        <is>
          <t>15:52:00</t>
        </is>
      </c>
      <c r="H102" t="n">
        <v>424951150</v>
      </c>
      <c r="I102" t="n">
        <v>193329350</v>
      </c>
      <c r="J102" t="n">
        <v>15540000</v>
      </c>
      <c r="K102" t="n">
        <v>233166250</v>
      </c>
      <c r="M102">
        <f>I102-(H102+J102-K102)- L102</f>
        <v/>
      </c>
      <c r="N102">
        <f>IF(M102=0,"Cuadrado",IF(M102&gt;0,"Faltante","Sobrante"))</f>
        <v/>
      </c>
      <c r="O102" t="inlineStr">
        <is>
          <t>La diferencia es contabilizada por la Gerencia De Autoservicios y Efectivo de manera centralizada a la cuenta de sobrantes 279510020 el 05/03/2026</t>
        </is>
      </c>
      <c r="P102" t="n">
        <v>34327627</v>
      </c>
    </row>
    <row r="103">
      <c r="A103" t="n">
        <v>279</v>
      </c>
      <c r="B103" t="n">
        <v>5147</v>
      </c>
      <c r="C103" t="inlineStr">
        <is>
          <t>BELLTECH</t>
        </is>
      </c>
      <c r="D103" t="inlineStr">
        <is>
          <t>BELLTECH</t>
        </is>
      </c>
      <c r="E103" s="3" t="n">
        <v>46086</v>
      </c>
      <c r="F103" s="3" t="n">
        <v>46084</v>
      </c>
      <c r="G103" t="inlineStr">
        <is>
          <t>17:18:00</t>
        </is>
      </c>
      <c r="H103" t="n">
        <v>144642850</v>
      </c>
      <c r="I103" t="n">
        <v>108730700</v>
      </c>
      <c r="J103" t="n">
        <v>32610000</v>
      </c>
      <c r="K103" t="n">
        <v>68305150</v>
      </c>
      <c r="M103">
        <f>I103-(H103+J103-K103)- L103</f>
        <v/>
      </c>
      <c r="N103">
        <f>IF(M103=0,"Cuadrado",IF(M103&gt;0,"Faltante","Sobrante"))</f>
        <v/>
      </c>
      <c r="O103" t="inlineStr">
        <is>
          <t>La diferencia es contabilizada por la Gerencia De Autoservicios y Efectivo de manera centralizada a la cuenta de sobrantes 279510020 el 05/03/2026</t>
        </is>
      </c>
      <c r="P103" t="n">
        <v>42826913</v>
      </c>
    </row>
    <row r="104">
      <c r="A104" t="n">
        <v>291</v>
      </c>
      <c r="B104" t="n">
        <v>5114</v>
      </c>
      <c r="C104" t="inlineStr">
        <is>
          <t>BELLTECH</t>
        </is>
      </c>
      <c r="D104" t="inlineStr">
        <is>
          <t>BELLTECH</t>
        </is>
      </c>
      <c r="E104" s="3" t="n">
        <v>46086</v>
      </c>
      <c r="F104" s="3" t="n">
        <v>46085</v>
      </c>
      <c r="G104" t="inlineStr">
        <is>
          <t>09:15:00</t>
        </is>
      </c>
      <c r="H104" t="n">
        <v>269360100</v>
      </c>
      <c r="I104" t="n">
        <v>267510800</v>
      </c>
      <c r="J104" t="n">
        <v>3700000</v>
      </c>
      <c r="K104" t="n">
        <v>3989300</v>
      </c>
      <c r="M104">
        <f>I104-(H104+J104-K104)- L104</f>
        <v/>
      </c>
      <c r="N104">
        <f>IF(M104=0,"Cuadrado",IF(M104&gt;0,"Faltante","Sobrante"))</f>
        <v/>
      </c>
      <c r="O104" t="inlineStr">
        <is>
          <t>La diferencia es contabilizada por la Gerencia De Autoservicios y Efectivo de manera centralizada a la cuenta de sobrantes 279510020 el 05/03/2026</t>
        </is>
      </c>
      <c r="P104" t="n">
        <v>1095930956</v>
      </c>
    </row>
    <row r="105">
      <c r="A105" t="n">
        <v>322</v>
      </c>
      <c r="B105" t="n">
        <v>2444</v>
      </c>
      <c r="C105" t="inlineStr">
        <is>
          <t>BELLTECH</t>
        </is>
      </c>
      <c r="D105" t="inlineStr">
        <is>
          <t>BELLTECH</t>
        </is>
      </c>
      <c r="E105" s="3" t="n">
        <v>46086</v>
      </c>
      <c r="F105" s="3" t="n">
        <v>46085</v>
      </c>
      <c r="G105" t="inlineStr">
        <is>
          <t>09:05:00</t>
        </is>
      </c>
      <c r="H105" t="n">
        <v>83943900</v>
      </c>
      <c r="I105" t="n">
        <v>96291900</v>
      </c>
      <c r="J105" t="n">
        <v>10900000</v>
      </c>
      <c r="K105" t="n">
        <v>15552000</v>
      </c>
      <c r="M105">
        <f>I105-(H105+J105-K105)- L105</f>
        <v/>
      </c>
      <c r="N105">
        <f>IF(M105=0,"Cuadrado",IF(M105&gt;0,"Faltante","Sobrante"))</f>
        <v/>
      </c>
      <c r="O105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5" t="n">
        <v>1101320155</v>
      </c>
    </row>
    <row r="106">
      <c r="A106" t="n">
        <v>332</v>
      </c>
      <c r="B106" t="n">
        <v>7569</v>
      </c>
      <c r="C106" t="inlineStr">
        <is>
          <t>BELLTECH</t>
        </is>
      </c>
      <c r="D106" t="inlineStr">
        <is>
          <t>DIEBOLD</t>
        </is>
      </c>
      <c r="E106" s="3" t="n">
        <v>46086</v>
      </c>
      <c r="F106" s="3" t="n">
        <v>46085</v>
      </c>
      <c r="G106" t="inlineStr">
        <is>
          <t>14:37:00</t>
        </is>
      </c>
      <c r="H106" t="n">
        <v>132013300</v>
      </c>
      <c r="I106" t="n">
        <v>189455350</v>
      </c>
      <c r="J106" t="n">
        <v>26080000</v>
      </c>
      <c r="K106" t="n">
        <v>66447950</v>
      </c>
      <c r="M106">
        <f>I106-(H106+J106-K106)- L106</f>
        <v/>
      </c>
      <c r="N106">
        <f>IF(M106=0,"Cuadrado",IF(M106&gt;0,"Faltante","Sobrante"))</f>
        <v/>
      </c>
      <c r="O106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6" t="n">
        <v>80541675</v>
      </c>
    </row>
    <row r="107">
      <c r="A107" t="n">
        <v>395</v>
      </c>
      <c r="B107" t="n">
        <v>1528</v>
      </c>
      <c r="C107" t="inlineStr">
        <is>
          <t>BELLTECH</t>
        </is>
      </c>
      <c r="D107" t="inlineStr">
        <is>
          <t>BELLTECH</t>
        </is>
      </c>
      <c r="E107" s="3" t="n">
        <v>46086</v>
      </c>
      <c r="F107" s="3" t="n">
        <v>46085</v>
      </c>
      <c r="G107" t="inlineStr">
        <is>
          <t>09:47:00</t>
        </is>
      </c>
      <c r="H107" t="n">
        <v>337842050</v>
      </c>
      <c r="I107" t="n">
        <v>292232750</v>
      </c>
      <c r="J107" t="n">
        <v>2390000</v>
      </c>
      <c r="K107" t="n">
        <v>20940000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REPITIERON ARQUEO</t>
        </is>
      </c>
      <c r="P107" t="n">
        <v>1121857901</v>
      </c>
    </row>
    <row r="108">
      <c r="A108" t="n">
        <v>395</v>
      </c>
      <c r="B108" t="n">
        <v>1529</v>
      </c>
      <c r="C108" t="inlineStr">
        <is>
          <t>BELLTECH</t>
        </is>
      </c>
      <c r="D108" t="inlineStr">
        <is>
          <t>BELLTECH</t>
        </is>
      </c>
      <c r="E108" s="3" t="n">
        <v>46086</v>
      </c>
      <c r="F108" s="3" t="n">
        <v>46085</v>
      </c>
      <c r="G108" t="inlineStr">
        <is>
          <t>10:22:00</t>
        </is>
      </c>
      <c r="H108" t="n">
        <v>238215450</v>
      </c>
      <c r="I108" t="n">
        <v>231770450</v>
      </c>
      <c r="J108" t="n">
        <v>11880000</v>
      </c>
      <c r="K108" t="n">
        <v>21925000</v>
      </c>
      <c r="L108" t="n">
        <v>3600000</v>
      </c>
      <c r="M108">
        <f>I108-(H108+J108-K108)- L108</f>
        <v/>
      </c>
      <c r="N108">
        <f>IF(M108=0,"Cuadrado",IF(M108&gt;0,"Faltante","Sobrante"))</f>
        <v/>
      </c>
      <c r="O108" t="inlineStr">
        <is>
          <t>El faltante  de $3.600.000 es cruzado con sobrante contabilizado el día 03/03/2026 el cual es reversado por la seccion el día 05/03/2026</t>
        </is>
      </c>
      <c r="P108" t="n">
        <v>1121857901</v>
      </c>
    </row>
    <row r="109">
      <c r="A109" t="n">
        <v>451</v>
      </c>
      <c r="B109" t="n">
        <v>9434</v>
      </c>
      <c r="C109" t="inlineStr">
        <is>
          <t>BELLTECH</t>
        </is>
      </c>
      <c r="D109" t="inlineStr">
        <is>
          <t>BELLTECH</t>
        </is>
      </c>
      <c r="E109" s="3" t="n">
        <v>46086</v>
      </c>
      <c r="F109" s="3" t="n">
        <v>46084</v>
      </c>
      <c r="G109" t="inlineStr">
        <is>
          <t>16:36:00</t>
        </is>
      </c>
      <c r="H109" t="n">
        <v>140519800</v>
      </c>
      <c r="I109" t="n">
        <v>-274620200</v>
      </c>
      <c r="J109" t="n">
        <v>67360000</v>
      </c>
      <c r="K109" t="n">
        <v>27500000</v>
      </c>
      <c r="L109" t="n">
        <v>-142757000</v>
      </c>
      <c r="M109">
        <f>I109-(H109+J109-K109)- L109</f>
        <v/>
      </c>
      <c r="N109">
        <f>IF(M109=0,"Cuadrado",IF(M109&gt;0,"Faltante","Sobrante"))</f>
        <v/>
      </c>
      <c r="O109" t="inlineStr">
        <is>
          <t>REPITIERON ARQUEO</t>
        </is>
      </c>
      <c r="P109" t="n">
        <v>1123206969</v>
      </c>
    </row>
    <row r="110">
      <c r="A110" t="n">
        <v>453</v>
      </c>
      <c r="B110" t="n">
        <v>8019</v>
      </c>
      <c r="C110" t="inlineStr">
        <is>
          <t>BELLTECH</t>
        </is>
      </c>
      <c r="D110" t="inlineStr">
        <is>
          <t>BELLTECH</t>
        </is>
      </c>
      <c r="E110" s="3" t="n">
        <v>46086</v>
      </c>
      <c r="F110" s="3" t="n">
        <v>46085</v>
      </c>
      <c r="G110" t="inlineStr">
        <is>
          <t>08:08:00</t>
        </is>
      </c>
      <c r="H110" t="n">
        <v>335517100</v>
      </c>
      <c r="I110" t="n">
        <v>327457100</v>
      </c>
      <c r="J110" t="n">
        <v>0</v>
      </c>
      <c r="K110" t="n">
        <v>0</v>
      </c>
      <c r="L110" t="n">
        <v>-2610000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La diferencia es contabilizada por la Gerencia De Autoservicios y Efectivo de manera centralizada a la cuenta de sobrantes 279510020 el 05/03/2026</t>
        </is>
      </c>
      <c r="P110" t="n">
        <v>1083897578</v>
      </c>
    </row>
    <row r="111">
      <c r="A111" t="n">
        <v>499</v>
      </c>
      <c r="B111" t="n">
        <v>9811</v>
      </c>
      <c r="C111" t="inlineStr">
        <is>
          <t>BELLTECH</t>
        </is>
      </c>
      <c r="D111" t="inlineStr">
        <is>
          <t>BELLTECH</t>
        </is>
      </c>
      <c r="E111" s="3" t="n">
        <v>46086</v>
      </c>
      <c r="F111" s="3" t="n">
        <v>46084</v>
      </c>
      <c r="G111" t="inlineStr">
        <is>
          <t>16:02:00</t>
        </is>
      </c>
      <c r="H111" t="n">
        <v>145895100</v>
      </c>
      <c r="I111" t="n">
        <v>552062600</v>
      </c>
      <c r="J111" t="n">
        <v>24230000</v>
      </c>
      <c r="K111" t="n">
        <v>146733500</v>
      </c>
      <c r="L111" t="n">
        <v>221143000</v>
      </c>
      <c r="M111">
        <f>I111-(H111+J111-K111)- L111</f>
        <v/>
      </c>
      <c r="N111">
        <f>IF(M111=0,"Cuadrado",IF(M111&gt;0,"Faltante","Sobrante"))</f>
        <v/>
      </c>
      <c r="O111" t="inlineStr">
        <is>
          <t>ACLARAR DIFERENCIA Y REPETIR EL ARQUEO ( SE ESCRIBE A LA SUC - SE ENCONTRO REMANENTE GRABADO EN LA CUENTA DE CAJA)</t>
        </is>
      </c>
      <c r="P111" t="n">
        <v>71337474</v>
      </c>
    </row>
    <row r="112">
      <c r="A112" t="n">
        <v>516</v>
      </c>
      <c r="B112" t="n">
        <v>9729</v>
      </c>
      <c r="C112" t="inlineStr">
        <is>
          <t>BELLTECH</t>
        </is>
      </c>
      <c r="D112" t="inlineStr">
        <is>
          <t>BELLTECH</t>
        </is>
      </c>
      <c r="E112" s="3" t="n">
        <v>46086</v>
      </c>
      <c r="F112" s="3" t="n">
        <v>46085</v>
      </c>
      <c r="G112" t="inlineStr">
        <is>
          <t>10:28:00</t>
        </is>
      </c>
      <c r="H112" t="n">
        <v>178070650</v>
      </c>
      <c r="I112" t="n">
        <v>168006650</v>
      </c>
      <c r="J112" t="n">
        <v>7300000</v>
      </c>
      <c r="K112" t="n">
        <v>12364000</v>
      </c>
      <c r="M112">
        <f>I112-(H112+J112-K112)- L112</f>
        <v/>
      </c>
      <c r="N112">
        <f>IF(M112=0,"Cuadrado",IF(M112&gt;0,"Faltante","Sobrante"))</f>
        <v/>
      </c>
      <c r="O112" t="inlineStr">
        <is>
          <t>La diferencia es contabilizada por la Gerencia De Autoservicios y Efectivo de manera centralizada a la cuenta de sobrantes 279510020 el 05/03/2026</t>
        </is>
      </c>
      <c r="P112" t="n">
        <v>57292451</v>
      </c>
    </row>
    <row r="113">
      <c r="A113" t="n">
        <v>523</v>
      </c>
      <c r="B113" t="n">
        <v>5082</v>
      </c>
      <c r="C113" t="inlineStr">
        <is>
          <t>BELLTECH</t>
        </is>
      </c>
      <c r="D113" t="inlineStr">
        <is>
          <t>BELLTECH</t>
        </is>
      </c>
      <c r="E113" s="3" t="n">
        <v>46086</v>
      </c>
      <c r="F113" s="3" t="n">
        <v>46085</v>
      </c>
      <c r="G113" t="inlineStr">
        <is>
          <t>00:00:00</t>
        </is>
      </c>
      <c r="H113" t="n">
        <v>45435650</v>
      </c>
      <c r="I113" t="n">
        <v>426664400</v>
      </c>
      <c r="J113" t="n">
        <v>0</v>
      </c>
      <c r="K113" t="n">
        <v>0</v>
      </c>
      <c r="M113">
        <f>I113-(H113+J113-K113)- L113</f>
        <v/>
      </c>
      <c r="N113">
        <f>IF(M113=0,"Cuadrado",IF(M113&gt;0,"Faltante","Sobrante"))</f>
        <v/>
      </c>
      <c r="O113" t="inlineStr">
        <is>
          <t>REPITIERON ARQUEO</t>
        </is>
      </c>
      <c r="P113" t="n">
        <v>39491642</v>
      </c>
    </row>
    <row r="114">
      <c r="A114" t="n">
        <v>536</v>
      </c>
      <c r="B114" t="n">
        <v>8988</v>
      </c>
      <c r="C114" t="inlineStr">
        <is>
          <t>DIEBOLD</t>
        </is>
      </c>
      <c r="D114" t="inlineStr">
        <is>
          <t>BELLTECH</t>
        </is>
      </c>
      <c r="E114" s="3" t="n">
        <v>46086</v>
      </c>
      <c r="F114" s="3" t="n">
        <v>46085</v>
      </c>
      <c r="G114" t="inlineStr">
        <is>
          <t>17:31:00</t>
        </is>
      </c>
      <c r="H114" t="n">
        <v>101561150</v>
      </c>
      <c r="I114" t="n">
        <v>308446400</v>
      </c>
      <c r="J114" t="n">
        <v>65600000</v>
      </c>
      <c r="K114" t="n">
        <v>144462150</v>
      </c>
      <c r="L114" t="n">
        <v>295000000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05/03/2026</t>
        </is>
      </c>
      <c r="P114" t="n">
        <v>35891536</v>
      </c>
    </row>
    <row r="115">
      <c r="A115" t="n">
        <v>609</v>
      </c>
      <c r="B115" t="n">
        <v>7875</v>
      </c>
      <c r="C115" t="inlineStr">
        <is>
          <t>BELLTECH</t>
        </is>
      </c>
      <c r="D115" t="inlineStr">
        <is>
          <t>BELLTECH</t>
        </is>
      </c>
      <c r="E115" s="3" t="n">
        <v>46086</v>
      </c>
      <c r="F115" s="3" t="n">
        <v>46085</v>
      </c>
      <c r="G115" t="inlineStr">
        <is>
          <t>09:32:00</t>
        </is>
      </c>
      <c r="H115" t="n">
        <v>191573750</v>
      </c>
      <c r="I115" t="n">
        <v>79680750</v>
      </c>
      <c r="J115" t="n">
        <v>23450000</v>
      </c>
      <c r="K115" t="n">
        <v>14450000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05/03/2026</t>
        </is>
      </c>
      <c r="P115" t="n">
        <v>98695047</v>
      </c>
    </row>
    <row r="116">
      <c r="A116" t="n">
        <v>609</v>
      </c>
      <c r="B116" t="n">
        <v>7888</v>
      </c>
      <c r="C116" t="inlineStr">
        <is>
          <t>BELLTECH</t>
        </is>
      </c>
      <c r="D116" t="inlineStr">
        <is>
          <t>BELLTECH</t>
        </is>
      </c>
      <c r="E116" s="3" t="n">
        <v>46086</v>
      </c>
      <c r="F116" s="3" t="n">
        <v>46085</v>
      </c>
      <c r="G116" t="inlineStr">
        <is>
          <t>08:53:00</t>
        </is>
      </c>
      <c r="H116" t="n">
        <v>139026500</v>
      </c>
      <c r="I116" t="n">
        <v>157952150</v>
      </c>
      <c r="J116" t="n">
        <v>49090000</v>
      </c>
      <c r="K116" t="n">
        <v>14070000</v>
      </c>
      <c r="M116">
        <f>I116-(H116+J116-K116)- L116</f>
        <v/>
      </c>
      <c r="N116">
        <f>IF(M116=0,"Cuadrado",IF(M116&gt;0,"Faltante","Sobrante"))</f>
        <v/>
      </c>
      <c r="O116" t="inlineStr">
        <is>
          <t>REPITIERON ARQUEO</t>
        </is>
      </c>
      <c r="P116" t="n">
        <v>98695047</v>
      </c>
    </row>
    <row r="117">
      <c r="A117" t="n">
        <v>623</v>
      </c>
      <c r="B117" t="n">
        <v>7375</v>
      </c>
      <c r="C117" t="inlineStr">
        <is>
          <t>BELLTECH</t>
        </is>
      </c>
      <c r="D117" t="inlineStr">
        <is>
          <t>BELLTECH</t>
        </is>
      </c>
      <c r="E117" s="3" t="n">
        <v>46086</v>
      </c>
      <c r="F117" s="3" t="n">
        <v>46085</v>
      </c>
      <c r="G117" t="inlineStr">
        <is>
          <t>15:02:00</t>
        </is>
      </c>
      <c r="H117" t="n">
        <v>266162450</v>
      </c>
      <c r="I117" t="n">
        <v>219601050</v>
      </c>
      <c r="J117" t="n">
        <v>22340000</v>
      </c>
      <c r="K117" t="n">
        <v>68885800</v>
      </c>
      <c r="L117" t="n">
        <v>0</v>
      </c>
      <c r="M117">
        <f>I117-(H117+J117-K117)- L117</f>
        <v/>
      </c>
      <c r="N117">
        <f>IF(M117=0,"Cuadrado",IF(M117&gt;0,"Faltante","Sobrante"))</f>
        <v/>
      </c>
      <c r="O117" t="inlineStr">
        <is>
          <t>La diferencia es contabilizada por la Gerencia De Autoservicios y Efectivo de manera centralizada a la cuenta de sobrantes 279510020 el 05/03/2026</t>
        </is>
      </c>
      <c r="P117" t="n">
        <v>1060651791</v>
      </c>
    </row>
    <row r="118">
      <c r="A118" t="n">
        <v>667</v>
      </c>
      <c r="B118" t="n">
        <v>5167</v>
      </c>
      <c r="C118" t="inlineStr">
        <is>
          <t>BELLTECH</t>
        </is>
      </c>
      <c r="D118" t="inlineStr">
        <is>
          <t>BELLTECH</t>
        </is>
      </c>
      <c r="E118" s="3" t="n">
        <v>46086</v>
      </c>
      <c r="F118" s="3" t="n">
        <v>46085</v>
      </c>
      <c r="G118" t="inlineStr">
        <is>
          <t>09:15:00</t>
        </is>
      </c>
      <c r="H118" t="n">
        <v>314483250</v>
      </c>
      <c r="I118" t="n">
        <v>325793150</v>
      </c>
      <c r="J118" t="n">
        <v>11220000</v>
      </c>
      <c r="K118" t="n">
        <v>0</v>
      </c>
      <c r="L118" t="n">
        <v>89900</v>
      </c>
      <c r="M118">
        <f>I118-(H118+J118-K118)- L118</f>
        <v/>
      </c>
      <c r="N118">
        <f>IF(M118=0,"Cuadrado",IF(M118&gt;0,"Faltante","Sobrante"))</f>
        <v/>
      </c>
      <c r="O118" t="inlineStr">
        <is>
          <t>El faltante  de $89.900 es cruzado con sobrante contabilizado el día 03/03/2026 el cual es reversado por la seccion el día 05/03/2026</t>
        </is>
      </c>
      <c r="P118" t="n">
        <v>79953058</v>
      </c>
    </row>
    <row r="119">
      <c r="A119" t="n">
        <v>698</v>
      </c>
      <c r="B119" t="n">
        <v>5187</v>
      </c>
      <c r="C119" t="inlineStr">
        <is>
          <t>BELLTECH</t>
        </is>
      </c>
      <c r="D119" t="inlineStr">
        <is>
          <t>BELLTECH</t>
        </is>
      </c>
      <c r="E119" s="3" t="n">
        <v>46086</v>
      </c>
      <c r="F119" s="3" t="n">
        <v>46085</v>
      </c>
      <c r="G119" t="inlineStr">
        <is>
          <t>08:50:00</t>
        </is>
      </c>
      <c r="H119" t="n">
        <v>236650300</v>
      </c>
      <c r="I119" t="n">
        <v>236650300</v>
      </c>
      <c r="J119" t="n">
        <v>0</v>
      </c>
      <c r="K119" t="n">
        <v>0</v>
      </c>
      <c r="M119">
        <f>I119-(H119+J119-K119)- L119</f>
        <v/>
      </c>
      <c r="N119">
        <f>IF(M119=0,"Cuadrado",IF(M119&gt;0,"Faltante","Sobrante"))</f>
        <v/>
      </c>
      <c r="O119" t="inlineStr">
        <is>
          <t>Cajero cuadrado, sin observación por parte de la sucursal</t>
        </is>
      </c>
      <c r="P119" t="n">
        <v>80177355</v>
      </c>
    </row>
    <row r="120">
      <c r="A120" t="n">
        <v>750</v>
      </c>
      <c r="B120" t="n">
        <v>5157</v>
      </c>
      <c r="C120" t="inlineStr">
        <is>
          <t>BELLTECH</t>
        </is>
      </c>
      <c r="D120" t="inlineStr">
        <is>
          <t>BELLTECH</t>
        </is>
      </c>
      <c r="E120" s="3" t="n">
        <v>46086</v>
      </c>
      <c r="F120" s="3" t="n">
        <v>46085</v>
      </c>
      <c r="G120" t="inlineStr">
        <is>
          <t>08:27:17</t>
        </is>
      </c>
      <c r="H120" t="n">
        <v>302661050</v>
      </c>
      <c r="I120" t="n">
        <v>294514350</v>
      </c>
      <c r="J120" t="n">
        <v>5670000</v>
      </c>
      <c r="K120" t="n">
        <v>18017700</v>
      </c>
      <c r="L120" t="n">
        <v>1041000</v>
      </c>
      <c r="M120">
        <f>I120-(H120+J120-K120)- L120</f>
        <v/>
      </c>
      <c r="N120">
        <f>IF(M120=0,"Cuadrado",IF(M120&gt;0,"Faltante","Sobrante"))</f>
        <v/>
      </c>
      <c r="O120" t="inlineStr">
        <is>
          <t>REPITIERON ARQUEO</t>
        </is>
      </c>
      <c r="P120" t="n">
        <v>31529631</v>
      </c>
    </row>
    <row r="121">
      <c r="A121" t="n">
        <v>762</v>
      </c>
      <c r="B121" t="n">
        <v>5181</v>
      </c>
      <c r="C121" t="inlineStr">
        <is>
          <t>BELLTECH</t>
        </is>
      </c>
      <c r="D121" t="inlineStr">
        <is>
          <t>BELLTECH</t>
        </is>
      </c>
      <c r="E121" s="3" t="n">
        <v>46086</v>
      </c>
      <c r="F121" s="3" t="n">
        <v>46085</v>
      </c>
      <c r="G121" t="inlineStr">
        <is>
          <t>09:26:40</t>
        </is>
      </c>
      <c r="H121" t="n">
        <v>164054250</v>
      </c>
      <c r="I121" t="n">
        <v>161524250</v>
      </c>
      <c r="J121" t="n">
        <v>0</v>
      </c>
      <c r="K121" t="n">
        <v>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05/03/2026</t>
        </is>
      </c>
      <c r="P121" t="n">
        <v>94364510</v>
      </c>
    </row>
    <row r="122">
      <c r="A122" t="n">
        <v>781</v>
      </c>
      <c r="B122" t="n">
        <v>5057</v>
      </c>
      <c r="C122" t="inlineStr">
        <is>
          <t>BELLTECH</t>
        </is>
      </c>
      <c r="D122" t="inlineStr">
        <is>
          <t>BELLTECH</t>
        </is>
      </c>
      <c r="E122" s="3" t="n">
        <v>46086</v>
      </c>
      <c r="F122" s="3" t="n">
        <v>46085</v>
      </c>
      <c r="G122" t="inlineStr">
        <is>
          <t>10:01:00</t>
        </is>
      </c>
      <c r="H122" t="n">
        <v>394854350</v>
      </c>
      <c r="I122" t="n">
        <v>361021550</v>
      </c>
      <c r="J122" t="n">
        <v>14990000</v>
      </c>
      <c r="K122" t="n">
        <v>29653000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La diferencia es contabilizada por la Gerencia De Autoservicios y Efectivo de manera centralizada a la cuenta de sobrantes 279510020 el 05/03/2026</t>
        </is>
      </c>
      <c r="P122" t="n">
        <v>1082848167</v>
      </c>
    </row>
    <row r="123">
      <c r="A123" t="n">
        <v>795</v>
      </c>
      <c r="B123" t="n">
        <v>1029</v>
      </c>
      <c r="C123" t="inlineStr">
        <is>
          <t>BELLTECH</t>
        </is>
      </c>
      <c r="D123" t="inlineStr">
        <is>
          <t>BELLTECH</t>
        </is>
      </c>
      <c r="E123" s="3" t="n">
        <v>46086</v>
      </c>
      <c r="F123" s="3" t="n">
        <v>46085</v>
      </c>
      <c r="G123" t="inlineStr">
        <is>
          <t>10:13:00</t>
        </is>
      </c>
      <c r="H123" t="n">
        <v>223953000</v>
      </c>
      <c r="I123" t="n">
        <v>170468000</v>
      </c>
      <c r="J123" t="n">
        <v>17780000</v>
      </c>
      <c r="K123" t="n">
        <v>64095000</v>
      </c>
      <c r="M123">
        <f>I123-(H123+J123-K123)- L123</f>
        <v/>
      </c>
      <c r="N123">
        <f>IF(M123=0,"Cuadrado",IF(M123&gt;0,"Faltante","Sobrante"))</f>
        <v/>
      </c>
      <c r="O123" t="inlineStr">
        <is>
          <t>La diferencia es contabilizada por la Gerencia De Autoservicios y Efectivo de manera centralizada a la cuenta de sobrantes 279510020 el 05/03/2026</t>
        </is>
      </c>
      <c r="P123" t="n">
        <v>91274094</v>
      </c>
    </row>
    <row r="124">
      <c r="A124" t="n">
        <v>796</v>
      </c>
      <c r="B124" t="n">
        <v>6911</v>
      </c>
      <c r="C124" t="inlineStr">
        <is>
          <t>BELLTECH</t>
        </is>
      </c>
      <c r="D124" t="inlineStr">
        <is>
          <t>BELLTECH</t>
        </is>
      </c>
      <c r="E124" s="3" t="n">
        <v>46086</v>
      </c>
      <c r="F124" s="3" t="n">
        <v>46085</v>
      </c>
      <c r="G124" t="inlineStr">
        <is>
          <t>13:49:00</t>
        </is>
      </c>
      <c r="H124" t="n">
        <v>177799250</v>
      </c>
      <c r="I124" t="n">
        <v>133528050</v>
      </c>
      <c r="J124" t="n">
        <v>22080000</v>
      </c>
      <c r="K124" t="n">
        <v>50397000</v>
      </c>
      <c r="M124">
        <f>I124-(H124+J124-K124)- L124</f>
        <v/>
      </c>
      <c r="N124">
        <f>IF(M124=0,"Cuadrado",IF(M124&gt;0,"Faltante","Sobrante"))</f>
        <v/>
      </c>
      <c r="O124" t="inlineStr">
        <is>
          <t>La diferencia es contabilizada por la Gerencia De Autoservicios y Efectivo de manera centralizada a la cuenta de sobrantes 279510020 el 05/03/2026</t>
        </is>
      </c>
      <c r="P124" t="n">
        <v>1095802301</v>
      </c>
    </row>
    <row r="125">
      <c r="A125" t="n">
        <v>844</v>
      </c>
      <c r="B125" t="n">
        <v>6169</v>
      </c>
      <c r="C125" t="inlineStr">
        <is>
          <t>BELLTECH</t>
        </is>
      </c>
      <c r="D125" t="inlineStr">
        <is>
          <t>BELLTECH</t>
        </is>
      </c>
      <c r="E125" s="3" t="n">
        <v>46086</v>
      </c>
      <c r="F125" s="3" t="n">
        <v>46085</v>
      </c>
      <c r="G125" t="inlineStr">
        <is>
          <t>08:53:00</t>
        </is>
      </c>
      <c r="H125" t="n">
        <v>254272600</v>
      </c>
      <c r="I125" t="n">
        <v>468338000</v>
      </c>
      <c r="J125" t="n">
        <v>1120000</v>
      </c>
      <c r="K125" t="n">
        <v>0</v>
      </c>
      <c r="M125">
        <f>I125-(H125+J125-K125)- L125</f>
        <v/>
      </c>
      <c r="N125">
        <f>IF(M125=0,"Cuadrado",IF(M125&gt;0,"Faltante","Sobrante"))</f>
        <v/>
      </c>
      <c r="O125" t="inlineStr">
        <is>
          <t>REPITIERON ARQUEO</t>
        </is>
      </c>
      <c r="P125" t="n">
        <v>86058432</v>
      </c>
    </row>
    <row r="126">
      <c r="A126" t="n">
        <v>849</v>
      </c>
      <c r="B126" t="n">
        <v>9724</v>
      </c>
      <c r="C126" t="inlineStr">
        <is>
          <t>BELLTECH</t>
        </is>
      </c>
      <c r="D126" t="inlineStr">
        <is>
          <t>BELLTECH</t>
        </is>
      </c>
      <c r="E126" s="3" t="n">
        <v>46086</v>
      </c>
      <c r="F126" s="3" t="n">
        <v>46085</v>
      </c>
      <c r="G126" t="inlineStr">
        <is>
          <t>16:33:00</t>
        </is>
      </c>
      <c r="H126" t="n">
        <v>224399300</v>
      </c>
      <c r="I126" t="n">
        <v>271496200</v>
      </c>
      <c r="J126" t="n">
        <v>53220000</v>
      </c>
      <c r="K126" t="n">
        <v>239372100</v>
      </c>
      <c r="L126" t="n">
        <v>245249000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La diferencia es contabilizada por la Gerencia De Autoservicios y Efectivo de manera centralizada a la cuenta de sobrantes 279510020 el 05/03/2026</t>
        </is>
      </c>
      <c r="P126" t="n">
        <v>86063461</v>
      </c>
    </row>
    <row r="127">
      <c r="A127" t="n">
        <v>849</v>
      </c>
      <c r="B127" t="n">
        <v>9725</v>
      </c>
      <c r="C127" t="inlineStr">
        <is>
          <t>BELLTECH</t>
        </is>
      </c>
      <c r="D127" t="inlineStr">
        <is>
          <t>DIEBOLD</t>
        </is>
      </c>
      <c r="E127" s="3" t="n">
        <v>46086</v>
      </c>
      <c r="F127" s="3" t="n">
        <v>46084</v>
      </c>
      <c r="G127" t="inlineStr">
        <is>
          <t>16:33:00</t>
        </is>
      </c>
      <c r="H127" t="n">
        <v>236004250</v>
      </c>
      <c r="I127" t="n">
        <v>371192950</v>
      </c>
      <c r="J127" t="n">
        <v>52030000</v>
      </c>
      <c r="K127" t="n">
        <v>258989300</v>
      </c>
      <c r="L127" t="n">
        <v>342274000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05/03/2026</t>
        </is>
      </c>
      <c r="P127" t="n">
        <v>86063461</v>
      </c>
    </row>
    <row r="128">
      <c r="A128" t="n">
        <v>866</v>
      </c>
      <c r="B128" t="n">
        <v>8662</v>
      </c>
      <c r="C128" t="inlineStr">
        <is>
          <t>BELLTECH</t>
        </is>
      </c>
      <c r="D128" t="inlineStr">
        <is>
          <t>BELLTECH</t>
        </is>
      </c>
      <c r="E128" s="3" t="n">
        <v>46086</v>
      </c>
      <c r="F128" s="3" t="n">
        <v>46085</v>
      </c>
      <c r="G128" t="inlineStr">
        <is>
          <t>15:27:00</t>
        </is>
      </c>
      <c r="H128" t="n">
        <v>66818450</v>
      </c>
      <c r="I128" t="n">
        <v>93518450</v>
      </c>
      <c r="J128" t="n">
        <v>36890000</v>
      </c>
      <c r="K128" t="n">
        <v>10190000</v>
      </c>
      <c r="M128">
        <f>I128-(H128+J128-K128)- L128</f>
        <v/>
      </c>
      <c r="N128">
        <f>IF(M128=0,"Cuadrado",IF(M128&gt;0,"Faltante","Sobrante"))</f>
        <v/>
      </c>
      <c r="O128" t="inlineStr">
        <is>
          <t>Cajero cuadrado, sin observación por parte de la sucursal</t>
        </is>
      </c>
      <c r="P128" t="n">
        <v>1113674245</v>
      </c>
    </row>
    <row r="129">
      <c r="A129" t="n">
        <v>890</v>
      </c>
      <c r="B129" t="n">
        <v>9584</v>
      </c>
      <c r="C129" t="inlineStr">
        <is>
          <t>BELLTECH</t>
        </is>
      </c>
      <c r="D129" t="inlineStr">
        <is>
          <t>BELLTECH</t>
        </is>
      </c>
      <c r="E129" s="3" t="n">
        <v>46086</v>
      </c>
      <c r="F129" s="3" t="n">
        <v>46085</v>
      </c>
      <c r="G129" t="inlineStr">
        <is>
          <t>09:11:00</t>
        </is>
      </c>
      <c r="H129" t="n">
        <v>238430950</v>
      </c>
      <c r="I129" t="n">
        <v>249230950</v>
      </c>
      <c r="J129" t="n">
        <v>14200000</v>
      </c>
      <c r="K129" t="n">
        <v>3400000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Cajero cuadrado, sin observación por parte de la sucursal</t>
        </is>
      </c>
      <c r="P129" t="n">
        <v>1053835867</v>
      </c>
    </row>
    <row r="130">
      <c r="A130" t="n">
        <v>915</v>
      </c>
      <c r="B130" t="n">
        <v>8313</v>
      </c>
      <c r="C130" t="inlineStr">
        <is>
          <t>BELLTECH</t>
        </is>
      </c>
      <c r="D130" t="inlineStr">
        <is>
          <t>DIEBOLD</t>
        </is>
      </c>
      <c r="E130" s="3" t="n">
        <v>46086</v>
      </c>
      <c r="F130" s="3" t="n">
        <v>46085</v>
      </c>
      <c r="G130" t="inlineStr">
        <is>
          <t>10:13:00</t>
        </is>
      </c>
      <c r="H130" t="n">
        <v>382047100</v>
      </c>
      <c r="I130" t="n">
        <v>365612100</v>
      </c>
      <c r="J130" t="n">
        <v>3270000</v>
      </c>
      <c r="K130" t="n">
        <v>6705000</v>
      </c>
      <c r="M130">
        <f>I130-(H130+J130-K130)- L130</f>
        <v/>
      </c>
      <c r="N130">
        <f>IF(M130=0,"Cuadrado",IF(M130&gt;0,"Faltante","Sobrante"))</f>
        <v/>
      </c>
      <c r="O130" t="inlineStr">
        <is>
          <t>REPITIERON ARQUEO</t>
        </is>
      </c>
      <c r="P130" t="n">
        <v>52279779</v>
      </c>
    </row>
    <row r="131">
      <c r="A131" t="n">
        <v>915</v>
      </c>
      <c r="B131" t="n">
        <v>8314</v>
      </c>
      <c r="C131" t="inlineStr">
        <is>
          <t>BELLTECH</t>
        </is>
      </c>
      <c r="D131" t="inlineStr">
        <is>
          <t>BELLTECH</t>
        </is>
      </c>
      <c r="E131" s="3" t="n">
        <v>46086</v>
      </c>
      <c r="F131" s="3" t="n">
        <v>46085</v>
      </c>
      <c r="G131" t="inlineStr">
        <is>
          <t>11:40:00</t>
        </is>
      </c>
      <c r="H131" t="n">
        <v>349886600</v>
      </c>
      <c r="I131" t="n">
        <v>358370200</v>
      </c>
      <c r="J131" t="n">
        <v>8430000</v>
      </c>
      <c r="K131" t="n">
        <v>0</v>
      </c>
      <c r="M131">
        <f>I131-(H131+J131-K131)- L131</f>
        <v/>
      </c>
      <c r="N131">
        <f>IF(M131=0,"Cuadrado",IF(M131&gt;0,"Faltante","Sobrante"))</f>
        <v/>
      </c>
      <c r="O131" t="inlineStr">
        <is>
          <t>REPITIERON ARQUEO</t>
        </is>
      </c>
      <c r="P131" t="n">
        <v>52279779</v>
      </c>
    </row>
    <row r="132">
      <c r="A132" t="n">
        <v>916</v>
      </c>
      <c r="B132" t="n">
        <v>5052</v>
      </c>
      <c r="C132" t="inlineStr">
        <is>
          <t>BELLTECH</t>
        </is>
      </c>
      <c r="D132" t="inlineStr">
        <is>
          <t>BELLTECH</t>
        </is>
      </c>
      <c r="E132" s="3" t="n">
        <v>46086</v>
      </c>
      <c r="F132" s="3" t="n">
        <v>46085</v>
      </c>
      <c r="G132" t="inlineStr">
        <is>
          <t>08:46:00</t>
        </is>
      </c>
      <c r="H132" t="n">
        <v>423926800</v>
      </c>
      <c r="I132" t="n">
        <v>422835800</v>
      </c>
      <c r="J132" t="n">
        <v>1220000</v>
      </c>
      <c r="K132" t="n">
        <v>2310000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05/03/2026</t>
        </is>
      </c>
      <c r="P132" t="n">
        <v>1004306590</v>
      </c>
    </row>
    <row r="133">
      <c r="A133" t="n">
        <v>331</v>
      </c>
      <c r="B133" t="n">
        <v>574</v>
      </c>
      <c r="C133" t="inlineStr">
        <is>
          <t>BELLTECH</t>
        </is>
      </c>
      <c r="D133" t="inlineStr">
        <is>
          <t>BELLTECH</t>
        </is>
      </c>
      <c r="E133" s="3" t="n">
        <v>46087</v>
      </c>
      <c r="F133" s="3" t="n">
        <v>46086</v>
      </c>
      <c r="G133" t="inlineStr">
        <is>
          <t>08:55:00</t>
        </is>
      </c>
      <c r="H133" t="n">
        <v>232051800</v>
      </c>
      <c r="I133" t="n">
        <v>401417850</v>
      </c>
      <c r="J133" t="n">
        <v>1690000</v>
      </c>
      <c r="K133" t="n">
        <v>23799000</v>
      </c>
      <c r="M133">
        <f>I133-(H133+J133-K133)- L133</f>
        <v/>
      </c>
      <c r="N133">
        <f>IF(M133=0,"Cuadrado",IF(M133&gt;0,"Faltante","Sobrante"))</f>
        <v/>
      </c>
      <c r="O133" t="inlineStr">
        <is>
          <t xml:space="preserve">ACLARAR DIFERENCIA Y REPETIR EL ARQUEO </t>
        </is>
      </c>
      <c r="P133" t="n">
        <v>32244978</v>
      </c>
    </row>
    <row r="134">
      <c r="A134" t="n">
        <v>331</v>
      </c>
      <c r="B134" t="n">
        <v>575</v>
      </c>
      <c r="C134" t="inlineStr">
        <is>
          <t>BELLTECH</t>
        </is>
      </c>
      <c r="D134" t="inlineStr">
        <is>
          <t>BELLTECH</t>
        </is>
      </c>
      <c r="E134" s="3" t="n">
        <v>46087</v>
      </c>
      <c r="F134" s="3" t="n">
        <v>46086</v>
      </c>
      <c r="G134" t="inlineStr">
        <is>
          <t>09:26:00</t>
        </is>
      </c>
      <c r="H134" t="n">
        <v>171730250</v>
      </c>
      <c r="I134" t="n">
        <v>339250600</v>
      </c>
      <c r="J134" t="n">
        <v>3800000</v>
      </c>
      <c r="K134" t="n">
        <v>36430000</v>
      </c>
      <c r="M134">
        <f>I134-(H134+J134-K134)- L134</f>
        <v/>
      </c>
      <c r="N134">
        <f>IF(M134=0,"Cuadrado",IF(M134&gt;0,"Faltante","Sobrante"))</f>
        <v/>
      </c>
      <c r="O134" t="inlineStr">
        <is>
          <t xml:space="preserve">ACLARAR DIFERENCIA Y REPETIR EL ARQUEO </t>
        </is>
      </c>
      <c r="P134" t="n">
        <v>32244978</v>
      </c>
    </row>
    <row r="135">
      <c r="A135" t="n">
        <v>395</v>
      </c>
      <c r="B135" t="n">
        <v>1528</v>
      </c>
      <c r="C135" t="inlineStr">
        <is>
          <t>BELLTECH</t>
        </is>
      </c>
      <c r="D135" t="inlineStr">
        <is>
          <t>BELLTECH</t>
        </is>
      </c>
      <c r="E135" s="3" t="n">
        <v>46087</v>
      </c>
      <c r="F135" s="3" t="n">
        <v>46086</v>
      </c>
      <c r="G135" t="inlineStr">
        <is>
          <t>08:30:00</t>
        </is>
      </c>
      <c r="H135" t="n">
        <v>239312050</v>
      </c>
      <c r="I135" t="n">
        <v>193052750</v>
      </c>
      <c r="J135" t="n">
        <v>0</v>
      </c>
      <c r="K135" t="n">
        <v>19199900</v>
      </c>
      <c r="M135">
        <f>I135-(H135+J135-K135)- L135</f>
        <v/>
      </c>
      <c r="N135">
        <f>IF(M135=0,"Cuadrado",IF(M135&gt;0,"Faltante","Sobrante"))</f>
        <v/>
      </c>
      <c r="O135" t="inlineStr">
        <is>
          <t>La diferencia es contabilizada por la Gerencia De Autoservicios y Efectivo de manera centralizada a la cuenta de sobrantes 279510020 el 06/03/2026</t>
        </is>
      </c>
      <c r="P135" t="n">
        <v>1121857901</v>
      </c>
    </row>
    <row r="136">
      <c r="A136" t="n">
        <v>185</v>
      </c>
      <c r="B136" t="n">
        <v>2208</v>
      </c>
      <c r="C136" t="inlineStr">
        <is>
          <t>DIEBOLD</t>
        </is>
      </c>
      <c r="D136" t="inlineStr">
        <is>
          <t>BELLTECH</t>
        </is>
      </c>
      <c r="E136" s="3" t="n">
        <v>46087</v>
      </c>
      <c r="F136" s="3" t="n">
        <v>46086</v>
      </c>
      <c r="G136" t="inlineStr">
        <is>
          <t>15:10:00</t>
        </is>
      </c>
      <c r="H136" t="n">
        <v>112564500</v>
      </c>
      <c r="I136" t="n">
        <v>70537500</v>
      </c>
      <c r="J136" t="n">
        <v>13130000</v>
      </c>
      <c r="K136" t="n">
        <v>5234000</v>
      </c>
      <c r="L136" t="n">
        <v>-49923000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Cajero cuadrado, sin observación por parte de la sucursal</t>
        </is>
      </c>
      <c r="P136" t="n">
        <v>66784636</v>
      </c>
    </row>
    <row r="137">
      <c r="A137" t="n">
        <v>1</v>
      </c>
      <c r="B137" t="n">
        <v>5000</v>
      </c>
      <c r="C137" t="inlineStr">
        <is>
          <t>BELLTECH</t>
        </is>
      </c>
      <c r="D137" t="inlineStr">
        <is>
          <t>DIEBOLD</t>
        </is>
      </c>
      <c r="E137" s="3" t="n">
        <v>46087</v>
      </c>
      <c r="F137" s="3" t="n">
        <v>46086</v>
      </c>
      <c r="G137" t="inlineStr">
        <is>
          <t>09:51:00</t>
        </is>
      </c>
      <c r="H137" t="n">
        <v>197938800</v>
      </c>
      <c r="I137" t="n">
        <v>199422400</v>
      </c>
      <c r="J137" t="n">
        <v>8900000</v>
      </c>
      <c r="K137" t="n">
        <v>7416000</v>
      </c>
      <c r="M137">
        <f>I137-(H137+J137-K137)- L137</f>
        <v/>
      </c>
      <c r="N137">
        <f>IF(M137=0,"Cuadrado",IF(M137&gt;0,"Faltante","Sobrante"))</f>
        <v/>
      </c>
      <c r="O137" t="inlineStr">
        <is>
          <t>La diferencia es contabilizada por la Gerencia De Autoservicios y Efectivo de manera centralizada a la cuenta de sobrantes 279510020 el 06/03/2026</t>
        </is>
      </c>
      <c r="P137" t="n">
        <v>1017128064</v>
      </c>
    </row>
    <row r="138">
      <c r="A138" t="n">
        <v>59</v>
      </c>
      <c r="B138" t="n">
        <v>5002</v>
      </c>
      <c r="C138" t="inlineStr">
        <is>
          <t>BELLTECH</t>
        </is>
      </c>
      <c r="D138" t="inlineStr">
        <is>
          <t>BELLTECH</t>
        </is>
      </c>
      <c r="E138" s="3" t="n">
        <v>46087</v>
      </c>
      <c r="F138" s="3" t="n">
        <v>46086</v>
      </c>
      <c r="G138" t="inlineStr">
        <is>
          <t>07:50:00</t>
        </is>
      </c>
      <c r="H138" t="n">
        <v>184290750</v>
      </c>
      <c r="I138" t="n">
        <v>175425750</v>
      </c>
      <c r="J138" t="n">
        <v>3590000</v>
      </c>
      <c r="K138" t="n">
        <v>12154900</v>
      </c>
      <c r="M138">
        <f>I138-(H138+J138-K138)- L138</f>
        <v/>
      </c>
      <c r="N138">
        <f>IF(M138=0,"Cuadrado",IF(M138&gt;0,"Faltante","Sobrante"))</f>
        <v/>
      </c>
      <c r="O138" t="inlineStr">
        <is>
          <t>La diferencia es contabilizada por la Gerencia De Autoservicios y Efectivo de manera centralizada a la cuenta de sobrantes 279510020 el 06/03/2026</t>
        </is>
      </c>
      <c r="P138" t="n">
        <v>1060652821</v>
      </c>
    </row>
    <row r="139">
      <c r="A139" t="n">
        <v>825</v>
      </c>
      <c r="B139" t="n">
        <v>5023</v>
      </c>
      <c r="C139" t="inlineStr">
        <is>
          <t>BELLTECH</t>
        </is>
      </c>
      <c r="D139" t="inlineStr">
        <is>
          <t>DIEBOLD</t>
        </is>
      </c>
      <c r="E139" s="3" t="n">
        <v>46087</v>
      </c>
      <c r="F139" s="3" t="n">
        <v>46086</v>
      </c>
      <c r="G139" t="inlineStr">
        <is>
          <t>14:11:00</t>
        </is>
      </c>
      <c r="H139" t="n">
        <v>94249950</v>
      </c>
      <c r="I139" t="n">
        <v>120218300</v>
      </c>
      <c r="J139" t="n">
        <v>45300000</v>
      </c>
      <c r="K139" t="n">
        <v>18511650</v>
      </c>
      <c r="M139">
        <f>I139-(H139+J139-K139)- L139</f>
        <v/>
      </c>
      <c r="N139">
        <f>IF(M139=0,"Cuadrado",IF(M139&gt;0,"Faltante","Sobrante"))</f>
        <v/>
      </c>
      <c r="O139" t="inlineStr">
        <is>
          <t>La diferencia es contabilizada por la Gerencia De Autoservicios y Efectivo de manera centralizada a la cuenta de sobrantes 279510020 el 06/03/2026</t>
        </is>
      </c>
      <c r="P139" t="n">
        <v>1144124243</v>
      </c>
    </row>
    <row r="140">
      <c r="A140" t="n">
        <v>32</v>
      </c>
      <c r="B140" t="n">
        <v>5027</v>
      </c>
      <c r="C140" t="inlineStr">
        <is>
          <t>BELLTECH</t>
        </is>
      </c>
      <c r="D140" t="inlineStr">
        <is>
          <t>BELLTECH</t>
        </is>
      </c>
      <c r="E140" s="3" t="n">
        <v>46087</v>
      </c>
      <c r="F140" s="3" t="n">
        <v>46086</v>
      </c>
      <c r="G140" t="inlineStr">
        <is>
          <t>09:15:00</t>
        </is>
      </c>
      <c r="H140" t="n">
        <v>479485900</v>
      </c>
      <c r="I140" t="n">
        <v>480778700</v>
      </c>
      <c r="J140" t="n">
        <v>1300000</v>
      </c>
      <c r="K140" t="n">
        <v>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06/03/2026</t>
        </is>
      </c>
      <c r="P140" t="n">
        <v>79750158</v>
      </c>
    </row>
    <row r="141">
      <c r="A141" t="n">
        <v>275</v>
      </c>
      <c r="B141" t="n">
        <v>5034</v>
      </c>
      <c r="C141" t="inlineStr">
        <is>
          <t>BELLTECH</t>
        </is>
      </c>
      <c r="D141" t="inlineStr">
        <is>
          <t>BELLTECH</t>
        </is>
      </c>
      <c r="E141" s="3" t="n">
        <v>46087</v>
      </c>
      <c r="F141" s="3" t="n">
        <v>46086</v>
      </c>
      <c r="G141" t="inlineStr">
        <is>
          <t>11:01:00</t>
        </is>
      </c>
      <c r="H141" t="n">
        <v>86506950</v>
      </c>
      <c r="I141" t="n">
        <v>374996950</v>
      </c>
      <c r="J141" t="n">
        <v>14550000</v>
      </c>
      <c r="K141" t="n">
        <v>50721000</v>
      </c>
      <c r="L141" t="n">
        <v>325611000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La diferencia es contabilizada por la Gerencia De Autoservicios y Efectivo de manera centralizada a la cuenta de sobrantes 279510020 el 06/03/2026</t>
        </is>
      </c>
      <c r="P141" t="n">
        <v>16055613</v>
      </c>
    </row>
    <row r="142">
      <c r="A142" t="n">
        <v>682</v>
      </c>
      <c r="B142" t="n">
        <v>5049</v>
      </c>
      <c r="C142" t="inlineStr">
        <is>
          <t>BELLTECH</t>
        </is>
      </c>
      <c r="D142" t="inlineStr">
        <is>
          <t>BELLTECH</t>
        </is>
      </c>
      <c r="E142" s="3" t="n">
        <v>46087</v>
      </c>
      <c r="F142" s="3" t="n">
        <v>46086</v>
      </c>
      <c r="G142" t="inlineStr">
        <is>
          <t>11:31:00</t>
        </is>
      </c>
      <c r="H142" t="n">
        <v>197591900</v>
      </c>
      <c r="I142" t="n">
        <v>189947800</v>
      </c>
      <c r="J142" t="n">
        <v>21200000</v>
      </c>
      <c r="K142" t="n">
        <v>28849000</v>
      </c>
      <c r="L142" t="n">
        <v>4900</v>
      </c>
      <c r="M142">
        <f>I142-(H142+J142-K142)- L142</f>
        <v/>
      </c>
      <c r="N142">
        <f>IF(M142=0,"Cuadrado",IF(M142&gt;0,"Faltante","Sobrante"))</f>
        <v/>
      </c>
      <c r="O142" t="inlineStr">
        <is>
          <t>El faltante $4.900 es cruzado con sobrante contabilizado el día 03/03/2026 el cual es reversado por la seccion el día 06/03/2025</t>
        </is>
      </c>
      <c r="P142" t="n">
        <v>1018447800</v>
      </c>
    </row>
    <row r="143">
      <c r="A143" t="n">
        <v>419</v>
      </c>
      <c r="B143" t="n">
        <v>5077</v>
      </c>
      <c r="C143" t="inlineStr">
        <is>
          <t>BELLTECH</t>
        </is>
      </c>
      <c r="D143" t="inlineStr">
        <is>
          <t>BELLTECH</t>
        </is>
      </c>
      <c r="E143" s="3" t="n">
        <v>46087</v>
      </c>
      <c r="F143" s="3" t="n">
        <v>46086</v>
      </c>
      <c r="G143" t="inlineStr">
        <is>
          <t>08:28:00</t>
        </is>
      </c>
      <c r="H143" t="n">
        <v>121360500</v>
      </c>
      <c r="I143" t="n">
        <v>127255500</v>
      </c>
      <c r="J143" t="n">
        <v>0</v>
      </c>
      <c r="K143" t="n">
        <v>0</v>
      </c>
      <c r="L143" t="n">
        <v>5895000</v>
      </c>
      <c r="M143">
        <f>I143-(H143+J143-K143)- L143</f>
        <v/>
      </c>
      <c r="N143">
        <f>IF(M143=0,"Cuadrado",IF(M143&gt;0,"Faltante","Sobrante"))</f>
        <v/>
      </c>
      <c r="O143" t="inlineStr">
        <is>
          <t>El faltante $5.895.000 es cruzado con sobrante contabilizado el día 04/03/2026 el cual es reversado por la seccion el día 06/03/2025</t>
        </is>
      </c>
      <c r="P143" t="n">
        <v>79248430</v>
      </c>
    </row>
    <row r="144">
      <c r="A144" t="n">
        <v>8</v>
      </c>
      <c r="B144" t="n">
        <v>5079</v>
      </c>
      <c r="C144" t="inlineStr">
        <is>
          <t>BELLTECH</t>
        </is>
      </c>
      <c r="D144" t="inlineStr">
        <is>
          <t>BELLTECH</t>
        </is>
      </c>
      <c r="E144" s="3" t="n">
        <v>46087</v>
      </c>
      <c r="F144" s="3" t="n">
        <v>46086</v>
      </c>
      <c r="G144" t="inlineStr">
        <is>
          <t>10:35:00</t>
        </is>
      </c>
      <c r="H144" t="n">
        <v>291679550</v>
      </c>
      <c r="I144" t="n">
        <v>245691600</v>
      </c>
      <c r="J144" t="n">
        <v>9790000</v>
      </c>
      <c r="K144" t="n">
        <v>33515100</v>
      </c>
      <c r="M144">
        <f>I144-(H144+J144-K144)- L144</f>
        <v/>
      </c>
      <c r="N144">
        <f>IF(M144=0,"Cuadrado",IF(M144&gt;0,"Faltante","Sobrante"))</f>
        <v/>
      </c>
      <c r="O144" t="inlineStr">
        <is>
          <t>La diferencia es contabilizada por la Gerencia De Autoservicios y Efectivo de manera centralizada a la cuenta de sobrantes 279510020 el 06/03/2026</t>
        </is>
      </c>
      <c r="P144" t="n">
        <v>71738191</v>
      </c>
    </row>
    <row r="145">
      <c r="A145" t="n">
        <v>523</v>
      </c>
      <c r="B145" t="n">
        <v>5082</v>
      </c>
      <c r="C145" t="inlineStr">
        <is>
          <t>BELLTECH</t>
        </is>
      </c>
      <c r="D145" t="inlineStr">
        <is>
          <t>DIEBOLD</t>
        </is>
      </c>
      <c r="E145" s="3" t="n">
        <v>46087</v>
      </c>
      <c r="F145" s="3" t="n">
        <v>46086</v>
      </c>
      <c r="G145" t="inlineStr">
        <is>
          <t>10:44:00</t>
        </is>
      </c>
      <c r="H145" t="n">
        <v>178570950</v>
      </c>
      <c r="I145" t="n">
        <v>100552900</v>
      </c>
      <c r="J145" t="n">
        <v>0</v>
      </c>
      <c r="K145" t="n">
        <v>0</v>
      </c>
      <c r="M145">
        <f>I145-(H145+J145-K145)- L145</f>
        <v/>
      </c>
      <c r="N145">
        <f>IF(M145=0,"Cuadrado",IF(M145&gt;0,"Faltante","Sobrante"))</f>
        <v/>
      </c>
      <c r="O145" t="inlineStr">
        <is>
          <t>REPITIERON ARQUEO</t>
        </is>
      </c>
      <c r="P145" t="n">
        <v>39491642</v>
      </c>
    </row>
    <row r="146">
      <c r="A146" t="n">
        <v>265</v>
      </c>
      <c r="B146" t="n">
        <v>5083</v>
      </c>
      <c r="C146" t="inlineStr">
        <is>
          <t>BELLTECH</t>
        </is>
      </c>
      <c r="D146" t="inlineStr">
        <is>
          <t>BELLTECH</t>
        </is>
      </c>
      <c r="E146" s="3" t="n">
        <v>46087</v>
      </c>
      <c r="F146" s="3" t="n">
        <v>46086</v>
      </c>
      <c r="G146" t="inlineStr">
        <is>
          <t>09:54:00</t>
        </is>
      </c>
      <c r="H146" t="n">
        <v>144767750</v>
      </c>
      <c r="I146" t="n">
        <v>130715750</v>
      </c>
      <c r="J146" t="n">
        <v>0</v>
      </c>
      <c r="K146" t="n">
        <v>0</v>
      </c>
      <c r="M146">
        <f>I146-(H146+J146-K146)- L146</f>
        <v/>
      </c>
      <c r="N146">
        <f>IF(M146=0,"Cuadrado",IF(M146&gt;0,"Faltante","Sobrante"))</f>
        <v/>
      </c>
      <c r="O146" t="inlineStr">
        <is>
          <t>La diferencia es contabilizada por la Gerencia De Autoservicios y Efectivo de manera centralizada a la cuenta de sobrantes 279510020 el 06/03/2026</t>
        </is>
      </c>
      <c r="P146" t="n">
        <v>1107081130</v>
      </c>
    </row>
    <row r="147">
      <c r="A147" t="n">
        <v>634</v>
      </c>
      <c r="B147" t="n">
        <v>5087</v>
      </c>
      <c r="C147" t="inlineStr">
        <is>
          <t>BELLTECH</t>
        </is>
      </c>
      <c r="D147" t="inlineStr">
        <is>
          <t>BELLTECH</t>
        </is>
      </c>
      <c r="E147" s="3" t="n">
        <v>46087</v>
      </c>
      <c r="F147" s="3" t="n">
        <v>46086</v>
      </c>
      <c r="G147" t="inlineStr">
        <is>
          <t>16:21:00</t>
        </is>
      </c>
      <c r="H147" t="n">
        <v>106089700</v>
      </c>
      <c r="I147" t="n">
        <v>105511700</v>
      </c>
      <c r="J147" t="n">
        <v>75740000</v>
      </c>
      <c r="K147" t="n">
        <v>76311000</v>
      </c>
      <c r="M147">
        <f>I147-(H147+J147-K147)- L147</f>
        <v/>
      </c>
      <c r="N147">
        <f>IF(M147=0,"Cuadrado",IF(M147&gt;0,"Faltante","Sobrante"))</f>
        <v/>
      </c>
      <c r="O147" t="inlineStr">
        <is>
          <t>La diferencia es contabilizada por la Gerencia De Autoservicios y Efectivo de manera centralizada a la cuenta de sobrantes 279510020 el 06/03/2026</t>
        </is>
      </c>
      <c r="P147" t="n">
        <v>1032424944</v>
      </c>
    </row>
    <row r="148">
      <c r="A148" t="n">
        <v>430</v>
      </c>
      <c r="B148" t="n">
        <v>5104</v>
      </c>
      <c r="C148" t="inlineStr">
        <is>
          <t>BELLTECH</t>
        </is>
      </c>
      <c r="D148" t="inlineStr">
        <is>
          <t>BELLTECH</t>
        </is>
      </c>
      <c r="E148" s="3" t="n">
        <v>46087</v>
      </c>
      <c r="F148" s="3" t="n">
        <v>46086</v>
      </c>
      <c r="G148" t="inlineStr">
        <is>
          <t>15:19:00</t>
        </is>
      </c>
      <c r="H148" t="n">
        <v>369806800</v>
      </c>
      <c r="I148" t="n">
        <v>362667750</v>
      </c>
      <c r="J148" t="n">
        <v>41480000</v>
      </c>
      <c r="K148" t="n">
        <v>48593700</v>
      </c>
      <c r="M148">
        <f>I148-(H148+J148-K148)- L148</f>
        <v/>
      </c>
      <c r="N148">
        <f>IF(M148=0,"Cuadrado",IF(M148&gt;0,"Faltante","Sobrante"))</f>
        <v/>
      </c>
      <c r="O148" t="inlineStr">
        <is>
          <t>La diferencia es contabilizada por la Gerencia De Autoservicios y Efectivo de manera centralizada a la cuenta de sobrantes 279510020 el 06/03/2026</t>
        </is>
      </c>
      <c r="P148" t="n">
        <v>1035234232</v>
      </c>
    </row>
    <row r="149">
      <c r="A149" t="n">
        <v>743</v>
      </c>
      <c r="B149" t="n">
        <v>5106</v>
      </c>
      <c r="C149" t="inlineStr">
        <is>
          <t>BELLTECH</t>
        </is>
      </c>
      <c r="D149" t="inlineStr">
        <is>
          <t>BELLTECH</t>
        </is>
      </c>
      <c r="E149" s="3" t="n">
        <v>46087</v>
      </c>
      <c r="F149" s="3" t="n">
        <v>46086</v>
      </c>
      <c r="G149" t="inlineStr">
        <is>
          <t>10:48:00</t>
        </is>
      </c>
      <c r="H149" t="n">
        <v>58298000</v>
      </c>
      <c r="I149" t="n">
        <v>52889000</v>
      </c>
      <c r="J149" t="n">
        <v>27880000</v>
      </c>
      <c r="K149" t="n">
        <v>15092000</v>
      </c>
      <c r="M149">
        <f>I149-(H149+J149-K149)- L149</f>
        <v/>
      </c>
      <c r="N149">
        <f>IF(M149=0,"Cuadrado",IF(M149&gt;0,"Faltante","Sobrante"))</f>
        <v/>
      </c>
      <c r="O149" t="inlineStr">
        <is>
          <t>La diferencia es contabilizada por la Gerencia De Autoservicios y Efectivo de manera centralizada a la cuenta de sobrantes 279510020 el 06/03/2026</t>
        </is>
      </c>
      <c r="P149" t="n">
        <v>79887183</v>
      </c>
    </row>
    <row r="150">
      <c r="A150" t="n">
        <v>191</v>
      </c>
      <c r="B150" t="n">
        <v>5112</v>
      </c>
      <c r="C150" t="inlineStr">
        <is>
          <t>BELLTECH</t>
        </is>
      </c>
      <c r="D150" t="inlineStr">
        <is>
          <t>BELLTECH</t>
        </is>
      </c>
      <c r="E150" s="3" t="n">
        <v>46087</v>
      </c>
      <c r="F150" s="3" t="n">
        <v>46086</v>
      </c>
      <c r="G150" t="inlineStr">
        <is>
          <t>09:26:00</t>
        </is>
      </c>
      <c r="H150" t="n">
        <v>246928850</v>
      </c>
      <c r="I150" t="n">
        <v>244729050</v>
      </c>
      <c r="J150" t="n">
        <v>800000</v>
      </c>
      <c r="K150" t="n">
        <v>0</v>
      </c>
      <c r="M150">
        <f>I150-(H150+J150-K150)- L150</f>
        <v/>
      </c>
      <c r="N150">
        <f>IF(M150=0,"Cuadrado",IF(M150&gt;0,"Faltante","Sobrante"))</f>
        <v/>
      </c>
      <c r="O150" t="inlineStr">
        <is>
          <t>La diferencia es contabilizada por la Gerencia De Autoservicios y Efectivo de manera centralizada a la cuenta de sobrantes 279510020 el 06/03/2026</t>
        </is>
      </c>
      <c r="P150" t="n">
        <v>80812756</v>
      </c>
    </row>
    <row r="151">
      <c r="A151" t="n">
        <v>937</v>
      </c>
      <c r="B151" t="n">
        <v>5115</v>
      </c>
      <c r="C151" t="inlineStr">
        <is>
          <t>BELLTECH</t>
        </is>
      </c>
      <c r="D151" t="inlineStr">
        <is>
          <t>BELLTECH</t>
        </is>
      </c>
      <c r="E151" s="3" t="n">
        <v>46087</v>
      </c>
      <c r="F151" s="3" t="n">
        <v>46086</v>
      </c>
      <c r="G151" t="inlineStr">
        <is>
          <t>08:36:00</t>
        </is>
      </c>
      <c r="H151" t="n">
        <v>171168750</v>
      </c>
      <c r="I151" t="n">
        <v>170696850</v>
      </c>
      <c r="J151" t="n">
        <v>0</v>
      </c>
      <c r="K151" t="n">
        <v>473000</v>
      </c>
      <c r="L151" t="n">
        <v>1100</v>
      </c>
      <c r="M151">
        <f>I151-(H151+J151-K151)- L151</f>
        <v/>
      </c>
      <c r="N151">
        <f>IF(M151=0,"Cuadrado",IF(M151&gt;0,"Faltante","Sobrante"))</f>
        <v/>
      </c>
      <c r="O151" t="inlineStr">
        <is>
          <t>El faltante $1.100 es cruzado con sobrante contabilizado el día 04/03/2026 el cual es reversado por la seccion el día 06/03/2025</t>
        </is>
      </c>
      <c r="P151" t="n">
        <v>1061702364</v>
      </c>
    </row>
    <row r="152">
      <c r="A152" t="n">
        <v>292</v>
      </c>
      <c r="B152" t="n">
        <v>5116</v>
      </c>
      <c r="C152" t="inlineStr">
        <is>
          <t>BELLTECH</t>
        </is>
      </c>
      <c r="D152" t="inlineStr">
        <is>
          <t>BELLTECH</t>
        </is>
      </c>
      <c r="E152" s="3" t="n">
        <v>46087</v>
      </c>
      <c r="F152" s="3" t="n">
        <v>46086</v>
      </c>
      <c r="G152" t="inlineStr">
        <is>
          <t>09:12:00</t>
        </is>
      </c>
      <c r="H152" t="n">
        <v>198569250</v>
      </c>
      <c r="I152" t="n">
        <v>207441850</v>
      </c>
      <c r="J152" t="n">
        <v>15890000</v>
      </c>
      <c r="K152" t="n">
        <v>12444000</v>
      </c>
      <c r="L152" t="n">
        <v>5426600</v>
      </c>
      <c r="M152">
        <f>I152-(H152+J152-K152)- L152</f>
        <v/>
      </c>
      <c r="N152">
        <f>IF(M152=0,"Cuadrado",IF(M152&gt;0,"Faltante","Sobrante"))</f>
        <v/>
      </c>
      <c r="O152" t="inlineStr">
        <is>
          <t>El faltante $5.426.600 es cruzado con sobrante contabilizado el día 04/03/2026 el cual es reversado por la seccion el día 06/03/2025</t>
        </is>
      </c>
      <c r="P152" t="n">
        <v>44006127</v>
      </c>
    </row>
    <row r="153">
      <c r="A153" t="n">
        <v>511</v>
      </c>
      <c r="B153" t="n">
        <v>5122</v>
      </c>
      <c r="C153" t="inlineStr">
        <is>
          <t>BELLTECH</t>
        </is>
      </c>
      <c r="D153" t="inlineStr">
        <is>
          <t>BELLTECH</t>
        </is>
      </c>
      <c r="E153" s="3" t="n">
        <v>46087</v>
      </c>
      <c r="F153" s="3" t="n">
        <v>46086</v>
      </c>
      <c r="G153" t="inlineStr">
        <is>
          <t>11:54:00</t>
        </is>
      </c>
      <c r="H153" t="n">
        <v>161839300</v>
      </c>
      <c r="I153" t="n">
        <v>202510250</v>
      </c>
      <c r="J153" t="n">
        <v>19110000</v>
      </c>
      <c r="K153" t="n">
        <v>18439000</v>
      </c>
      <c r="M153">
        <f>I153-(H153+J153-K153)- L153</f>
        <v/>
      </c>
      <c r="N153">
        <f>IF(M153=0,"Cuadrado",IF(M153&gt;0,"Faltante","Sobrante"))</f>
        <v/>
      </c>
      <c r="O153" t="inlineStr">
        <is>
          <t>REPITIERON ARQUEO</t>
        </is>
      </c>
      <c r="P153" t="n">
        <v>1037597003</v>
      </c>
    </row>
    <row r="154">
      <c r="A154" t="n">
        <v>366</v>
      </c>
      <c r="B154" t="n">
        <v>5132</v>
      </c>
      <c r="C154" t="inlineStr">
        <is>
          <t>BELLTECH</t>
        </is>
      </c>
      <c r="D154" t="inlineStr">
        <is>
          <t>BELLTECH</t>
        </is>
      </c>
      <c r="E154" s="3" t="n">
        <v>46087</v>
      </c>
      <c r="F154" s="3" t="n">
        <v>46086</v>
      </c>
      <c r="G154" t="inlineStr">
        <is>
          <t>15:21:00</t>
        </is>
      </c>
      <c r="H154" t="n">
        <v>281513100</v>
      </c>
      <c r="I154" t="n">
        <v>264048100</v>
      </c>
      <c r="J154" t="n">
        <v>32420000</v>
      </c>
      <c r="K154" t="n">
        <v>46374000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La diferencia es contabilizada por la Gerencia De Autoservicios y Efectivo de manera centralizada a la cuenta de sobrantes 279510020 el 06/03/2026</t>
        </is>
      </c>
      <c r="P154" t="n">
        <v>1035426009</v>
      </c>
    </row>
    <row r="155">
      <c r="A155" t="n">
        <v>358</v>
      </c>
      <c r="B155" t="n">
        <v>5149</v>
      </c>
      <c r="C155" t="inlineStr">
        <is>
          <t>BELLTECH</t>
        </is>
      </c>
      <c r="D155" t="inlineStr">
        <is>
          <t>BELLTECH</t>
        </is>
      </c>
      <c r="E155" s="3" t="n">
        <v>46087</v>
      </c>
      <c r="F155" s="3" t="n">
        <v>46086</v>
      </c>
      <c r="G155" t="inlineStr">
        <is>
          <t>08:00:00</t>
        </is>
      </c>
      <c r="H155" t="n">
        <v>22620350</v>
      </c>
      <c r="I155" t="n">
        <v>22570850</v>
      </c>
      <c r="J155" t="n">
        <v>0</v>
      </c>
      <c r="K155" t="n">
        <v>0</v>
      </c>
      <c r="M155">
        <f>I155-(H155+J155-K155)- L155</f>
        <v/>
      </c>
      <c r="N155">
        <f>IF(M155=0,"Cuadrado",IF(M155&gt;0,"Faltante","Sobrante"))</f>
        <v/>
      </c>
      <c r="O155" t="inlineStr">
        <is>
          <t>La diferencia es contabilizada por la Gerencia De Autoservicios y Efectivo de manera centralizada a la cuenta de sobrantes 279510020 el 06/03/2026</t>
        </is>
      </c>
      <c r="P155" t="n">
        <v>46456877</v>
      </c>
    </row>
    <row r="156">
      <c r="A156" t="n">
        <v>388</v>
      </c>
      <c r="B156" t="n">
        <v>5169</v>
      </c>
      <c r="C156" t="inlineStr">
        <is>
          <t>BELLTECH</t>
        </is>
      </c>
      <c r="D156" t="inlineStr">
        <is>
          <t>BELLTECH</t>
        </is>
      </c>
      <c r="E156" s="3" t="n">
        <v>46087</v>
      </c>
      <c r="F156" s="3" t="n">
        <v>46086</v>
      </c>
      <c r="G156" t="inlineStr">
        <is>
          <t>09:34:00</t>
        </is>
      </c>
      <c r="H156" t="n">
        <v>22055900</v>
      </c>
      <c r="I156" t="n">
        <v>329397900</v>
      </c>
      <c r="J156" t="n">
        <v>630000</v>
      </c>
      <c r="K156" t="n">
        <v>0</v>
      </c>
      <c r="L156" t="n">
        <v>306712000</v>
      </c>
      <c r="M156">
        <f>I156-(H156+J156-K156)- L156</f>
        <v/>
      </c>
      <c r="N156">
        <f>IF(M156=0,"Cuadrado",IF(M156&gt;0,"Faltante","Sobrante"))</f>
        <v/>
      </c>
      <c r="O156" t="inlineStr">
        <is>
          <t>El faltante $507.000 es cruzado con sobrante contabilizado el día 04/03/2026 el cual es reversado por la seccion el día 06/03/2025</t>
        </is>
      </c>
      <c r="P156" t="n">
        <v>1023890720</v>
      </c>
    </row>
    <row r="157">
      <c r="A157" t="n">
        <v>253</v>
      </c>
      <c r="B157" t="n">
        <v>5176</v>
      </c>
      <c r="C157" t="inlineStr">
        <is>
          <t>BELLTECH</t>
        </is>
      </c>
      <c r="D157" t="inlineStr">
        <is>
          <t>BELLTECH</t>
        </is>
      </c>
      <c r="E157" s="3" t="n">
        <v>46087</v>
      </c>
      <c r="F157" s="3" t="n">
        <v>46086</v>
      </c>
      <c r="G157" t="inlineStr">
        <is>
          <t>10:35:00</t>
        </is>
      </c>
      <c r="H157" t="n">
        <v>216719950</v>
      </c>
      <c r="I157" t="n">
        <v>485872950</v>
      </c>
      <c r="J157" t="n">
        <v>9570000</v>
      </c>
      <c r="K157" t="n">
        <v>41515000</v>
      </c>
      <c r="L157" t="n">
        <v>300900000</v>
      </c>
      <c r="M157">
        <f>I157-(H157+J157-K157)- L157</f>
        <v/>
      </c>
      <c r="N157">
        <f>IF(M157=0,"Cuadrado",IF(M157&gt;0,"Faltante","Sobrante"))</f>
        <v/>
      </c>
      <c r="O157" t="inlineStr">
        <is>
          <t>REPITIERON ARQUEO</t>
        </is>
      </c>
      <c r="P157" t="n">
        <v>1017241432</v>
      </c>
    </row>
    <row r="158">
      <c r="A158" t="n">
        <v>432</v>
      </c>
      <c r="B158" t="n">
        <v>5195</v>
      </c>
      <c r="C158" t="inlineStr">
        <is>
          <t>BELLTECH</t>
        </is>
      </c>
      <c r="D158" t="inlineStr">
        <is>
          <t>BELLTECH</t>
        </is>
      </c>
      <c r="E158" s="3" t="n">
        <v>46087</v>
      </c>
      <c r="F158" s="3" t="n">
        <v>46086</v>
      </c>
      <c r="G158" t="inlineStr">
        <is>
          <t>14:59:00</t>
        </is>
      </c>
      <c r="H158" t="n">
        <v>251120200</v>
      </c>
      <c r="I158" t="n">
        <v>209185200</v>
      </c>
      <c r="J158" t="n">
        <v>19960000</v>
      </c>
      <c r="K158" t="n">
        <v>67749000</v>
      </c>
      <c r="L158" t="n">
        <v>5854000</v>
      </c>
      <c r="M158">
        <f>I158-(H158+J158-K158)- L158</f>
        <v/>
      </c>
      <c r="N158">
        <f>IF(M158=0,"Cuadrado",IF(M158&gt;0,"Faltante","Sobrante"))</f>
        <v/>
      </c>
      <c r="O158" t="inlineStr">
        <is>
          <t>El faltante $5.854.000 es cruzado con sobrante contabilizado el día 04/03/2026 el cual es reversado por la seccion el día 06/03/2025</t>
        </is>
      </c>
      <c r="P158" t="n">
        <v>71935844</v>
      </c>
    </row>
    <row r="159">
      <c r="A159" t="n">
        <v>606</v>
      </c>
      <c r="B159" t="n">
        <v>5201</v>
      </c>
      <c r="C159" t="inlineStr">
        <is>
          <t>BELLTECH</t>
        </is>
      </c>
      <c r="D159" t="inlineStr">
        <is>
          <t>BELLTECH</t>
        </is>
      </c>
      <c r="E159" s="3" t="n">
        <v>46087</v>
      </c>
      <c r="F159" s="3" t="n">
        <v>46086</v>
      </c>
      <c r="G159" t="inlineStr">
        <is>
          <t>11:47:00</t>
        </is>
      </c>
      <c r="H159" t="n">
        <v>278527850</v>
      </c>
      <c r="I159" t="n">
        <v>269966850</v>
      </c>
      <c r="J159" t="n">
        <v>19190000</v>
      </c>
      <c r="K159" t="n">
        <v>32881000</v>
      </c>
      <c r="L159" t="n">
        <v>5130000</v>
      </c>
      <c r="M159">
        <f>I159-(H159+J159-K159)- L159</f>
        <v/>
      </c>
      <c r="N159">
        <f>IF(M159=0,"Cuadrado",IF(M159&gt;0,"Faltante","Sobrante"))</f>
        <v/>
      </c>
      <c r="O159" t="inlineStr">
        <is>
          <t>El faltante $5.130.000 es cruzado con sobrante contabilizado el día 04/03/2026 el cual es reversado por la seccion el día 06/03/2025</t>
        </is>
      </c>
      <c r="P159" t="n">
        <v>33368879</v>
      </c>
    </row>
    <row r="160">
      <c r="A160" t="n">
        <v>16</v>
      </c>
      <c r="B160" t="n">
        <v>5219</v>
      </c>
      <c r="C160" t="inlineStr">
        <is>
          <t>BELLTECH</t>
        </is>
      </c>
      <c r="D160" t="inlineStr">
        <is>
          <t>BELLTECH</t>
        </is>
      </c>
      <c r="E160" s="3" t="n">
        <v>46087</v>
      </c>
      <c r="F160" s="3" t="n">
        <v>46086</v>
      </c>
      <c r="G160" t="inlineStr">
        <is>
          <t>02:41:00</t>
        </is>
      </c>
      <c r="H160" t="n">
        <v>112217850</v>
      </c>
      <c r="I160" t="n">
        <v>99111700</v>
      </c>
      <c r="J160" t="n">
        <v>0</v>
      </c>
      <c r="K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La diferencia es contabilizada por la Gerencia De Autoservicios y Efectivo de manera centralizada a la cuenta de sobrantes 279510020 el 06/03/2026</t>
        </is>
      </c>
      <c r="P160" t="n">
        <v>1128391338</v>
      </c>
    </row>
    <row r="161">
      <c r="A161" t="n">
        <v>941</v>
      </c>
      <c r="B161" t="n">
        <v>5220</v>
      </c>
      <c r="C161" t="inlineStr">
        <is>
          <t>BELLTECH</t>
        </is>
      </c>
      <c r="D161" t="inlineStr">
        <is>
          <t>BELLTECH</t>
        </is>
      </c>
      <c r="E161" s="3" t="n">
        <v>46087</v>
      </c>
      <c r="F161" s="3" t="n">
        <v>46086</v>
      </c>
      <c r="G161" t="inlineStr">
        <is>
          <t>07:38:00</t>
        </is>
      </c>
      <c r="H161" t="n">
        <v>220258900</v>
      </c>
      <c r="I161" t="n">
        <v>220561700</v>
      </c>
      <c r="J161" t="n">
        <v>0</v>
      </c>
      <c r="K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161" t="n">
        <v>1075228904</v>
      </c>
    </row>
    <row r="162">
      <c r="A162" t="n">
        <v>54</v>
      </c>
      <c r="B162" t="n">
        <v>6204</v>
      </c>
      <c r="C162" t="inlineStr">
        <is>
          <t>BELLTECH</t>
        </is>
      </c>
      <c r="D162" t="inlineStr">
        <is>
          <t>BELLTECH</t>
        </is>
      </c>
      <c r="E162" s="3" t="n">
        <v>46087</v>
      </c>
      <c r="F162" s="3" t="n">
        <v>46086</v>
      </c>
      <c r="G162" t="inlineStr">
        <is>
          <t>09:22:00</t>
        </is>
      </c>
      <c r="H162" t="n">
        <v>141733400</v>
      </c>
      <c r="I162" t="n">
        <v>125946850</v>
      </c>
      <c r="J162" t="n">
        <v>1660000</v>
      </c>
      <c r="K162" t="n">
        <v>17535000</v>
      </c>
      <c r="L162" t="n">
        <v>88450</v>
      </c>
      <c r="M162">
        <f>I162-(H162+J162-K162)- L162</f>
        <v/>
      </c>
      <c r="N162">
        <f>IF(M162=0,"Cuadrado",IF(M162&gt;0,"Faltante","Sobrante"))</f>
        <v/>
      </c>
      <c r="O162" t="inlineStr">
        <is>
          <t>El faltante $88.600 es cruzado con sobrante contabilizado el día 03/03/2026 el cual es reversado por la seccion el día 06/03/2025</t>
        </is>
      </c>
      <c r="P162" t="n">
        <v>1019068822</v>
      </c>
    </row>
    <row r="163">
      <c r="A163" t="n">
        <v>178</v>
      </c>
      <c r="B163" t="n">
        <v>6218</v>
      </c>
      <c r="C163" t="inlineStr">
        <is>
          <t>BELLTECH</t>
        </is>
      </c>
      <c r="D163" t="inlineStr">
        <is>
          <t>BELLTECH</t>
        </is>
      </c>
      <c r="E163" s="3" t="n">
        <v>46087</v>
      </c>
      <c r="F163" s="3" t="n">
        <v>46086</v>
      </c>
      <c r="G163" t="inlineStr">
        <is>
          <t>10:06:00</t>
        </is>
      </c>
      <c r="H163" t="n">
        <v>301155400</v>
      </c>
      <c r="I163" t="n">
        <v>298945400</v>
      </c>
      <c r="J163" t="n">
        <v>2590000</v>
      </c>
      <c r="K163" t="n">
        <v>0</v>
      </c>
      <c r="M163">
        <f>I163-(H163+J163-K163)- L163</f>
        <v/>
      </c>
      <c r="N163">
        <f>IF(M163=0,"Cuadrado",IF(M163&gt;0,"Faltante","Sobrante"))</f>
        <v/>
      </c>
      <c r="O163" t="inlineStr">
        <is>
          <t>La diferencia es contabilizada por la Gerencia De Autoservicios y Efectivo de manera centralizada a la cuenta de sobrantes 279510020 el 06/03/2026</t>
        </is>
      </c>
      <c r="P163" t="n">
        <v>79516051</v>
      </c>
    </row>
    <row r="164">
      <c r="A164" t="n">
        <v>231</v>
      </c>
      <c r="B164" t="n">
        <v>6243</v>
      </c>
      <c r="C164" t="inlineStr">
        <is>
          <t>BELLTECH</t>
        </is>
      </c>
      <c r="D164" t="inlineStr">
        <is>
          <t>DIEBOLD</t>
        </is>
      </c>
      <c r="E164" s="3" t="n">
        <v>46087</v>
      </c>
      <c r="F164" s="3" t="n">
        <v>46086</v>
      </c>
      <c r="G164" t="inlineStr">
        <is>
          <t>09:27:00</t>
        </is>
      </c>
      <c r="H164" t="n">
        <v>182345150</v>
      </c>
      <c r="I164" t="n">
        <v>186175150</v>
      </c>
      <c r="J164" t="n">
        <v>7780000</v>
      </c>
      <c r="K164" t="n">
        <v>4000000</v>
      </c>
      <c r="L164" t="n">
        <v>50000</v>
      </c>
      <c r="M164">
        <f>I164-(H164+J164-K164)- L164</f>
        <v/>
      </c>
      <c r="N164">
        <f>IF(M164=0,"Cuadrado",IF(M164&gt;0,"Faltante","Sobrante"))</f>
        <v/>
      </c>
      <c r="O164" t="inlineStr">
        <is>
          <t>El faltante $50.000 es cruzado con sobrante contabilizado el día 04/03/2026 el cual es reversado por la seccion el día 06/03/2025</t>
        </is>
      </c>
      <c r="P164" t="n">
        <v>52979634</v>
      </c>
    </row>
    <row r="165">
      <c r="A165" t="n">
        <v>79</v>
      </c>
      <c r="B165" t="n">
        <v>6245</v>
      </c>
      <c r="C165" t="inlineStr">
        <is>
          <t>BELLTECH</t>
        </is>
      </c>
      <c r="D165" t="inlineStr">
        <is>
          <t>DIEBOLD</t>
        </is>
      </c>
      <c r="E165" s="3" t="n">
        <v>46087</v>
      </c>
      <c r="F165" s="3" t="n">
        <v>46086</v>
      </c>
      <c r="G165" t="inlineStr">
        <is>
          <t>08:35:00</t>
        </is>
      </c>
      <c r="H165" t="n">
        <v>3193400</v>
      </c>
      <c r="I165" t="n">
        <v>201375900</v>
      </c>
      <c r="J165" t="n">
        <v>0</v>
      </c>
      <c r="K165" t="n">
        <v>17488950</v>
      </c>
      <c r="L165" t="n">
        <v>220433000</v>
      </c>
      <c r="M165">
        <f>I165-(H165+J165-K165)- L165</f>
        <v/>
      </c>
      <c r="N165">
        <f>IF(M165=0,"Cuadrado",IF(M165&gt;0,"Faltante","Sobrante"))</f>
        <v/>
      </c>
      <c r="O165" t="inlineStr">
        <is>
          <t>La diferencia es contabilizada por la Gerencia De Autoservicios y Efectivo de manera centralizada a la cuenta de sobrantes 279510020 el 06/03/2026</t>
        </is>
      </c>
      <c r="P165" t="n">
        <v>79772242</v>
      </c>
    </row>
    <row r="166">
      <c r="A166" t="n">
        <v>78</v>
      </c>
      <c r="B166" t="n">
        <v>6246</v>
      </c>
      <c r="C166" t="inlineStr">
        <is>
          <t>BELLTECH</t>
        </is>
      </c>
      <c r="D166" t="inlineStr">
        <is>
          <t>BELLTECH</t>
        </is>
      </c>
      <c r="E166" s="3" t="n">
        <v>46087</v>
      </c>
      <c r="F166" s="3" t="n">
        <v>46086</v>
      </c>
      <c r="G166" t="inlineStr">
        <is>
          <t>07:47:00</t>
        </is>
      </c>
      <c r="H166" t="n">
        <v>179249150</v>
      </c>
      <c r="I166" t="n">
        <v>177039150</v>
      </c>
      <c r="J166" t="n">
        <v>560000</v>
      </c>
      <c r="K166" t="n">
        <v>8020000</v>
      </c>
      <c r="L166" t="n">
        <v>5250000</v>
      </c>
      <c r="M166">
        <f>I166-(H166+J166-K166)- L166</f>
        <v/>
      </c>
      <c r="N166">
        <f>IF(M166=0,"Cuadrado",IF(M166&gt;0,"Faltante","Sobrante"))</f>
        <v/>
      </c>
      <c r="O166" t="inlineStr">
        <is>
          <t>El faltante $5.250.000 es cruzado con sobrante contabilizado el día 04/03/2026 el cual es reversado por la seccion el día 06/03/2025</t>
        </is>
      </c>
      <c r="P166" t="n">
        <v>1098657131</v>
      </c>
    </row>
    <row r="167">
      <c r="A167" t="n">
        <v>718</v>
      </c>
      <c r="B167" t="n">
        <v>6248</v>
      </c>
      <c r="C167" t="inlineStr">
        <is>
          <t>BELLTECH</t>
        </is>
      </c>
      <c r="D167" t="inlineStr">
        <is>
          <t>BELLTECH</t>
        </is>
      </c>
      <c r="E167" s="3" t="n">
        <v>46087</v>
      </c>
      <c r="F167" s="3" t="n">
        <v>46086</v>
      </c>
      <c r="G167" t="inlineStr">
        <is>
          <t>08:35:00</t>
        </is>
      </c>
      <c r="H167" t="n">
        <v>303747800</v>
      </c>
      <c r="I167" t="n">
        <v>304257800</v>
      </c>
      <c r="J167" t="n">
        <v>0</v>
      </c>
      <c r="K167" t="n">
        <v>2000000</v>
      </c>
      <c r="L167" t="n">
        <v>2510000</v>
      </c>
      <c r="M167">
        <f>I167-(H167+J167-K167)- L167</f>
        <v/>
      </c>
      <c r="N167">
        <f>IF(M167=0,"Cuadrado",IF(M167&gt;0,"Faltante","Sobrante"))</f>
        <v/>
      </c>
      <c r="O167" t="inlineStr">
        <is>
          <t>El faltante $2.510.000 es cruzado con sobrante contabilizado el día 04/03/2026 el cual es reversado por la seccion el día 06/03/2025</t>
        </is>
      </c>
      <c r="P167" t="n">
        <v>1110458168</v>
      </c>
    </row>
    <row r="168">
      <c r="A168" t="n">
        <v>337</v>
      </c>
      <c r="B168" t="n">
        <v>6253</v>
      </c>
      <c r="C168" t="inlineStr">
        <is>
          <t>BELLTECH</t>
        </is>
      </c>
      <c r="D168" t="inlineStr">
        <is>
          <t>BELLTECH</t>
        </is>
      </c>
      <c r="E168" s="3" t="n">
        <v>46087</v>
      </c>
      <c r="F168" s="3" t="n">
        <v>46086</v>
      </c>
      <c r="G168" t="inlineStr">
        <is>
          <t>09:33:00</t>
        </is>
      </c>
      <c r="H168" t="n">
        <v>206397700</v>
      </c>
      <c r="I168" t="n">
        <v>209155700</v>
      </c>
      <c r="J168" t="n">
        <v>9590000</v>
      </c>
      <c r="K168" t="n">
        <v>6732000</v>
      </c>
      <c r="M168">
        <f>I168-(H168+J168-K168)- L168</f>
        <v/>
      </c>
      <c r="N168">
        <f>IF(M168=0,"Cuadrado",IF(M168&gt;0,"Faltante","Sobrante"))</f>
        <v/>
      </c>
      <c r="O168" t="inlineStr">
        <is>
          <t>La diferencia es contabilizada por la Gerencia De Autoservicios y Efectivo de manera centralizada a la cuenta de sobrantes 279510020 el 06/03/2026</t>
        </is>
      </c>
      <c r="P168" t="n">
        <v>80386330</v>
      </c>
    </row>
    <row r="169">
      <c r="A169" t="n">
        <v>317</v>
      </c>
      <c r="B169" t="n">
        <v>6613</v>
      </c>
      <c r="C169" t="inlineStr">
        <is>
          <t>DIEBOLD</t>
        </is>
      </c>
      <c r="D169" t="inlineStr">
        <is>
          <t>BELLTECH</t>
        </is>
      </c>
      <c r="E169" s="3" t="n">
        <v>46087</v>
      </c>
      <c r="F169" s="3" t="n">
        <v>46086</v>
      </c>
      <c r="G169" t="inlineStr">
        <is>
          <t>09:10:00</t>
        </is>
      </c>
      <c r="H169" t="n">
        <v>55302000</v>
      </c>
      <c r="I169" t="n">
        <v>318993000</v>
      </c>
      <c r="J169" t="n">
        <v>1550000</v>
      </c>
      <c r="K169" t="n">
        <v>23900000</v>
      </c>
      <c r="L169" t="n">
        <v>302802000</v>
      </c>
      <c r="M169">
        <f>I169-(H169+J169-K169)- L169</f>
        <v/>
      </c>
      <c r="N169">
        <f>IF(M169=0,"Cuadrado",IF(M169&gt;0,"Faltante","Sobrante"))</f>
        <v/>
      </c>
      <c r="O169" t="inlineStr">
        <is>
          <t>La diferencia es contabilizada por la Gerencia De Autoservicios y Efectivo de manera centralizada a la cuenta de sobrantes 279510020 el 06/03/2026</t>
        </is>
      </c>
      <c r="P169" t="n">
        <v>1116796671</v>
      </c>
    </row>
    <row r="170">
      <c r="A170" t="n">
        <v>352</v>
      </c>
      <c r="B170" t="n">
        <v>6618</v>
      </c>
      <c r="C170" t="inlineStr">
        <is>
          <t>BELLTECH</t>
        </is>
      </c>
      <c r="D170" t="inlineStr">
        <is>
          <t>BELLTECH</t>
        </is>
      </c>
      <c r="E170" s="3" t="n">
        <v>46087</v>
      </c>
      <c r="F170" s="3" t="n">
        <v>46086</v>
      </c>
      <c r="G170" t="inlineStr">
        <is>
          <t>10:03:00</t>
        </is>
      </c>
      <c r="H170" t="n">
        <v>168638000</v>
      </c>
      <c r="I170" t="n">
        <v>190430000</v>
      </c>
      <c r="J170" t="n">
        <v>9630000</v>
      </c>
      <c r="K170" t="n">
        <v>650000</v>
      </c>
      <c r="M170">
        <f>I170-(H170+J170-K170)- L170</f>
        <v/>
      </c>
      <c r="N170">
        <f>IF(M170=0,"Cuadrado",IF(M170&gt;0,"Faltante","Sobrante"))</f>
        <v/>
      </c>
      <c r="O170" t="inlineStr">
        <is>
          <t>REPITIERON ARQUEO</t>
        </is>
      </c>
      <c r="P170" t="n">
        <v>28559006</v>
      </c>
    </row>
    <row r="171">
      <c r="A171" t="n">
        <v>138</v>
      </c>
      <c r="B171" t="n">
        <v>6628</v>
      </c>
      <c r="C171" t="inlineStr">
        <is>
          <t>DIEBOLD</t>
        </is>
      </c>
      <c r="D171" t="inlineStr">
        <is>
          <t>DIEBOLD</t>
        </is>
      </c>
      <c r="E171" s="3" t="n">
        <v>46087</v>
      </c>
      <c r="F171" s="3" t="n">
        <v>46086</v>
      </c>
      <c r="G171" t="inlineStr">
        <is>
          <t>10:35:58</t>
        </is>
      </c>
      <c r="H171" t="n">
        <v>121980550</v>
      </c>
      <c r="I171" t="n">
        <v>127215100</v>
      </c>
      <c r="J171" t="n">
        <v>7460000</v>
      </c>
      <c r="K171" t="n">
        <v>12185000</v>
      </c>
      <c r="L171" t="n">
        <v>9959550</v>
      </c>
      <c r="M171">
        <f>I171-(H171+J171-K171)- L171</f>
        <v/>
      </c>
      <c r="N171">
        <f>IF(M171=0,"Cuadrado",IF(M171&gt;0,"Faltante","Sobrante"))</f>
        <v/>
      </c>
      <c r="O171" t="inlineStr">
        <is>
          <t>El faltante $9.960.550 es cruzado con sobrante contabilizado el día 04/03/2026 el cual es reversado por la seccion el día 06/03/2025</t>
        </is>
      </c>
      <c r="P171" t="n">
        <v>1023884092</v>
      </c>
    </row>
    <row r="172">
      <c r="A172" t="n">
        <v>764</v>
      </c>
      <c r="B172" t="n">
        <v>6715</v>
      </c>
      <c r="C172" t="inlineStr">
        <is>
          <t>BELLTECH</t>
        </is>
      </c>
      <c r="D172" t="inlineStr">
        <is>
          <t>BELLTECH</t>
        </is>
      </c>
      <c r="E172" s="3" t="n">
        <v>46087</v>
      </c>
      <c r="F172" s="3" t="n">
        <v>46086</v>
      </c>
      <c r="G172" t="inlineStr">
        <is>
          <t>09:26:00</t>
        </is>
      </c>
      <c r="H172" t="n">
        <v>196916850</v>
      </c>
      <c r="I172" t="n">
        <v>204586850</v>
      </c>
      <c r="J172" t="n">
        <v>14400000</v>
      </c>
      <c r="K172" t="n">
        <v>6670000</v>
      </c>
      <c r="M172">
        <f>I172-(H172+J172-K172)- L172</f>
        <v/>
      </c>
      <c r="N172">
        <f>IF(M172=0,"Cuadrado",IF(M172&gt;0,"Faltante","Sobrante"))</f>
        <v/>
      </c>
      <c r="O172" t="inlineStr">
        <is>
          <t>La diferencia es contabilizada por la Gerencia De Autoservicios y Efectivo de manera centralizada a la cuenta de sobrantes 279510020 el 06/03/2026</t>
        </is>
      </c>
      <c r="P172" t="n">
        <v>1112480917</v>
      </c>
    </row>
    <row r="173">
      <c r="A173" t="n">
        <v>371</v>
      </c>
      <c r="B173" t="n">
        <v>6718</v>
      </c>
      <c r="C173" t="inlineStr">
        <is>
          <t>BELLTECH</t>
        </is>
      </c>
      <c r="D173" t="inlineStr">
        <is>
          <t>BELLTECH</t>
        </is>
      </c>
      <c r="E173" s="3" t="n">
        <v>46087</v>
      </c>
      <c r="F173" s="3" t="n">
        <v>46086</v>
      </c>
      <c r="G173" t="inlineStr">
        <is>
          <t>09:36:00</t>
        </is>
      </c>
      <c r="H173" t="n">
        <v>222075650</v>
      </c>
      <c r="I173" t="n">
        <v>164874650</v>
      </c>
      <c r="J173" t="n">
        <v>6920000</v>
      </c>
      <c r="K173" t="n">
        <v>69476000</v>
      </c>
      <c r="L173" t="n">
        <v>5355000</v>
      </c>
      <c r="M173">
        <f>I173-(H173+J173-K173)- L173</f>
        <v/>
      </c>
      <c r="N173">
        <f>IF(M173=0,"Cuadrado",IF(M173&gt;0,"Faltante","Sobrante"))</f>
        <v/>
      </c>
      <c r="O173" t="inlineStr">
        <is>
          <t>El faltante $5.355.000 es cruzado con sobrante contabilizado el día 04/03/2026 el cual es reversado por la seccion el día 06/03/2025</t>
        </is>
      </c>
      <c r="P173" t="n">
        <v>39279278</v>
      </c>
    </row>
    <row r="174">
      <c r="A174" t="n">
        <v>888</v>
      </c>
      <c r="B174" t="n">
        <v>6818</v>
      </c>
      <c r="C174" t="inlineStr">
        <is>
          <t>BELLTECH</t>
        </is>
      </c>
      <c r="D174" t="inlineStr">
        <is>
          <t>BELLTECH</t>
        </is>
      </c>
      <c r="E174" s="3" t="n">
        <v>46087</v>
      </c>
      <c r="F174" s="3" t="n">
        <v>46086</v>
      </c>
      <c r="G174" t="inlineStr">
        <is>
          <t>14:28:00</t>
        </is>
      </c>
      <c r="H174" t="n">
        <v>518685200</v>
      </c>
      <c r="I174" t="n">
        <v>483375200</v>
      </c>
      <c r="J174" t="n">
        <v>19760000</v>
      </c>
      <c r="K174" t="n">
        <v>54300000</v>
      </c>
      <c r="M174">
        <f>I174-(H174+J174-K174)- L174</f>
        <v/>
      </c>
      <c r="N174">
        <f>IF(M174=0,"Cuadrado",IF(M174&gt;0,"Faltante","Sobrante"))</f>
        <v/>
      </c>
      <c r="O174" t="inlineStr">
        <is>
          <t>La diferencia es contabilizada por la Gerencia De Autoservicios y Efectivo de manera centralizada a la cuenta de sobrantes 279510020 el 06/03/2026</t>
        </is>
      </c>
      <c r="P174" t="n">
        <v>1085921765</v>
      </c>
    </row>
    <row r="175">
      <c r="A175" t="n">
        <v>741</v>
      </c>
      <c r="B175" t="n">
        <v>6843</v>
      </c>
      <c r="C175" t="inlineStr">
        <is>
          <t>DIEBOLD</t>
        </is>
      </c>
      <c r="D175" t="inlineStr">
        <is>
          <t>BELLTECH</t>
        </is>
      </c>
      <c r="E175" s="3" t="n">
        <v>46087</v>
      </c>
      <c r="F175" s="3" t="n">
        <v>46086</v>
      </c>
      <c r="G175" t="inlineStr">
        <is>
          <t>15:30:00</t>
        </is>
      </c>
      <c r="H175" t="n">
        <v>158973650</v>
      </c>
      <c r="I175" t="n">
        <v>202283500</v>
      </c>
      <c r="J175" t="n">
        <v>40000000</v>
      </c>
      <c r="K175" t="n">
        <v>35505000</v>
      </c>
      <c r="M175">
        <f>I175-(H175+J175-K175)- L175</f>
        <v/>
      </c>
      <c r="N175">
        <f>IF(M175=0,"Cuadrado",IF(M175&gt;0,"Faltante","Sobrante"))</f>
        <v/>
      </c>
      <c r="O175" t="inlineStr">
        <is>
          <t xml:space="preserve">ACLARAR DIFERENCIA Y REPETIR EL ARQUEO </t>
        </is>
      </c>
      <c r="P175" t="n">
        <v>1130637714</v>
      </c>
    </row>
    <row r="176">
      <c r="A176" t="n">
        <v>651</v>
      </c>
      <c r="B176" t="n">
        <v>7318</v>
      </c>
      <c r="C176" t="inlineStr">
        <is>
          <t>DIEBOLD</t>
        </is>
      </c>
      <c r="D176" t="inlineStr">
        <is>
          <t>BELLTECH</t>
        </is>
      </c>
      <c r="E176" s="3" t="n">
        <v>46087</v>
      </c>
      <c r="F176" s="3" t="n">
        <v>46086</v>
      </c>
      <c r="G176" t="inlineStr">
        <is>
          <t>14:11:00</t>
        </is>
      </c>
      <c r="H176" t="n">
        <v>118567600</v>
      </c>
      <c r="I176" t="n">
        <v>126485600</v>
      </c>
      <c r="J176" t="n">
        <v>37270000</v>
      </c>
      <c r="K176" t="n">
        <v>27832000</v>
      </c>
      <c r="M176">
        <f>I176-(H176+J176-K176)- L176</f>
        <v/>
      </c>
      <c r="N176">
        <f>IF(M176=0,"Cuadrado",IF(M176&gt;0,"Faltante","Sobrante"))</f>
        <v/>
      </c>
      <c r="O176" t="inlineStr">
        <is>
          <t>La diferencia es contabilizada por la Gerencia De Autoservicios y Efectivo de manera centralizada a la cuenta de sobrantes 279510020 el 06/03/2026</t>
        </is>
      </c>
      <c r="P176" t="n">
        <v>70136398</v>
      </c>
    </row>
    <row r="177">
      <c r="A177" t="n">
        <v>41</v>
      </c>
      <c r="B177" t="n">
        <v>7341</v>
      </c>
      <c r="C177" t="inlineStr">
        <is>
          <t>DIEBOLD</t>
        </is>
      </c>
      <c r="D177" t="inlineStr">
        <is>
          <t>BELLTECH</t>
        </is>
      </c>
      <c r="E177" s="3" t="n">
        <v>46087</v>
      </c>
      <c r="F177" s="3" t="n">
        <v>46086</v>
      </c>
      <c r="G177" t="inlineStr">
        <is>
          <t>08:07:00</t>
        </is>
      </c>
      <c r="H177" t="n">
        <v>106740400</v>
      </c>
      <c r="I177" t="n">
        <v>302280350</v>
      </c>
      <c r="J177" t="n">
        <v>0</v>
      </c>
      <c r="K177" t="n">
        <v>0</v>
      </c>
      <c r="L177" t="n">
        <v>195910000</v>
      </c>
      <c r="M177">
        <f>I177-(H177+J177-K177)- L177</f>
        <v/>
      </c>
      <c r="N177">
        <f>IF(M177=0,"Cuadrado",IF(M177&gt;0,"Faltante","Sobrante"))</f>
        <v/>
      </c>
      <c r="O177" t="inlineStr">
        <is>
          <t>La diferencia es contabilizada por la Gerencia De Autoservicios y Efectivo de manera centralizada a la cuenta de sobrantes 279510020 el 06/03/2026</t>
        </is>
      </c>
      <c r="P177" t="n">
        <v>94508187</v>
      </c>
    </row>
    <row r="178">
      <c r="A178" t="n">
        <v>623</v>
      </c>
      <c r="B178" t="n">
        <v>7375</v>
      </c>
      <c r="C178" t="inlineStr">
        <is>
          <t>BELLTECH</t>
        </is>
      </c>
      <c r="D178" t="inlineStr">
        <is>
          <t>BELLTECH</t>
        </is>
      </c>
      <c r="E178" s="3" t="n">
        <v>46087</v>
      </c>
      <c r="F178" s="3" t="n">
        <v>46086</v>
      </c>
      <c r="G178" t="inlineStr">
        <is>
          <t>09:19:00</t>
        </is>
      </c>
      <c r="H178" t="n">
        <v>181099450</v>
      </c>
      <c r="I178" t="n">
        <v>180959850</v>
      </c>
      <c r="J178" t="n">
        <v>1310000</v>
      </c>
      <c r="K178" t="n">
        <v>1434000</v>
      </c>
      <c r="L178" t="n">
        <v>-15600</v>
      </c>
      <c r="M178">
        <f>I178-(H178+J178-K178)- L178</f>
        <v/>
      </c>
      <c r="N178">
        <f>IF(M178=0,"Cuadrado",IF(M178&gt;0,"Faltante","Sobrante"))</f>
        <v/>
      </c>
      <c r="O178" t="inlineStr">
        <is>
          <t>Cajero cuadrado, sin observación por parte de la sucursal</t>
        </is>
      </c>
      <c r="P178" t="n">
        <v>1012348871</v>
      </c>
    </row>
    <row r="179">
      <c r="A179" t="n">
        <v>944</v>
      </c>
      <c r="B179" t="n">
        <v>8354</v>
      </c>
      <c r="C179" t="inlineStr">
        <is>
          <t>BELLTECH</t>
        </is>
      </c>
      <c r="D179" t="inlineStr">
        <is>
          <t>BELLTECH</t>
        </is>
      </c>
      <c r="E179" s="3" t="n">
        <v>46087</v>
      </c>
      <c r="F179" s="3" t="n">
        <v>46086</v>
      </c>
      <c r="G179" t="inlineStr">
        <is>
          <t>11:48:00</t>
        </is>
      </c>
      <c r="H179" t="n">
        <v>17519050</v>
      </c>
      <c r="I179" t="n">
        <v>255044350</v>
      </c>
      <c r="J179" t="n">
        <v>20220000</v>
      </c>
      <c r="K179" t="n">
        <v>39022700</v>
      </c>
      <c r="L179" t="n">
        <v>256328000</v>
      </c>
      <c r="M179">
        <f>I179-(H179+J179-K179)- L179</f>
        <v/>
      </c>
      <c r="N179">
        <f>IF(M179=0,"Cuadrado",IF(M179&gt;0,"Faltante","Sobrante"))</f>
        <v/>
      </c>
      <c r="O179" t="inlineStr">
        <is>
          <t>El faltante $2.945.000 es cruzado con sobrante contabilizado el día 04/03/2026 el cual es reversado por la seccion el día 06/03/2025</t>
        </is>
      </c>
      <c r="P179" t="n">
        <v>79644034</v>
      </c>
    </row>
    <row r="180">
      <c r="A180" t="n">
        <v>495</v>
      </c>
      <c r="B180" t="n">
        <v>8482</v>
      </c>
      <c r="C180" t="inlineStr">
        <is>
          <t>BELLTECH</t>
        </is>
      </c>
      <c r="D180" t="inlineStr">
        <is>
          <t>DIEBOLD</t>
        </is>
      </c>
      <c r="E180" s="3" t="n">
        <v>46087</v>
      </c>
      <c r="F180" s="3" t="n">
        <v>46086</v>
      </c>
      <c r="G180" t="inlineStr">
        <is>
          <t>10:33:00</t>
        </is>
      </c>
      <c r="H180" t="n">
        <v>153231600</v>
      </c>
      <c r="I180" t="n">
        <v>155683600</v>
      </c>
      <c r="J180" t="n">
        <v>0</v>
      </c>
      <c r="K180" t="n">
        <v>0</v>
      </c>
      <c r="M180">
        <f>I180-(H180+J180-K180)- L180</f>
        <v/>
      </c>
      <c r="N180">
        <f>IF(M180=0,"Cuadrado",IF(M180&gt;0,"Faltante","Sobrante"))</f>
        <v/>
      </c>
      <c r="O180" t="inlineStr">
        <is>
          <t>REPITIERON ARQUEO</t>
        </is>
      </c>
      <c r="P180" t="n">
        <v>1052081923</v>
      </c>
    </row>
    <row r="181">
      <c r="A181" t="n">
        <v>728</v>
      </c>
      <c r="B181" t="n">
        <v>8586</v>
      </c>
      <c r="C181" t="inlineStr">
        <is>
          <t>BELLTECH</t>
        </is>
      </c>
      <c r="D181" t="inlineStr">
        <is>
          <t>BELLTECH</t>
        </is>
      </c>
      <c r="E181" s="3" t="n">
        <v>46087</v>
      </c>
      <c r="F181" s="3" t="n">
        <v>46086</v>
      </c>
      <c r="G181" t="inlineStr">
        <is>
          <t>08:21:00</t>
        </is>
      </c>
      <c r="H181" t="n">
        <v>197400800</v>
      </c>
      <c r="I181" t="n">
        <v>194709800</v>
      </c>
      <c r="J181" t="n">
        <v>6420000</v>
      </c>
      <c r="K181" t="n">
        <v>7000000</v>
      </c>
      <c r="M181">
        <f>I181-(H181+J181-K181)- L181</f>
        <v/>
      </c>
      <c r="N181">
        <f>IF(M181=0,"Cuadrado",IF(M181&gt;0,"Faltante","Sobrante"))</f>
        <v/>
      </c>
      <c r="O181" t="inlineStr">
        <is>
          <t>La diferencia es contabilizada por la Gerencia De Autoservicios y Efectivo de manera centralizada a la cuenta de sobrantes 279510020 el 06/03/2026</t>
        </is>
      </c>
      <c r="P181" t="n">
        <v>1112783690</v>
      </c>
    </row>
    <row r="182">
      <c r="A182" t="n">
        <v>728</v>
      </c>
      <c r="B182" t="n">
        <v>8587</v>
      </c>
      <c r="C182" t="inlineStr">
        <is>
          <t>BELLTECH</t>
        </is>
      </c>
      <c r="D182" t="inlineStr">
        <is>
          <t>BELLTECH</t>
        </is>
      </c>
      <c r="E182" s="3" t="n">
        <v>46087</v>
      </c>
      <c r="F182" s="3" t="n">
        <v>46086</v>
      </c>
      <c r="G182" t="inlineStr">
        <is>
          <t>07:58:00</t>
        </is>
      </c>
      <c r="H182" t="n">
        <v>152249850</v>
      </c>
      <c r="I182" t="n">
        <v>161403850</v>
      </c>
      <c r="J182" t="n">
        <v>9230000</v>
      </c>
      <c r="K182" t="n">
        <v>56000</v>
      </c>
      <c r="M182">
        <f>I182-(H182+J182-K182)- L182</f>
        <v/>
      </c>
      <c r="N182">
        <f>IF(M182=0,"Cuadrado",IF(M182&gt;0,"Faltante","Sobrante"))</f>
        <v/>
      </c>
      <c r="O182" t="inlineStr">
        <is>
          <t>La diferencia es contabilizada por la Gerencia De Autoservicios y Efectivo de manera centralizada a la cuenta de sobrantes 279510020 el 06/03/2026</t>
        </is>
      </c>
      <c r="P182" t="n">
        <v>1112783690</v>
      </c>
    </row>
    <row r="183">
      <c r="A183" t="n">
        <v>78</v>
      </c>
      <c r="B183" t="n">
        <v>8594</v>
      </c>
      <c r="C183" t="inlineStr">
        <is>
          <t>BELLTECH</t>
        </is>
      </c>
      <c r="D183" t="inlineStr">
        <is>
          <t>BELLTECH</t>
        </is>
      </c>
      <c r="E183" s="3" t="n">
        <v>46087</v>
      </c>
      <c r="F183" s="3" t="n">
        <v>46086</v>
      </c>
      <c r="G183" t="inlineStr">
        <is>
          <t>08:33:00</t>
        </is>
      </c>
      <c r="H183" t="n">
        <v>135632050</v>
      </c>
      <c r="I183" t="n">
        <v>147082050</v>
      </c>
      <c r="J183" t="n">
        <v>6040000</v>
      </c>
      <c r="K183" t="n">
        <v>0</v>
      </c>
      <c r="L183" t="n">
        <v>5410000</v>
      </c>
      <c r="M183">
        <f>I183-(H183+J183-K183)- L183</f>
        <v/>
      </c>
      <c r="N183">
        <f>IF(M183=0,"Cuadrado",IF(M183&gt;0,"Faltante","Sobrante"))</f>
        <v/>
      </c>
      <c r="O183" t="inlineStr">
        <is>
          <t>El faltante $5.410.000 es cruzado con sobrante contabilizado el día 04/03/2026 el cual es reversado por la seccion el día 06/03/2025</t>
        </is>
      </c>
      <c r="P183" t="n">
        <v>1098657131</v>
      </c>
    </row>
    <row r="184">
      <c r="A184" t="n">
        <v>60</v>
      </c>
      <c r="B184" t="n">
        <v>8727</v>
      </c>
      <c r="C184" t="inlineStr">
        <is>
          <t>BELLTECH</t>
        </is>
      </c>
      <c r="D184" t="inlineStr">
        <is>
          <t>BELLTECH</t>
        </is>
      </c>
      <c r="E184" s="3" t="n">
        <v>46087</v>
      </c>
      <c r="F184" s="3" t="n">
        <v>46086</v>
      </c>
      <c r="G184" t="inlineStr">
        <is>
          <t>09:55:00</t>
        </is>
      </c>
      <c r="H184" t="n">
        <v>195193800</v>
      </c>
      <c r="I184" t="n">
        <v>160851800</v>
      </c>
      <c r="J184" t="n">
        <v>5040000</v>
      </c>
      <c r="K184" t="n">
        <v>39240000</v>
      </c>
      <c r="M184">
        <f>I184-(H184+J184-K184)- L184</f>
        <v/>
      </c>
      <c r="N184">
        <f>IF(M184=0,"Cuadrado",IF(M184&gt;0,"Faltante","Sobrante"))</f>
        <v/>
      </c>
      <c r="O184" t="inlineStr">
        <is>
          <t>La diferencia es contabilizada por la Gerencia De Autoservicios y Efectivo de manera centralizada a la cuenta de sobrantes 279510020 el 06/03/2026</t>
        </is>
      </c>
      <c r="P184" t="n">
        <v>14697128</v>
      </c>
    </row>
    <row r="185">
      <c r="A185" t="n">
        <v>60</v>
      </c>
      <c r="B185" t="n">
        <v>8728</v>
      </c>
      <c r="C185" t="inlineStr">
        <is>
          <t>DIEBOLD</t>
        </is>
      </c>
      <c r="D185" t="inlineStr">
        <is>
          <t>BELLTECH</t>
        </is>
      </c>
      <c r="E185" s="3" t="n">
        <v>46087</v>
      </c>
      <c r="F185" s="3" t="n">
        <v>46086</v>
      </c>
      <c r="G185" t="inlineStr">
        <is>
          <t>10:16:00</t>
        </is>
      </c>
      <c r="H185" t="n">
        <v>104602550</v>
      </c>
      <c r="I185" t="n">
        <v>108312550</v>
      </c>
      <c r="J185" t="n">
        <v>4550000</v>
      </c>
      <c r="K185" t="n">
        <v>1032000</v>
      </c>
      <c r="M185">
        <f>I185-(H185+J185-K185)- L185</f>
        <v/>
      </c>
      <c r="N185">
        <f>IF(M185=0,"Cuadrado",IF(M185&gt;0,"Faltante","Sobrante"))</f>
        <v/>
      </c>
      <c r="O185" t="inlineStr">
        <is>
          <t>REPITIERON ARQUEO</t>
        </is>
      </c>
      <c r="P185" t="n">
        <v>14697128</v>
      </c>
    </row>
    <row r="186">
      <c r="A186" t="n">
        <v>60</v>
      </c>
      <c r="B186" t="n">
        <v>8729</v>
      </c>
      <c r="C186" t="inlineStr">
        <is>
          <t>BELLTECH</t>
        </is>
      </c>
      <c r="D186" t="inlineStr">
        <is>
          <t>BELLTECH</t>
        </is>
      </c>
      <c r="E186" s="3" t="n">
        <v>46087</v>
      </c>
      <c r="F186" s="3" t="n">
        <v>46086</v>
      </c>
      <c r="G186" t="inlineStr">
        <is>
          <t>10:41:00</t>
        </is>
      </c>
      <c r="H186" t="n">
        <v>118601550</v>
      </c>
      <c r="I186" t="n">
        <v>118662450</v>
      </c>
      <c r="J186" t="n">
        <v>7310000</v>
      </c>
      <c r="K186" t="n">
        <v>7299100</v>
      </c>
      <c r="L186" t="n">
        <v>-10000</v>
      </c>
      <c r="M186">
        <f>I186-(H186+J186-K186)- L186</f>
        <v/>
      </c>
      <c r="N186">
        <f>IF(M186=0,"Cuadrado",IF(M186&gt;0,"Faltante","Sobrante"))</f>
        <v/>
      </c>
      <c r="O186" t="inlineStr">
        <is>
          <t>REPITIERON ARQUEO</t>
        </is>
      </c>
      <c r="P186" t="n">
        <v>14697128</v>
      </c>
    </row>
    <row r="187">
      <c r="A187" t="n">
        <v>225</v>
      </c>
      <c r="B187" t="n">
        <v>8869</v>
      </c>
      <c r="C187" t="inlineStr">
        <is>
          <t>BELLTECH</t>
        </is>
      </c>
      <c r="D187" t="inlineStr">
        <is>
          <t>BELLTECH</t>
        </is>
      </c>
      <c r="E187" s="3" t="n">
        <v>46087</v>
      </c>
      <c r="F187" s="3" t="n">
        <v>46086</v>
      </c>
      <c r="G187" t="inlineStr">
        <is>
          <t>11:59:00</t>
        </is>
      </c>
      <c r="H187" t="n">
        <v>354412750</v>
      </c>
      <c r="I187" t="n">
        <v>368182750</v>
      </c>
      <c r="J187" t="n">
        <v>12460000</v>
      </c>
      <c r="K187" t="n">
        <v>0</v>
      </c>
      <c r="L187" t="n">
        <v>1310000</v>
      </c>
      <c r="M187">
        <f>I187-(H187+J187-K187)- L187</f>
        <v/>
      </c>
      <c r="N187">
        <f>IF(M187=0,"Cuadrado",IF(M187&gt;0,"Faltante","Sobrante"))</f>
        <v/>
      </c>
      <c r="O187" t="inlineStr">
        <is>
          <t>El faltante $1.310.000 es cruzado con sobrante contabilizado el día 04/03/2026 el cual es reversado por la seccion el día 06/03/2025</t>
        </is>
      </c>
      <c r="P187" t="n">
        <v>80212698</v>
      </c>
    </row>
    <row r="188">
      <c r="A188" t="n">
        <v>442</v>
      </c>
      <c r="B188" t="n">
        <v>8888</v>
      </c>
      <c r="C188" t="inlineStr">
        <is>
          <t>BELLTECH</t>
        </is>
      </c>
      <c r="D188" t="inlineStr">
        <is>
          <t>BELLTECH</t>
        </is>
      </c>
      <c r="E188" s="3" t="n">
        <v>46087</v>
      </c>
      <c r="F188" s="3" t="n">
        <v>46086</v>
      </c>
      <c r="G188" t="inlineStr">
        <is>
          <t>15:03:00</t>
        </is>
      </c>
      <c r="H188" t="n">
        <v>244102150</v>
      </c>
      <c r="I188" t="n">
        <v>121207800</v>
      </c>
      <c r="J188" t="n">
        <v>12080000</v>
      </c>
      <c r="K188" t="n">
        <v>133143000</v>
      </c>
      <c r="M188">
        <f>I188-(H188+J188-K188)- L188</f>
        <v/>
      </c>
      <c r="N188">
        <f>IF(M188=0,"Cuadrado",IF(M188&gt;0,"Faltante","Sobrante"))</f>
        <v/>
      </c>
      <c r="O188" t="inlineStr">
        <is>
          <t>La diferencia es contabilizada por la Gerencia De Autoservicios y Efectivo de manera centralizada a la cuenta de sobrantes 279510020 el 06/03/2026</t>
        </is>
      </c>
      <c r="P188" t="n">
        <v>1140853558</v>
      </c>
    </row>
    <row r="189">
      <c r="A189" t="n">
        <v>348</v>
      </c>
      <c r="B189" t="n">
        <v>9009</v>
      </c>
      <c r="C189" t="inlineStr">
        <is>
          <t>BELLTECH</t>
        </is>
      </c>
      <c r="D189" t="inlineStr">
        <is>
          <t>BELLTECH</t>
        </is>
      </c>
      <c r="E189" s="3" t="n">
        <v>46087</v>
      </c>
      <c r="F189" s="3" t="n">
        <v>46086</v>
      </c>
      <c r="G189" t="inlineStr">
        <is>
          <t>09:47:00</t>
        </is>
      </c>
      <c r="H189" t="n">
        <v>47362900</v>
      </c>
      <c r="I189" t="n">
        <v>311105900</v>
      </c>
      <c r="J189" t="n">
        <v>8700000</v>
      </c>
      <c r="K189" t="n">
        <v>54901000</v>
      </c>
      <c r="L189" t="n">
        <v>309944000</v>
      </c>
      <c r="M189">
        <f>I189-(H189+J189-K189)- L189</f>
        <v/>
      </c>
      <c r="N189">
        <f>IF(M189=0,"Cuadrado",IF(M189&gt;0,"Faltante","Sobrante"))</f>
        <v/>
      </c>
      <c r="O189" t="inlineStr">
        <is>
          <t>El faltante $2.374.000 es cruzado con sobrante contabilizado el día 04/03/2026 el cual es reversado por la seccion el día 06/03/2025</t>
        </is>
      </c>
      <c r="P189" t="n">
        <v>1123633014</v>
      </c>
    </row>
    <row r="190">
      <c r="A190" t="n">
        <v>367</v>
      </c>
      <c r="B190" t="n">
        <v>9580</v>
      </c>
      <c r="C190" t="inlineStr">
        <is>
          <t>BELLTECH</t>
        </is>
      </c>
      <c r="D190" t="inlineStr">
        <is>
          <t>BELLTECH</t>
        </is>
      </c>
      <c r="E190" s="3" t="n">
        <v>46087</v>
      </c>
      <c r="F190" s="3" t="n">
        <v>46086</v>
      </c>
      <c r="G190" t="inlineStr">
        <is>
          <t>11:12:00</t>
        </is>
      </c>
      <c r="H190" t="n">
        <v>61065800</v>
      </c>
      <c r="I190" t="n">
        <v>65582800</v>
      </c>
      <c r="J190" t="n">
        <v>22210000</v>
      </c>
      <c r="K190" t="n">
        <v>13800000</v>
      </c>
      <c r="M190">
        <f>I190-(H190+J190-K190)- L190</f>
        <v/>
      </c>
      <c r="N190">
        <f>IF(M190=0,"Cuadrado",IF(M190&gt;0,"Faltante","Sobrante"))</f>
        <v/>
      </c>
      <c r="O190" t="inlineStr">
        <is>
          <t>La diferencia es contabilizada por la Gerencia De Autoservicios y Efectivo de manera centralizada a la cuenta de sobrantes 279510020 el 06/03/2026</t>
        </is>
      </c>
      <c r="P190" t="n">
        <v>35264438</v>
      </c>
    </row>
    <row r="191">
      <c r="A191" t="n">
        <v>229</v>
      </c>
      <c r="B191" t="n">
        <v>9604</v>
      </c>
      <c r="C191" t="inlineStr">
        <is>
          <t>BELLTECH</t>
        </is>
      </c>
      <c r="D191" t="inlineStr">
        <is>
          <t>BELLTECH</t>
        </is>
      </c>
      <c r="E191" s="3" t="n">
        <v>46087</v>
      </c>
      <c r="F191" s="3" t="n">
        <v>46086</v>
      </c>
      <c r="G191" t="inlineStr">
        <is>
          <t>11:46:00</t>
        </is>
      </c>
      <c r="H191" t="n">
        <v>205966000</v>
      </c>
      <c r="I191" t="n">
        <v>195800100</v>
      </c>
      <c r="J191" t="n">
        <v>12880000</v>
      </c>
      <c r="K191" t="n">
        <v>22644950</v>
      </c>
      <c r="M191">
        <f>I191-(H191+J191-K191)- L191</f>
        <v/>
      </c>
      <c r="N191">
        <f>IF(M191=0,"Cuadrado",IF(M191&gt;0,"Faltante","Sobrante"))</f>
        <v/>
      </c>
      <c r="O191" t="inlineStr">
        <is>
          <t>La diferencia es contabilizada por la Gerencia De Autoservicios y Efectivo de manera centralizada a la cuenta de sobrantes 279510020 el 06/03/2026</t>
        </is>
      </c>
      <c r="P191" t="n">
        <v>79653318</v>
      </c>
    </row>
    <row r="192">
      <c r="A192" t="n">
        <v>623</v>
      </c>
      <c r="B192" t="n">
        <v>5047</v>
      </c>
      <c r="C192" t="inlineStr">
        <is>
          <t>BELLTECH</t>
        </is>
      </c>
      <c r="D192" t="inlineStr">
        <is>
          <t>BELLTECH</t>
        </is>
      </c>
      <c r="E192" s="3" t="n">
        <v>46087</v>
      </c>
      <c r="F192" s="3" t="n">
        <v>46086</v>
      </c>
      <c r="G192" t="inlineStr">
        <is>
          <t>09:45:00</t>
        </is>
      </c>
      <c r="H192" t="n">
        <v>203519800</v>
      </c>
      <c r="I192" t="n">
        <v>191719800</v>
      </c>
      <c r="J192" t="n">
        <v>900000</v>
      </c>
      <c r="K192" t="n">
        <v>12700000</v>
      </c>
      <c r="M192">
        <f>I192-(H192+J192-K192)- L192</f>
        <v/>
      </c>
      <c r="N192">
        <f>IF(M192=0,"Cuadrado",IF(M192&gt;0,"Faltante","Sobrante"))</f>
        <v/>
      </c>
      <c r="O192" t="inlineStr">
        <is>
          <t>Cajero cuadrado, sin observación por parte de la sucursal</t>
        </is>
      </c>
      <c r="P192" t="n">
        <v>1012348871</v>
      </c>
    </row>
    <row r="193">
      <c r="A193" t="n">
        <v>392</v>
      </c>
      <c r="B193" t="n">
        <v>5064</v>
      </c>
      <c r="C193" t="inlineStr">
        <is>
          <t>BELLTECH</t>
        </is>
      </c>
      <c r="D193" t="inlineStr">
        <is>
          <t>BELLTECH</t>
        </is>
      </c>
      <c r="E193" s="3" t="n">
        <v>46087</v>
      </c>
      <c r="F193" s="3" t="n">
        <v>46086</v>
      </c>
      <c r="G193" t="inlineStr">
        <is>
          <t>08:42:00</t>
        </is>
      </c>
      <c r="H193" t="n">
        <v>289959150</v>
      </c>
      <c r="I193" t="n">
        <v>297569150</v>
      </c>
      <c r="J193" t="n">
        <v>7610000</v>
      </c>
      <c r="K193" t="n">
        <v>0</v>
      </c>
      <c r="M193">
        <f>I193-(H193+J193-K193)- L193</f>
        <v/>
      </c>
      <c r="N193">
        <f>IF(M193=0,"Cuadrado",IF(M193&gt;0,"Faltante","Sobrante"))</f>
        <v/>
      </c>
      <c r="O193" t="inlineStr">
        <is>
          <t>Cajero cuadrado, sin observación por parte de la sucursal</t>
        </is>
      </c>
      <c r="P193" t="n">
        <v>1054547012</v>
      </c>
    </row>
    <row r="194">
      <c r="A194" t="n">
        <v>115</v>
      </c>
      <c r="B194" t="n">
        <v>5080</v>
      </c>
      <c r="C194" t="inlineStr">
        <is>
          <t>BELLTECH</t>
        </is>
      </c>
      <c r="D194" t="inlineStr">
        <is>
          <t>BELLTECH</t>
        </is>
      </c>
      <c r="E194" s="3" t="n">
        <v>46087</v>
      </c>
      <c r="F194" s="3" t="n">
        <v>46086</v>
      </c>
      <c r="G194" t="inlineStr">
        <is>
          <t>09:13:00</t>
        </is>
      </c>
      <c r="H194" t="n">
        <v>114724600</v>
      </c>
      <c r="I194" t="n">
        <v>104641600</v>
      </c>
      <c r="J194" t="n">
        <v>5250000</v>
      </c>
      <c r="K194" t="n">
        <v>15333000</v>
      </c>
      <c r="M194">
        <f>I194-(H194+J194-K194)- L194</f>
        <v/>
      </c>
      <c r="N194">
        <f>IF(M194=0,"Cuadrado",IF(M194&gt;0,"Faltante","Sobrante"))</f>
        <v/>
      </c>
      <c r="O194" t="inlineStr">
        <is>
          <t>Cajero cuadrado, sin observación por parte de la sucursal</t>
        </is>
      </c>
      <c r="P194" t="n">
        <v>42158306</v>
      </c>
    </row>
    <row r="195">
      <c r="A195" t="n">
        <v>571</v>
      </c>
      <c r="B195" t="n">
        <v>6150</v>
      </c>
      <c r="C195" t="inlineStr">
        <is>
          <t>BELLTECH</t>
        </is>
      </c>
      <c r="D195" t="inlineStr">
        <is>
          <t>BELLTECH</t>
        </is>
      </c>
      <c r="E195" s="3" t="n">
        <v>46087</v>
      </c>
      <c r="F195" s="3" t="n">
        <v>46086</v>
      </c>
      <c r="G195" t="inlineStr">
        <is>
          <t>10:18:00</t>
        </is>
      </c>
      <c r="H195" t="n">
        <v>242897600</v>
      </c>
      <c r="I195" t="n">
        <v>223325700</v>
      </c>
      <c r="J195" t="n">
        <v>4240000</v>
      </c>
      <c r="K195" t="n">
        <v>23811900</v>
      </c>
      <c r="M195">
        <f>I195-(H195+J195-K195)- L195</f>
        <v/>
      </c>
      <c r="N195">
        <f>IF(M195=0,"Cuadrado",IF(M195&gt;0,"Faltante","Sobrante"))</f>
        <v/>
      </c>
      <c r="O195" t="inlineStr">
        <is>
          <t>Cajero cuadrado, sin observación por parte de la sucursal</t>
        </is>
      </c>
      <c r="P195" t="n">
        <v>53159749</v>
      </c>
    </row>
    <row r="196">
      <c r="A196" t="n">
        <v>37</v>
      </c>
      <c r="B196" t="n">
        <v>6406</v>
      </c>
      <c r="C196" t="inlineStr">
        <is>
          <t>BELLTECH</t>
        </is>
      </c>
      <c r="D196" t="inlineStr">
        <is>
          <t>BELLTECH</t>
        </is>
      </c>
      <c r="E196" s="3" t="n">
        <v>46087</v>
      </c>
      <c r="F196" s="3" t="n">
        <v>46086</v>
      </c>
      <c r="G196" t="inlineStr">
        <is>
          <t>11:06:00</t>
        </is>
      </c>
      <c r="H196" t="n">
        <v>52402600</v>
      </c>
      <c r="I196" t="n">
        <v>72470600</v>
      </c>
      <c r="J196" t="n">
        <v>31540000</v>
      </c>
      <c r="K196" t="n">
        <v>11472000</v>
      </c>
      <c r="M196">
        <f>I196-(H196+J196-K196)- L196</f>
        <v/>
      </c>
      <c r="N196">
        <f>IF(M196=0,"Cuadrado",IF(M196&gt;0,"Faltante","Sobrante"))</f>
        <v/>
      </c>
      <c r="O196" t="inlineStr">
        <is>
          <t>Cajero cuadrado, sin observación por parte de la sucursal</t>
        </is>
      </c>
      <c r="P196" t="n">
        <v>1018444239</v>
      </c>
    </row>
    <row r="197">
      <c r="A197" t="n">
        <v>658</v>
      </c>
      <c r="B197" t="n">
        <v>7074</v>
      </c>
      <c r="C197" t="inlineStr">
        <is>
          <t>DIEBOLD</t>
        </is>
      </c>
      <c r="D197" t="inlineStr">
        <is>
          <t>DIEBOLD</t>
        </is>
      </c>
      <c r="E197" s="3" t="n">
        <v>46087</v>
      </c>
      <c r="F197" s="3" t="n">
        <v>46086</v>
      </c>
      <c r="G197" t="inlineStr">
        <is>
          <t>11:21:00</t>
        </is>
      </c>
      <c r="H197" t="n">
        <v>131652250</v>
      </c>
      <c r="I197" t="n">
        <v>133680750</v>
      </c>
      <c r="J197" t="n">
        <v>9600000</v>
      </c>
      <c r="K197" t="n">
        <v>7571500</v>
      </c>
      <c r="M197">
        <f>I197-(H197+J197-K197)- L197</f>
        <v/>
      </c>
      <c r="N197">
        <f>IF(M197=0,"Cuadrado",IF(M197&gt;0,"Faltante","Sobrante"))</f>
        <v/>
      </c>
      <c r="O197" t="inlineStr">
        <is>
          <t>Cajero cuadrado, sin observación por parte de la sucursal</t>
        </is>
      </c>
      <c r="P197" t="n">
        <v>53000424</v>
      </c>
    </row>
    <row r="198">
      <c r="A198" t="n">
        <v>233</v>
      </c>
      <c r="B198" t="n">
        <v>7212</v>
      </c>
      <c r="C198" t="inlineStr">
        <is>
          <t>BELLTECH</t>
        </is>
      </c>
      <c r="D198" t="inlineStr">
        <is>
          <t>BELLTECH</t>
        </is>
      </c>
      <c r="E198" s="3" t="n">
        <v>46087</v>
      </c>
      <c r="F198" s="3" t="n">
        <v>46086</v>
      </c>
      <c r="G198" t="inlineStr">
        <is>
          <t>12:22:00</t>
        </is>
      </c>
      <c r="H198" t="n">
        <v>118171400</v>
      </c>
      <c r="I198" t="n">
        <v>127957400</v>
      </c>
      <c r="J198" t="n">
        <v>23960000</v>
      </c>
      <c r="K198" t="n">
        <v>14174000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Cajero cuadrado, sin observación por parte de la sucursal</t>
        </is>
      </c>
      <c r="P198" t="n">
        <v>80271480</v>
      </c>
    </row>
    <row r="199">
      <c r="A199" t="n">
        <v>389</v>
      </c>
      <c r="B199" t="n">
        <v>7327</v>
      </c>
      <c r="C199" t="inlineStr">
        <is>
          <t>DIEBOLD</t>
        </is>
      </c>
      <c r="D199" t="inlineStr">
        <is>
          <t>BELLTECH</t>
        </is>
      </c>
      <c r="E199" s="3" t="n">
        <v>46087</v>
      </c>
      <c r="F199" s="3" t="n">
        <v>46086</v>
      </c>
      <c r="G199" t="inlineStr">
        <is>
          <t>07:51:00</t>
        </is>
      </c>
      <c r="H199" t="n">
        <v>123987850</v>
      </c>
      <c r="I199" t="n">
        <v>124047850</v>
      </c>
      <c r="J199" t="n">
        <v>60000</v>
      </c>
      <c r="K199" t="n">
        <v>0</v>
      </c>
      <c r="M199">
        <f>I199-(H199+J199-K199)- L199</f>
        <v/>
      </c>
      <c r="N199">
        <f>IF(M199=0,"Cuadrado",IF(M199&gt;0,"Faltante","Sobrante"))</f>
        <v/>
      </c>
      <c r="O199" t="inlineStr">
        <is>
          <t>Cajero cuadrado, sin observación por parte de la sucursal</t>
        </is>
      </c>
      <c r="P199" t="n">
        <v>14319846</v>
      </c>
    </row>
    <row r="200">
      <c r="A200" t="n">
        <v>866</v>
      </c>
      <c r="B200" t="n">
        <v>8662</v>
      </c>
      <c r="C200" t="inlineStr">
        <is>
          <t>BELLTECH</t>
        </is>
      </c>
      <c r="D200" t="inlineStr">
        <is>
          <t>BELLTECH</t>
        </is>
      </c>
      <c r="E200" s="3" t="n">
        <v>46087</v>
      </c>
      <c r="F200" s="3" t="n">
        <v>46086</v>
      </c>
      <c r="G200" t="inlineStr">
        <is>
          <t>09:34:00</t>
        </is>
      </c>
      <c r="H200" t="n">
        <v>222373450</v>
      </c>
      <c r="I200" t="n">
        <v>250073450</v>
      </c>
      <c r="J200" t="n">
        <v>27700000</v>
      </c>
      <c r="K200" t="n">
        <v>0</v>
      </c>
      <c r="M200">
        <f>I200-(H200+J200-K200)- L200</f>
        <v/>
      </c>
      <c r="N200">
        <f>IF(M200=0,"Cuadrado",IF(M200&gt;0,"Faltante","Sobrante"))</f>
        <v/>
      </c>
      <c r="O200" t="inlineStr">
        <is>
          <t>Cajero cuadrado, sin observación por parte de la sucursal</t>
        </is>
      </c>
      <c r="P200" t="n">
        <v>1113674245</v>
      </c>
    </row>
    <row r="201">
      <c r="A201" t="n">
        <v>33</v>
      </c>
      <c r="B201" t="n">
        <v>8861</v>
      </c>
      <c r="C201" t="inlineStr">
        <is>
          <t>BELLTECH</t>
        </is>
      </c>
      <c r="D201" t="inlineStr">
        <is>
          <t>BELLTECH</t>
        </is>
      </c>
      <c r="E201" s="3" t="n">
        <v>46087</v>
      </c>
      <c r="F201" s="3" t="n">
        <v>46086</v>
      </c>
      <c r="G201" t="inlineStr">
        <is>
          <t>13:59:00</t>
        </is>
      </c>
      <c r="H201" t="n">
        <v>150039000</v>
      </c>
      <c r="I201" t="n">
        <v>178218000</v>
      </c>
      <c r="J201" t="n">
        <v>40400000</v>
      </c>
      <c r="K201" t="n">
        <v>12221000</v>
      </c>
      <c r="M201">
        <f>I201-(H201+J201-K201)- L201</f>
        <v/>
      </c>
      <c r="N201">
        <f>IF(M201=0,"Cuadrado",IF(M201&gt;0,"Faltante","Sobrante"))</f>
        <v/>
      </c>
      <c r="O201" t="inlineStr">
        <is>
          <t>Cajero cuadrado, sin observación por parte de la sucursal</t>
        </is>
      </c>
      <c r="P201" t="n">
        <v>79659379</v>
      </c>
    </row>
    <row r="202">
      <c r="A202" t="n">
        <v>333</v>
      </c>
      <c r="B202" t="n">
        <v>442</v>
      </c>
      <c r="C202" t="inlineStr">
        <is>
          <t>DIEBOLD</t>
        </is>
      </c>
      <c r="D202" t="inlineStr">
        <is>
          <t>DIEBOLD</t>
        </is>
      </c>
      <c r="E202" s="3" t="n">
        <v>46090</v>
      </c>
      <c r="F202" s="3" t="n">
        <v>46087</v>
      </c>
      <c r="G202" t="inlineStr">
        <is>
          <t>15:21:00</t>
        </is>
      </c>
      <c r="H202" t="n">
        <v>224676050</v>
      </c>
      <c r="I202" t="n">
        <v>311601350</v>
      </c>
      <c r="J202" t="n">
        <v>25030000</v>
      </c>
      <c r="K202" t="n">
        <v>81249200</v>
      </c>
      <c r="M202">
        <f>I202-(H202+J202-K202)- L202</f>
        <v/>
      </c>
      <c r="N202">
        <f>IF(M202=0,"Cuadrado",IF(M202&gt;0,"Faltante","Sobrante"))</f>
        <v/>
      </c>
      <c r="O202" t="inlineStr">
        <is>
          <t>REPITIERON ARQUEO</t>
        </is>
      </c>
      <c r="P202" t="n">
        <v>1036606819</v>
      </c>
    </row>
    <row r="203">
      <c r="A203" t="n">
        <v>214</v>
      </c>
      <c r="B203" t="n">
        <v>1469</v>
      </c>
      <c r="C203" t="inlineStr">
        <is>
          <t>BELLTECH</t>
        </is>
      </c>
      <c r="D203" t="inlineStr">
        <is>
          <t>BELLTECH</t>
        </is>
      </c>
      <c r="E203" s="3" t="n">
        <v>46090</v>
      </c>
      <c r="F203" s="3" t="n">
        <v>46086</v>
      </c>
      <c r="G203" t="inlineStr">
        <is>
          <t>15:11:00</t>
        </is>
      </c>
      <c r="H203" t="n">
        <v>201139500</v>
      </c>
      <c r="I203" t="n">
        <v>176098200</v>
      </c>
      <c r="J203" t="n">
        <v>15560000</v>
      </c>
      <c r="K203" t="n">
        <v>45367700</v>
      </c>
      <c r="L203" t="n">
        <v>2350700</v>
      </c>
      <c r="M203">
        <f>I203-(H203+J203-K203)- L203</f>
        <v/>
      </c>
      <c r="N203">
        <f>IF(M203=0,"Cuadrado",IF(M203&gt;0,"Faltante","Sobrante"))</f>
        <v/>
      </c>
      <c r="O203" t="inlineStr">
        <is>
          <t xml:space="preserve"> El faltante $2.350.700 es cruzado con sobrante contabilizado el día 04/03/2026 el cual es reversado por la seccion el día 09/03/2025
REPITIERON ARQUEO</t>
        </is>
      </c>
      <c r="P203" t="n">
        <v>1143387256</v>
      </c>
    </row>
    <row r="204">
      <c r="A204" t="n">
        <v>438</v>
      </c>
      <c r="B204" t="n">
        <v>1565</v>
      </c>
      <c r="C204" t="inlineStr">
        <is>
          <t>BELLTECH</t>
        </is>
      </c>
      <c r="D204" t="inlineStr">
        <is>
          <t>BELLTECH</t>
        </is>
      </c>
      <c r="E204" s="3" t="n">
        <v>46090</v>
      </c>
      <c r="F204" s="3" t="n">
        <v>46087</v>
      </c>
      <c r="G204" t="inlineStr">
        <is>
          <t>08:42:57</t>
        </is>
      </c>
      <c r="H204" t="n">
        <v>112070150</v>
      </c>
      <c r="I204" t="n">
        <v>129200150</v>
      </c>
      <c r="J204" t="n">
        <v>9880000</v>
      </c>
      <c r="K204" t="n">
        <v>810000</v>
      </c>
      <c r="L204" t="n">
        <v>7060000</v>
      </c>
      <c r="M204">
        <f>I204-(H204+J204-K204)- L204</f>
        <v/>
      </c>
      <c r="N204">
        <f>IF(M204=0,"Cuadrado",IF(M204&gt;0,"Faltante","Sobrante"))</f>
        <v/>
      </c>
      <c r="O204" t="inlineStr">
        <is>
          <t>ACLARAR DIFERENCIA Y REPETIR EL ARQUEO El faltante $7.060.000 es cruzado con sobrante contabilizado el día 04/03/2026 y sobrante contabilizado el día 06/03/2026 $40.000 el cual es reversado por la seccion el día 09/03/2025</t>
        </is>
      </c>
      <c r="P204" t="n">
        <v>1027887603</v>
      </c>
    </row>
    <row r="205">
      <c r="A205" t="n">
        <v>333</v>
      </c>
      <c r="B205" t="n">
        <v>5076</v>
      </c>
      <c r="C205" t="inlineStr">
        <is>
          <t>BELLTECH</t>
        </is>
      </c>
      <c r="D205" t="inlineStr">
        <is>
          <t>BELLTECH</t>
        </is>
      </c>
      <c r="E205" s="3" t="n">
        <v>46090</v>
      </c>
      <c r="F205" s="3" t="n">
        <v>46087</v>
      </c>
      <c r="G205" t="inlineStr">
        <is>
          <t>15:40:00</t>
        </is>
      </c>
      <c r="H205" t="n">
        <v>86800500</v>
      </c>
      <c r="I205" t="n">
        <v>475724300</v>
      </c>
      <c r="J205" t="n">
        <v>22600000</v>
      </c>
      <c r="K205" t="n">
        <v>50817000</v>
      </c>
      <c r="L205" t="n">
        <v>319775000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REPITIERON ARQUEO</t>
        </is>
      </c>
      <c r="P205" t="n">
        <v>1036606819</v>
      </c>
    </row>
    <row r="206">
      <c r="A206" t="n">
        <v>197</v>
      </c>
      <c r="B206" t="n">
        <v>5084</v>
      </c>
      <c r="C206" t="inlineStr">
        <is>
          <t>BELLTECH</t>
        </is>
      </c>
      <c r="D206" t="inlineStr">
        <is>
          <t>BELLTECH</t>
        </is>
      </c>
      <c r="E206" s="3" t="n">
        <v>46090</v>
      </c>
      <c r="F206" s="3" t="n">
        <v>46087</v>
      </c>
      <c r="G206" t="inlineStr">
        <is>
          <t>08:13:00</t>
        </is>
      </c>
      <c r="H206" t="n">
        <v>500452950</v>
      </c>
      <c r="I206" t="n">
        <v>479702950</v>
      </c>
      <c r="J206" t="n">
        <v>0</v>
      </c>
      <c r="K206" t="n">
        <v>17850000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La diferencia es contabilizada por la Gerencia De Autoservicios y Efectivo de manera centralizada a la cuenta de sobrantes 279510020 el 09/03/2026</t>
        </is>
      </c>
      <c r="P206" t="n">
        <v>1065652660</v>
      </c>
    </row>
    <row r="207">
      <c r="A207" t="n">
        <v>659</v>
      </c>
      <c r="B207" t="n">
        <v>5102</v>
      </c>
      <c r="C207" t="inlineStr">
        <is>
          <t>BELLTECH</t>
        </is>
      </c>
      <c r="D207" t="inlineStr">
        <is>
          <t>BELLTECH</t>
        </is>
      </c>
      <c r="E207" s="3" t="n">
        <v>46090</v>
      </c>
      <c r="F207" s="3" t="n">
        <v>46087</v>
      </c>
      <c r="G207" t="inlineStr">
        <is>
          <t>08:55:00</t>
        </is>
      </c>
      <c r="H207" t="n">
        <v>187313950</v>
      </c>
      <c r="I207" t="n">
        <v>197533950</v>
      </c>
      <c r="J207" t="n">
        <v>19910000</v>
      </c>
      <c r="K207" t="n">
        <v>9720000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07" t="n">
        <v>39575034</v>
      </c>
    </row>
    <row r="208">
      <c r="A208" t="n">
        <v>511</v>
      </c>
      <c r="B208" t="n">
        <v>5122</v>
      </c>
      <c r="C208" t="inlineStr">
        <is>
          <t>BELLTECH</t>
        </is>
      </c>
      <c r="D208" t="inlineStr">
        <is>
          <t>BELLTECH</t>
        </is>
      </c>
      <c r="E208" s="3" t="n">
        <v>46090</v>
      </c>
      <c r="F208" s="3" t="n">
        <v>46087</v>
      </c>
      <c r="G208" t="inlineStr">
        <is>
          <t>14:50:00</t>
        </is>
      </c>
      <c r="H208" t="n">
        <v>213679800</v>
      </c>
      <c r="I208" t="n">
        <v>151493550</v>
      </c>
      <c r="J208" t="n">
        <v>22830000</v>
      </c>
      <c r="K208" t="n">
        <v>85016200</v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09/03/2026</t>
        </is>
      </c>
      <c r="P208" t="n">
        <v>1152438348</v>
      </c>
    </row>
    <row r="209">
      <c r="A209" t="n">
        <v>101</v>
      </c>
      <c r="B209" t="n">
        <v>5128</v>
      </c>
      <c r="C209" t="inlineStr">
        <is>
          <t>BELLTECH</t>
        </is>
      </c>
      <c r="D209" t="inlineStr">
        <is>
          <t>BELLTECH</t>
        </is>
      </c>
      <c r="E209" s="3" t="n">
        <v>46090</v>
      </c>
      <c r="F209" s="3" t="n">
        <v>46087</v>
      </c>
      <c r="G209" t="inlineStr">
        <is>
          <t>11:53:00</t>
        </is>
      </c>
      <c r="H209" t="n">
        <v>269904400</v>
      </c>
      <c r="I209" t="n">
        <v>173597900</v>
      </c>
      <c r="J209" t="n">
        <v>17440000</v>
      </c>
      <c r="K209" t="n">
        <v>108350000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09/03/2026</t>
        </is>
      </c>
      <c r="P209" t="n">
        <v>1033724729</v>
      </c>
    </row>
    <row r="210">
      <c r="A210" t="n">
        <v>829</v>
      </c>
      <c r="B210" t="n">
        <v>5137</v>
      </c>
      <c r="C210" t="inlineStr">
        <is>
          <t>BELLTECH</t>
        </is>
      </c>
      <c r="D210" t="inlineStr">
        <is>
          <t>BELLTECH</t>
        </is>
      </c>
      <c r="E210" s="3" t="n">
        <v>46090</v>
      </c>
      <c r="F210" s="3" t="n">
        <v>46087</v>
      </c>
      <c r="G210" t="inlineStr">
        <is>
          <t>08:35:00</t>
        </is>
      </c>
      <c r="H210" t="n">
        <v>277574300</v>
      </c>
      <c r="I210" t="n">
        <v>229823300</v>
      </c>
      <c r="J210" t="n">
        <v>4670000</v>
      </c>
      <c r="K210" t="n">
        <v>44900000</v>
      </c>
      <c r="M210">
        <f>I210-(H210+J210-K210)- L210</f>
        <v/>
      </c>
      <c r="N210">
        <f>IF(M210=0,"Cuadrado",IF(M210&gt;0,"Faltante","Sobrante"))</f>
        <v/>
      </c>
      <c r="O210" t="inlineStr">
        <is>
          <t>La diferencia es contabilizada por la Gerencia De Autoservicios y Efectivo de manera centralizada a la cuenta de sobrantes 279510020 el 09/03/2026</t>
        </is>
      </c>
      <c r="P210" t="n">
        <v>31306454</v>
      </c>
    </row>
    <row r="211">
      <c r="A211" t="n">
        <v>70</v>
      </c>
      <c r="B211" t="n">
        <v>5164</v>
      </c>
      <c r="C211" t="inlineStr">
        <is>
          <t>BELLTECH</t>
        </is>
      </c>
      <c r="D211" t="inlineStr">
        <is>
          <t>BELLTECH</t>
        </is>
      </c>
      <c r="E211" s="3" t="n">
        <v>46090</v>
      </c>
      <c r="F211" s="3" t="n">
        <v>46087</v>
      </c>
      <c r="G211" t="inlineStr">
        <is>
          <t>09:52:00</t>
        </is>
      </c>
      <c r="H211" t="n">
        <v>328925950</v>
      </c>
      <c r="I211" t="n">
        <v>325082100</v>
      </c>
      <c r="J211" t="n">
        <v>10040000</v>
      </c>
      <c r="K211" t="n">
        <v>17348850</v>
      </c>
      <c r="L211" t="n">
        <v>3465000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El faltante $3.465.000 es cruzado con sobrante contabilizado el día 05/03/2026 el cual es reversado por la seccion el día 09/03/2025</t>
        </is>
      </c>
      <c r="P211" t="n">
        <v>30231139</v>
      </c>
    </row>
    <row r="212">
      <c r="A212" t="n">
        <v>844</v>
      </c>
      <c r="B212" t="n">
        <v>6169</v>
      </c>
      <c r="C212" t="inlineStr">
        <is>
          <t>BELLTECH</t>
        </is>
      </c>
      <c r="D212" t="inlineStr">
        <is>
          <t>BELLTECH</t>
        </is>
      </c>
      <c r="E212" s="3" t="n">
        <v>46090</v>
      </c>
      <c r="F212" s="3" t="n">
        <v>46087</v>
      </c>
      <c r="G212" t="inlineStr">
        <is>
          <t>16:26:00</t>
        </is>
      </c>
      <c r="H212" t="n">
        <v>203337200</v>
      </c>
      <c r="I212" t="n">
        <v>488435650</v>
      </c>
      <c r="J212" t="n">
        <v>17820000</v>
      </c>
      <c r="K212" t="n">
        <v>206797950</v>
      </c>
      <c r="L212" t="n">
        <v>261131000</v>
      </c>
      <c r="M212">
        <f>I212-(H212+J212-K212)- L212</f>
        <v/>
      </c>
      <c r="N212">
        <f>IF(M212=0,"Cuadrado",IF(M212&gt;0,"Faltante","Sobrante"))</f>
        <v/>
      </c>
      <c r="O212" t="inlineStr">
        <is>
          <t>REPITIERON ARQUEO</t>
        </is>
      </c>
      <c r="P212" t="n">
        <v>86058432</v>
      </c>
    </row>
    <row r="213">
      <c r="A213" t="n">
        <v>236</v>
      </c>
      <c r="B213" t="n">
        <v>6242</v>
      </c>
      <c r="C213" t="inlineStr">
        <is>
          <t>BELLTECH</t>
        </is>
      </c>
      <c r="D213" t="inlineStr">
        <is>
          <t>BELLTECH</t>
        </is>
      </c>
      <c r="E213" s="3" t="n">
        <v>46090</v>
      </c>
      <c r="F213" s="3" t="n">
        <v>46087</v>
      </c>
      <c r="G213" t="inlineStr">
        <is>
          <t>15:27:00</t>
        </is>
      </c>
      <c r="H213" t="n">
        <v>137373500</v>
      </c>
      <c r="I213" t="n">
        <v>251443100</v>
      </c>
      <c r="J213" t="n">
        <v>48800000</v>
      </c>
      <c r="K213" t="n">
        <v>80529400</v>
      </c>
      <c r="L213" t="inlineStr">
        <is>
          <t>173,319,000</t>
        </is>
      </c>
      <c r="M213">
        <f>I213-(H213+J213-K213)- L213</f>
        <v/>
      </c>
      <c r="N213">
        <f>IF(M213=0,"Cuadrado",IF(M213&gt;0,"Faltante","Sobrante"))</f>
        <v/>
      </c>
      <c r="O213" t="inlineStr">
        <is>
          <t>La diferencia es contabilizada por la Gerencia De Autoservicios y Efectivo de manera centralizada a la cuenta de sobrantes 279510020 el 09/03/2026</t>
        </is>
      </c>
      <c r="P213" t="n">
        <v>71369714</v>
      </c>
    </row>
    <row r="214">
      <c r="A214" t="n">
        <v>96</v>
      </c>
      <c r="B214" t="n">
        <v>6735</v>
      </c>
      <c r="C214" t="inlineStr">
        <is>
          <t>BELLTECH</t>
        </is>
      </c>
      <c r="D214" t="inlineStr">
        <is>
          <t>BELLTECH</t>
        </is>
      </c>
      <c r="E214" s="3" t="n">
        <v>46090</v>
      </c>
      <c r="F214" s="3" t="n">
        <v>46086</v>
      </c>
      <c r="G214" t="inlineStr">
        <is>
          <t>10:44:00</t>
        </is>
      </c>
      <c r="H214" t="n">
        <v>178570950</v>
      </c>
      <c r="I214" t="n">
        <v>175067950</v>
      </c>
      <c r="J214" t="n">
        <v>38750000</v>
      </c>
      <c r="K214" t="n">
        <v>42700000</v>
      </c>
      <c r="M214">
        <f>I214-(H214+J214-K214)- L214</f>
        <v/>
      </c>
      <c r="N214">
        <f>IF(M214=0,"Cuadrado",IF(M214&gt;0,"Faltante","Sobrante"))</f>
        <v/>
      </c>
      <c r="O214" t="inlineStr">
        <is>
          <t>REPITIERON ARQUEO</t>
        </is>
      </c>
      <c r="P214" t="n">
        <v>39491642</v>
      </c>
    </row>
    <row r="215">
      <c r="A215" t="n">
        <v>172</v>
      </c>
      <c r="B215" t="n">
        <v>7429</v>
      </c>
      <c r="C215" t="inlineStr">
        <is>
          <t>BELLTECH</t>
        </is>
      </c>
      <c r="D215" t="inlineStr">
        <is>
          <t>BELLTECH</t>
        </is>
      </c>
      <c r="E215" s="3" t="n">
        <v>46090</v>
      </c>
      <c r="F215" s="3" t="n">
        <v>46087</v>
      </c>
      <c r="G215" t="inlineStr">
        <is>
          <t>15:39:00</t>
        </is>
      </c>
      <c r="H215" t="n">
        <v>409279650</v>
      </c>
      <c r="I215" t="n">
        <v>352117650</v>
      </c>
      <c r="J215" t="n">
        <v>16070000</v>
      </c>
      <c r="K215" t="n">
        <v>68064900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09/03/2026</t>
        </is>
      </c>
      <c r="P215" t="n">
        <v>52156260</v>
      </c>
    </row>
    <row r="216">
      <c r="A216" t="n">
        <v>166</v>
      </c>
      <c r="B216" t="n">
        <v>7939</v>
      </c>
      <c r="C216" t="inlineStr">
        <is>
          <t>BELLTECH</t>
        </is>
      </c>
      <c r="D216" t="inlineStr">
        <is>
          <t>BELLTECH</t>
        </is>
      </c>
      <c r="E216" s="3" t="n">
        <v>46090</v>
      </c>
      <c r="F216" s="3" t="n">
        <v>46087</v>
      </c>
      <c r="G216" t="inlineStr">
        <is>
          <t>09:06:00</t>
        </is>
      </c>
      <c r="H216" t="n">
        <v>195168750</v>
      </c>
      <c r="I216" t="n">
        <v>192678750</v>
      </c>
      <c r="J216" t="n">
        <v>0</v>
      </c>
      <c r="K216" t="n">
        <v>0</v>
      </c>
      <c r="M216">
        <f>I216-(H216+J216-K216)- L216</f>
        <v/>
      </c>
      <c r="N216">
        <f>IF(M216=0,"Cuadrado",IF(M216&gt;0,"Faltante","Sobrante"))</f>
        <v/>
      </c>
      <c r="O216" t="inlineStr">
        <is>
          <t>La diferencia es contabilizada por la Gerencia De Autoservicios y Efectivo de manera centralizada a la cuenta de sobrantes 279510020 el 09/03/2026</t>
        </is>
      </c>
      <c r="P216" t="n">
        <v>50938822</v>
      </c>
    </row>
    <row r="217">
      <c r="A217" t="n">
        <v>291</v>
      </c>
      <c r="B217" t="n">
        <v>8139</v>
      </c>
      <c r="C217" t="inlineStr">
        <is>
          <t>DIEBOLD</t>
        </is>
      </c>
      <c r="D217" t="inlineStr">
        <is>
          <t>DIEBOLD</t>
        </is>
      </c>
      <c r="E217" s="3" t="n">
        <v>46090</v>
      </c>
      <c r="F217" s="3" t="n">
        <v>46087</v>
      </c>
      <c r="G217" t="inlineStr">
        <is>
          <t>10:52:00</t>
        </is>
      </c>
      <c r="H217" t="n">
        <v>283058050</v>
      </c>
      <c r="I217" t="n">
        <v>210516350</v>
      </c>
      <c r="J217" t="n">
        <v>7070000</v>
      </c>
      <c r="K217" t="n">
        <v>77611700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09/03/2026</t>
        </is>
      </c>
      <c r="P217" t="n">
        <v>1095930956</v>
      </c>
    </row>
    <row r="218">
      <c r="A218" t="n">
        <v>915</v>
      </c>
      <c r="B218" t="n">
        <v>8313</v>
      </c>
      <c r="C218" t="inlineStr">
        <is>
          <t>BELLTECH</t>
        </is>
      </c>
      <c r="D218" t="inlineStr">
        <is>
          <t>BELLTECH</t>
        </is>
      </c>
      <c r="E218" s="3" t="n">
        <v>46090</v>
      </c>
      <c r="F218" s="3" t="n">
        <v>46087</v>
      </c>
      <c r="G218" t="inlineStr">
        <is>
          <t>10:13:00</t>
        </is>
      </c>
      <c r="H218" t="n">
        <v>204138050</v>
      </c>
      <c r="I218" t="n">
        <v>174842050</v>
      </c>
      <c r="J218" t="n">
        <v>100000</v>
      </c>
      <c r="K218" t="n">
        <v>11096000</v>
      </c>
      <c r="M218">
        <f>I218-(H218+J218-K218)- L218</f>
        <v/>
      </c>
      <c r="N218">
        <f>IF(M218=0,"Cuadrado",IF(M218&gt;0,"Faltante","Sobrante"))</f>
        <v/>
      </c>
      <c r="O218" t="inlineStr">
        <is>
          <t>La diferencia es contabilizada por la Gerencia De Autoservicios y Efectivo de manera centralizada a la cuenta de sobrantes 279510020 el 09/03/2026</t>
        </is>
      </c>
      <c r="P218" t="n">
        <v>52279779</v>
      </c>
    </row>
    <row r="219">
      <c r="A219" t="n">
        <v>915</v>
      </c>
      <c r="B219" t="n">
        <v>8314</v>
      </c>
      <c r="C219" t="inlineStr">
        <is>
          <t>BELLTECH</t>
        </is>
      </c>
      <c r="D219" t="inlineStr">
        <is>
          <t>BELLTECH</t>
        </is>
      </c>
      <c r="E219" s="3" t="n">
        <v>46090</v>
      </c>
      <c r="F219" s="3" t="n">
        <v>46087</v>
      </c>
      <c r="G219" t="inlineStr">
        <is>
          <t>09:35:00</t>
        </is>
      </c>
      <c r="H219" t="n">
        <v>268487500</v>
      </c>
      <c r="I219" t="n">
        <v>282533400</v>
      </c>
      <c r="J219" t="n">
        <v>4380000</v>
      </c>
      <c r="K219" t="n">
        <v>380000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REPITIERON ARQUEO</t>
        </is>
      </c>
      <c r="P219" t="n">
        <v>52279779</v>
      </c>
    </row>
    <row r="220">
      <c r="A220" t="n">
        <v>556</v>
      </c>
      <c r="B220" t="n">
        <v>8333</v>
      </c>
      <c r="C220" t="inlineStr">
        <is>
          <t>BELLTECH</t>
        </is>
      </c>
      <c r="D220" t="inlineStr">
        <is>
          <t>BELLTECH</t>
        </is>
      </c>
      <c r="E220" s="3" t="n">
        <v>46090</v>
      </c>
      <c r="F220" s="3" t="n">
        <v>46087</v>
      </c>
      <c r="G220" t="inlineStr">
        <is>
          <t>15:00:00</t>
        </is>
      </c>
      <c r="H220" t="n">
        <v>352150800</v>
      </c>
      <c r="I220" t="n">
        <v>274348500</v>
      </c>
      <c r="J220" t="n">
        <v>25610000</v>
      </c>
      <c r="K220" t="n">
        <v>103383600</v>
      </c>
      <c r="M220">
        <f>I220-(H220+J220-K220)- L220</f>
        <v/>
      </c>
      <c r="N220">
        <f>IF(M220=0,"Cuadrado",IF(M220&gt;0,"Faltante","Sobrante"))</f>
        <v/>
      </c>
      <c r="O220" t="inlineStr">
        <is>
          <t>La diferencia es contabilizada por la Gerencia De Autoservicios y Efectivo de manera centralizada a la cuenta de sobrantes 279510020 el 09/03/2026</t>
        </is>
      </c>
      <c r="P220" t="n">
        <v>39450196</v>
      </c>
    </row>
    <row r="221">
      <c r="A221" t="n">
        <v>728</v>
      </c>
      <c r="B221" t="n">
        <v>8586</v>
      </c>
      <c r="C221" t="inlineStr">
        <is>
          <t>BELLTECH</t>
        </is>
      </c>
      <c r="D221" t="inlineStr">
        <is>
          <t>BELLTECH</t>
        </is>
      </c>
      <c r="E221" s="3" t="n">
        <v>46090</v>
      </c>
      <c r="F221" s="3" t="n">
        <v>46087</v>
      </c>
      <c r="G221" t="inlineStr">
        <is>
          <t>14:33:00</t>
        </is>
      </c>
      <c r="H221" t="n">
        <v>115960150</v>
      </c>
      <c r="I221" t="n">
        <v>120815150</v>
      </c>
      <c r="J221" t="n">
        <v>40600000</v>
      </c>
      <c r="K221" t="n">
        <v>33634000</v>
      </c>
      <c r="L221" t="n">
        <v>-2111000</v>
      </c>
      <c r="M221">
        <f>I221-(H221+J221-K221)- L221</f>
        <v/>
      </c>
      <c r="N221">
        <f>IF(M221=0,"Cuadrado",IF(M221&gt;0,"Faltante","Sobrante"))</f>
        <v/>
      </c>
      <c r="O221" t="inlineStr">
        <is>
          <t>Cajero cuadrado, sin observación por parte de la sucursal</t>
        </is>
      </c>
      <c r="P221" t="n">
        <v>1112783690</v>
      </c>
    </row>
    <row r="222">
      <c r="A222" t="n">
        <v>728</v>
      </c>
      <c r="B222" t="n">
        <v>8587</v>
      </c>
      <c r="C222" t="inlineStr">
        <is>
          <t>BELLTECH</t>
        </is>
      </c>
      <c r="D222" t="inlineStr">
        <is>
          <t>BELLTECH</t>
        </is>
      </c>
      <c r="E222" s="3" t="n">
        <v>46090</v>
      </c>
      <c r="F222" s="3" t="n">
        <v>46087</v>
      </c>
      <c r="G222" t="inlineStr">
        <is>
          <t>14:16:00</t>
        </is>
      </c>
      <c r="H222" t="n">
        <v>167219850</v>
      </c>
      <c r="I222" t="n">
        <v>96449850</v>
      </c>
      <c r="J222" t="n">
        <v>22070000</v>
      </c>
      <c r="K222" t="n">
        <v>92820000</v>
      </c>
      <c r="L222" t="n">
        <v>-20000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Cajero cuadrado, sin observación por parte de la sucursal</t>
        </is>
      </c>
      <c r="P222" t="n">
        <v>1112783690</v>
      </c>
    </row>
    <row r="223">
      <c r="A223" t="n">
        <v>541</v>
      </c>
      <c r="B223" t="n">
        <v>8660</v>
      </c>
      <c r="C223" t="inlineStr">
        <is>
          <t>BELLTECH</t>
        </is>
      </c>
      <c r="D223" t="inlineStr">
        <is>
          <t>BELLTECH</t>
        </is>
      </c>
      <c r="E223" s="3" t="n">
        <v>46090</v>
      </c>
      <c r="F223" s="3" t="n">
        <v>46087</v>
      </c>
      <c r="G223" t="inlineStr">
        <is>
          <t>09:14:00</t>
        </is>
      </c>
      <c r="H223" t="n">
        <v>147279100</v>
      </c>
      <c r="I223" t="n">
        <v>150301100</v>
      </c>
      <c r="J223" t="n">
        <v>5020000</v>
      </c>
      <c r="K223" t="n">
        <v>1790000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09/03/2026</t>
        </is>
      </c>
      <c r="P223" t="n">
        <v>1090148688</v>
      </c>
    </row>
    <row r="224">
      <c r="A224" t="n">
        <v>85</v>
      </c>
      <c r="B224" t="n">
        <v>8974</v>
      </c>
      <c r="C224" t="inlineStr">
        <is>
          <t>BELLTECH</t>
        </is>
      </c>
      <c r="D224" t="inlineStr">
        <is>
          <t>BELLTECH</t>
        </is>
      </c>
      <c r="E224" s="3" t="n">
        <v>46090</v>
      </c>
      <c r="F224" s="3" t="n">
        <v>46087</v>
      </c>
      <c r="G224" t="inlineStr">
        <is>
          <t>16:05:00</t>
        </is>
      </c>
      <c r="H224" t="n">
        <v>117970500</v>
      </c>
      <c r="I224" t="n">
        <v>200312700</v>
      </c>
      <c r="J224" t="n">
        <v>15150000</v>
      </c>
      <c r="K224" t="n">
        <v>121101950</v>
      </c>
      <c r="L224" t="n">
        <v>188284200</v>
      </c>
      <c r="M224">
        <f>I224-(H224+J224-K224)- L224</f>
        <v/>
      </c>
      <c r="N224">
        <f>IF(M224=0,"Cuadrado",IF(M224&gt;0,"Faltante","Sobrante"))</f>
        <v/>
      </c>
      <c r="O224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24" t="n">
        <v>1047413788</v>
      </c>
    </row>
    <row r="225">
      <c r="A225" t="n">
        <v>849</v>
      </c>
      <c r="B225" t="n">
        <v>9725</v>
      </c>
      <c r="C225" t="inlineStr">
        <is>
          <t>BELLTECH</t>
        </is>
      </c>
      <c r="D225" t="inlineStr">
        <is>
          <t>BELLTECH</t>
        </is>
      </c>
      <c r="E225" s="3" t="n">
        <v>46090</v>
      </c>
      <c r="F225" s="3" t="n">
        <v>46087</v>
      </c>
      <c r="G225" t="inlineStr">
        <is>
          <t>16:27:00</t>
        </is>
      </c>
      <c r="H225" t="n">
        <v>102680550</v>
      </c>
      <c r="I225" t="n">
        <v>381471550</v>
      </c>
      <c r="J225" t="n">
        <v>19210000</v>
      </c>
      <c r="K225" t="n">
        <v>97244000</v>
      </c>
      <c r="L225" t="n">
        <v>356825000</v>
      </c>
      <c r="M225">
        <f>I225-(H225+J225-K225)- L225</f>
        <v/>
      </c>
      <c r="N225">
        <f>IF(M225=0,"Cuadrado",IF(M225&gt;0,"Faltante","Sobrante"))</f>
        <v/>
      </c>
      <c r="O225" t="inlineStr">
        <is>
          <t>El faltante $126.000 es cruzado con sobrante contabilizado el día 05/03/2026 el cual es reversado por la seccion el día 09/03/2025</t>
        </is>
      </c>
      <c r="P225" t="n">
        <v>86063461</v>
      </c>
    </row>
    <row r="226">
      <c r="A226" t="n">
        <v>499</v>
      </c>
      <c r="B226" t="n">
        <v>9811</v>
      </c>
      <c r="C226" t="inlineStr">
        <is>
          <t>BELLTECH</t>
        </is>
      </c>
      <c r="D226" t="inlineStr">
        <is>
          <t>BELLTECH</t>
        </is>
      </c>
      <c r="E226" s="3" t="n">
        <v>46090</v>
      </c>
      <c r="F226" s="3" t="n">
        <v>46087</v>
      </c>
      <c r="G226" t="inlineStr">
        <is>
          <t>12:04:00</t>
        </is>
      </c>
      <c r="H226" t="n">
        <v>14768100</v>
      </c>
      <c r="I226" t="n">
        <v>436758400</v>
      </c>
      <c r="J226" t="n">
        <v>8250000</v>
      </c>
      <c r="K226" t="n">
        <v>15806000</v>
      </c>
      <c r="L226" t="n">
        <v>426079000</v>
      </c>
      <c r="M226">
        <f>I226-(H226+J226-K226)- L226</f>
        <v/>
      </c>
      <c r="N226">
        <f>IF(M226=0,"Cuadrado",IF(M226&gt;0,"Faltante","Sobrante"))</f>
        <v/>
      </c>
      <c r="O226" t="inlineStr">
        <is>
          <t>REPITIERON ARQUEO</t>
        </is>
      </c>
      <c r="P226" t="n">
        <v>71337474</v>
      </c>
    </row>
    <row r="227">
      <c r="A227" t="n">
        <v>916</v>
      </c>
      <c r="B227" t="n">
        <v>5052</v>
      </c>
      <c r="C227" t="inlineStr">
        <is>
          <t>BELLTECH</t>
        </is>
      </c>
      <c r="D227" t="inlineStr">
        <is>
          <t>BELLTECH</t>
        </is>
      </c>
      <c r="E227" s="3" t="n">
        <v>46090</v>
      </c>
      <c r="F227" s="3" t="n">
        <v>46087</v>
      </c>
      <c r="G227" t="inlineStr">
        <is>
          <t>09:11:00</t>
        </is>
      </c>
      <c r="H227" t="n">
        <v>505364650</v>
      </c>
      <c r="I227" t="n">
        <v>505364650</v>
      </c>
      <c r="J227" t="n">
        <v>0</v>
      </c>
      <c r="K227" t="n">
        <v>0</v>
      </c>
      <c r="M227">
        <f>I227-(H227+J227-K227)- L227</f>
        <v/>
      </c>
      <c r="N227">
        <f>IF(M227=0,"Cuadrado",IF(M227&gt;0,"Faltante","Sobrante"))</f>
        <v/>
      </c>
      <c r="O227" t="inlineStr">
        <is>
          <t>Cajero cuadrado, sin observación por parte de la sucursal</t>
        </is>
      </c>
      <c r="P227" t="n">
        <v>1004306590</v>
      </c>
    </row>
    <row r="228">
      <c r="A228" t="n">
        <v>300</v>
      </c>
      <c r="B228" t="n">
        <v>5139</v>
      </c>
      <c r="C228" t="inlineStr">
        <is>
          <t>BELLTECH</t>
        </is>
      </c>
      <c r="D228" t="inlineStr">
        <is>
          <t>BELLTECH</t>
        </is>
      </c>
      <c r="E228" s="3" t="n">
        <v>46090</v>
      </c>
      <c r="F228" s="3" t="n">
        <v>46087</v>
      </c>
      <c r="G228" t="inlineStr">
        <is>
          <t>14:58:00</t>
        </is>
      </c>
      <c r="H228" t="n">
        <v>386433750</v>
      </c>
      <c r="I228" t="n">
        <v>370535200</v>
      </c>
      <c r="J228" t="n">
        <v>10440000</v>
      </c>
      <c r="K228" t="n">
        <v>26338550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53097567</v>
      </c>
    </row>
    <row r="229">
      <c r="A229" t="n">
        <v>667</v>
      </c>
      <c r="B229" t="n">
        <v>5167</v>
      </c>
      <c r="C229" t="inlineStr">
        <is>
          <t>BELLTECH</t>
        </is>
      </c>
      <c r="D229" t="inlineStr">
        <is>
          <t>BELLTECH</t>
        </is>
      </c>
      <c r="E229" s="3" t="n">
        <v>46090</v>
      </c>
      <c r="F229" s="3" t="n">
        <v>46087</v>
      </c>
      <c r="G229" t="inlineStr">
        <is>
          <t>09:47:00</t>
        </is>
      </c>
      <c r="H229" t="n">
        <v>188012450</v>
      </c>
      <c r="I229" t="n">
        <v>144037450</v>
      </c>
      <c r="J229" t="n">
        <v>4860000</v>
      </c>
      <c r="K229" t="n">
        <v>48835000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Cajero cuadrado, sin observación por parte de la sucursal</t>
        </is>
      </c>
      <c r="P229" t="n">
        <v>79953058</v>
      </c>
    </row>
    <row r="230">
      <c r="A230" t="n">
        <v>541</v>
      </c>
      <c r="B230" t="n">
        <v>5185</v>
      </c>
      <c r="C230" t="inlineStr">
        <is>
          <t>BELLTECH</t>
        </is>
      </c>
      <c r="D230" t="inlineStr">
        <is>
          <t>BELLTECH</t>
        </is>
      </c>
      <c r="E230" s="3" t="n">
        <v>46090</v>
      </c>
      <c r="F230" s="3" t="n">
        <v>46087</v>
      </c>
      <c r="G230" t="inlineStr">
        <is>
          <t>08:50:00</t>
        </is>
      </c>
      <c r="H230" t="n">
        <v>218159800</v>
      </c>
      <c r="I230" t="n">
        <v>202037100</v>
      </c>
      <c r="J230" t="n">
        <v>620000</v>
      </c>
      <c r="K230" t="n">
        <v>16742700</v>
      </c>
      <c r="M230">
        <f>I230-(H230+J230-K230)- L230</f>
        <v/>
      </c>
      <c r="N230">
        <f>IF(M230=0,"Cuadrado",IF(M230&gt;0,"Faltante","Sobrante"))</f>
        <v/>
      </c>
      <c r="O230" t="inlineStr">
        <is>
          <t>Cajero cuadrado, sin observación por parte de la sucursal</t>
        </is>
      </c>
      <c r="P230" t="n">
        <v>1090148688</v>
      </c>
    </row>
    <row r="231">
      <c r="A231" t="n">
        <v>674</v>
      </c>
      <c r="B231" t="n">
        <v>5200</v>
      </c>
      <c r="C231" t="inlineStr">
        <is>
          <t>BELLTECH</t>
        </is>
      </c>
      <c r="D231" t="inlineStr">
        <is>
          <t>BELLTECH</t>
        </is>
      </c>
      <c r="E231" s="3" t="n">
        <v>46090</v>
      </c>
      <c r="F231" s="3" t="n">
        <v>46087</v>
      </c>
      <c r="G231" t="inlineStr">
        <is>
          <t>15:23:00</t>
        </is>
      </c>
      <c r="H231" t="n">
        <v>178260250</v>
      </c>
      <c r="I231" t="n">
        <v>192902250</v>
      </c>
      <c r="J231" t="n">
        <v>34690000</v>
      </c>
      <c r="K231" t="n">
        <v>20048000</v>
      </c>
      <c r="L231" t="n">
        <v>0</v>
      </c>
      <c r="M231">
        <f>I231-(H231+J231-K231)- L231</f>
        <v/>
      </c>
      <c r="N231">
        <f>IF(M231=0,"Cuadrado",IF(M231&gt;0,"Faltante","Sobrante"))</f>
        <v/>
      </c>
      <c r="O231" t="inlineStr">
        <is>
          <t>El faltante $2.880.000 es cruzado con sobrante contabilizado el día 06/03/2026 el cual es reversado por la seccion el día 09/03/2025</t>
        </is>
      </c>
      <c r="P231" t="n">
        <v>79813088</v>
      </c>
    </row>
    <row r="232">
      <c r="A232" t="n">
        <v>395</v>
      </c>
      <c r="B232" t="n">
        <v>1528</v>
      </c>
      <c r="C232" t="inlineStr">
        <is>
          <t>BELLTECH</t>
        </is>
      </c>
      <c r="D232" t="inlineStr">
        <is>
          <t>BELLTECH</t>
        </is>
      </c>
      <c r="E232" s="3" t="n">
        <v>46091</v>
      </c>
      <c r="F232" s="3" t="n">
        <v>46090</v>
      </c>
      <c r="G232" t="inlineStr">
        <is>
          <t>09:32:00</t>
        </is>
      </c>
      <c r="H232" t="n">
        <v>467628050</v>
      </c>
      <c r="I232" t="n">
        <v>447128150</v>
      </c>
      <c r="J232" t="n">
        <v>0</v>
      </c>
      <c r="K232" t="n">
        <v>0</v>
      </c>
      <c r="M232">
        <f>I232-(H232+J232-K232)- L232</f>
        <v/>
      </c>
      <c r="N232">
        <f>IF(M232=0,"Cuadrado",IF(M232&gt;0,"Faltante","Sobrante"))</f>
        <v/>
      </c>
      <c r="O232" t="inlineStr">
        <is>
          <t>La diferencia es contabilizada por la Gerencia De Autoservicios y Efectivo de manera centralizada a la cuenta de sobrantes 279510020 el 10/03/2026</t>
        </is>
      </c>
      <c r="P232" t="n">
        <v>1121857901</v>
      </c>
    </row>
    <row r="233">
      <c r="A233" t="n">
        <v>395</v>
      </c>
      <c r="B233" t="n">
        <v>1529</v>
      </c>
      <c r="C233" t="inlineStr">
        <is>
          <t>BELLTECH</t>
        </is>
      </c>
      <c r="D233" t="inlineStr">
        <is>
          <t>BELLTECH</t>
        </is>
      </c>
      <c r="E233" s="3" t="n">
        <v>46091</v>
      </c>
      <c r="F233" s="3" t="n">
        <v>46090</v>
      </c>
      <c r="G233" t="inlineStr">
        <is>
          <t>09:50:00</t>
        </is>
      </c>
      <c r="H233" t="n">
        <v>359252800</v>
      </c>
      <c r="I233" t="n">
        <v>313938800</v>
      </c>
      <c r="J233" t="n">
        <v>2910000</v>
      </c>
      <c r="K233" t="n">
        <v>12454000</v>
      </c>
      <c r="M233">
        <f>I233-(H233+J233-K233)- L233</f>
        <v/>
      </c>
      <c r="N233">
        <f>IF(M233=0,"Cuadrado",IF(M233&gt;0,"Faltante","Sobrante"))</f>
        <v/>
      </c>
      <c r="O233" t="inlineStr">
        <is>
          <t>La diferencia es contabilizada por la Gerencia De Autoservicios y Efectivo de manera centralizada a la cuenta de sobrantes 279510020 el 10/03/2026</t>
        </is>
      </c>
      <c r="P233" t="n">
        <v>1121857901</v>
      </c>
    </row>
    <row r="234">
      <c r="A234" t="n">
        <v>867</v>
      </c>
      <c r="B234" t="n">
        <v>5043</v>
      </c>
      <c r="C234" t="inlineStr">
        <is>
          <t>BELLTECH</t>
        </is>
      </c>
      <c r="D234" t="inlineStr">
        <is>
          <t>BELLTECH</t>
        </is>
      </c>
      <c r="E234" s="3" t="n">
        <v>46091</v>
      </c>
      <c r="F234" s="3" t="n">
        <v>46090</v>
      </c>
      <c r="G234" t="inlineStr">
        <is>
          <t>09:07:00</t>
        </is>
      </c>
      <c r="H234" t="n">
        <v>294129700</v>
      </c>
      <c r="I234" t="n">
        <v>293361300</v>
      </c>
      <c r="J234" t="n">
        <v>1070000</v>
      </c>
      <c r="K234" t="n">
        <v>350000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La diferencia es contabilizada por la Gerencia De Autoservicios y Efectivo de manera centralizada a la cuenta de sobrantes 279510020 el 10/03/2026</t>
        </is>
      </c>
      <c r="P234" t="n">
        <v>1105611666</v>
      </c>
    </row>
    <row r="235">
      <c r="A235" t="n">
        <v>517</v>
      </c>
      <c r="B235" t="n">
        <v>5053</v>
      </c>
      <c r="C235" t="inlineStr">
        <is>
          <t>BELLTECH</t>
        </is>
      </c>
      <c r="D235" t="inlineStr">
        <is>
          <t>BELLTECH</t>
        </is>
      </c>
      <c r="E235" s="3" t="n">
        <v>46091</v>
      </c>
      <c r="F235" s="3" t="n">
        <v>46090</v>
      </c>
      <c r="G235" t="inlineStr">
        <is>
          <t>14:19:00</t>
        </is>
      </c>
      <c r="H235" t="n">
        <v>299074850</v>
      </c>
      <c r="I235" t="n">
        <v>183161250</v>
      </c>
      <c r="J235" t="n">
        <v>14800000</v>
      </c>
      <c r="K235" t="n">
        <v>113873000</v>
      </c>
      <c r="M235">
        <f>I235-(H235+J235-K235)- L235</f>
        <v/>
      </c>
      <c r="N235">
        <f>IF(M235=0,"Cuadrado",IF(M235&gt;0,"Faltante","Sobrante"))</f>
        <v/>
      </c>
      <c r="O235" t="inlineStr">
        <is>
          <t>La diferencia es contabilizada por la Gerencia De Autoservicios y Efectivo de manera centralizada a la cuenta de sobrantes 279510020 el 10/03/2026</t>
        </is>
      </c>
      <c r="P235" t="n">
        <v>1083026284</v>
      </c>
    </row>
    <row r="236">
      <c r="A236" t="n">
        <v>781</v>
      </c>
      <c r="B236" t="n">
        <v>5057</v>
      </c>
      <c r="C236" t="inlineStr">
        <is>
          <t>BELLTECH</t>
        </is>
      </c>
      <c r="D236" t="inlineStr">
        <is>
          <t>BELLTECH</t>
        </is>
      </c>
      <c r="E236" s="3" t="n">
        <v>46091</v>
      </c>
      <c r="F236" s="3" t="n">
        <v>46090</v>
      </c>
      <c r="G236" t="inlineStr">
        <is>
          <t>09:09:00</t>
        </is>
      </c>
      <c r="H236" t="n">
        <v>587079450</v>
      </c>
      <c r="I236" t="n">
        <v>580479400</v>
      </c>
      <c r="J236" t="n">
        <v>0</v>
      </c>
      <c r="K236" t="n">
        <v>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10/03/2026</t>
        </is>
      </c>
      <c r="P236" t="n">
        <v>1082836736</v>
      </c>
    </row>
    <row r="237">
      <c r="A237" t="n">
        <v>115</v>
      </c>
      <c r="B237" t="n">
        <v>5080</v>
      </c>
      <c r="C237" t="inlineStr">
        <is>
          <t>BELLTECH</t>
        </is>
      </c>
      <c r="D237" t="inlineStr">
        <is>
          <t>BELLTECH</t>
        </is>
      </c>
      <c r="E237" s="3" t="n">
        <v>46091</v>
      </c>
      <c r="F237" s="3" t="n">
        <v>46090</v>
      </c>
      <c r="G237" t="inlineStr">
        <is>
          <t>09:07:00</t>
        </is>
      </c>
      <c r="H237" t="n">
        <v>420816600</v>
      </c>
      <c r="I237" t="n">
        <v>421716600</v>
      </c>
      <c r="J237" t="n">
        <v>1600000</v>
      </c>
      <c r="K237" t="n">
        <v>0</v>
      </c>
      <c r="M237">
        <f>I237-(H237+J237-K237)- L237</f>
        <v/>
      </c>
      <c r="N237">
        <f>IF(M237=0,"Cuadrado",IF(M237&gt;0,"Faltante","Sobrante"))</f>
        <v/>
      </c>
      <c r="O237" t="inlineStr">
        <is>
          <t>La diferencia es contabilizada por la Gerencia De Autoservicios y Efectivo de manera centralizada a la cuenta de sobrantes 279510020 el 10/03/2026</t>
        </is>
      </c>
      <c r="P237" t="n">
        <v>42158306</v>
      </c>
    </row>
    <row r="238">
      <c r="A238" t="n">
        <v>523</v>
      </c>
      <c r="B238" t="n">
        <v>5082</v>
      </c>
      <c r="C238" t="inlineStr">
        <is>
          <t>BELLTECH</t>
        </is>
      </c>
      <c r="D238" t="inlineStr">
        <is>
          <t>BELLTECH</t>
        </is>
      </c>
      <c r="E238" s="3" t="n">
        <v>46091</v>
      </c>
      <c r="F238" s="3" t="n">
        <v>46090</v>
      </c>
      <c r="G238" t="inlineStr">
        <is>
          <t>08:54:00</t>
        </is>
      </c>
      <c r="H238" t="n">
        <v>46659900</v>
      </c>
      <c r="I238" t="n">
        <v>16257900</v>
      </c>
      <c r="J238" t="n">
        <v>0</v>
      </c>
      <c r="K238" t="n">
        <v>20001950</v>
      </c>
      <c r="M238">
        <f>I238-(H238+J238-K238)- L238</f>
        <v/>
      </c>
      <c r="N238">
        <f>IF(M238=0,"Cuadrado",IF(M238&gt;0,"Faltante","Sobrante"))</f>
        <v/>
      </c>
      <c r="O238" t="inlineStr">
        <is>
          <t>La diferencia es contabilizada por la Gerencia De Autoservicios y Efectivo de manera centralizada a la cuenta de sobrantes 279510020 el 10/03/2026</t>
        </is>
      </c>
      <c r="P238" t="n">
        <v>1065609766</v>
      </c>
    </row>
    <row r="239">
      <c r="A239" t="n">
        <v>291</v>
      </c>
      <c r="B239" t="n">
        <v>5114</v>
      </c>
      <c r="C239" t="inlineStr">
        <is>
          <t>BELLTECH</t>
        </is>
      </c>
      <c r="D239" t="inlineStr">
        <is>
          <t>BELLTECH</t>
        </is>
      </c>
      <c r="E239" s="3" t="n">
        <v>46091</v>
      </c>
      <c r="F239" s="3" t="n">
        <v>46090</v>
      </c>
      <c r="G239" t="inlineStr">
        <is>
          <t>09:46:00</t>
        </is>
      </c>
      <c r="H239" t="n">
        <v>420878050</v>
      </c>
      <c r="I239" t="n">
        <v>407308650</v>
      </c>
      <c r="J239" t="n">
        <v>6500000</v>
      </c>
      <c r="K239" t="n">
        <v>20075000</v>
      </c>
      <c r="L239" t="n">
        <v>5600</v>
      </c>
      <c r="M239">
        <f>I239-(H239+J239-K239)- L239</f>
        <v/>
      </c>
      <c r="N239">
        <f>IF(M239=0,"Cuadrado",IF(M239&gt;0,"Faltante","Sobrante"))</f>
        <v/>
      </c>
      <c r="O239" t="inlineStr">
        <is>
          <t>El faltante $5.600 es cruzado con sobrante contabilizado el día 05/03/2026 el cual es reversado por la seccion el día 10/03/2026</t>
        </is>
      </c>
      <c r="P239" t="n">
        <v>1095930956</v>
      </c>
    </row>
    <row r="240">
      <c r="A240" t="n">
        <v>76</v>
      </c>
      <c r="B240" t="n">
        <v>5126</v>
      </c>
      <c r="C240" t="inlineStr">
        <is>
          <t>BELLTECH</t>
        </is>
      </c>
      <c r="D240" t="inlineStr">
        <is>
          <t>BELLTECH</t>
        </is>
      </c>
      <c r="E240" s="3" t="n">
        <v>46091</v>
      </c>
      <c r="F240" s="3" t="n">
        <v>46090</v>
      </c>
      <c r="G240" t="inlineStr">
        <is>
          <t>15:17:00</t>
        </is>
      </c>
      <c r="H240" t="n">
        <v>163419000</v>
      </c>
      <c r="I240" t="n">
        <v>195474000</v>
      </c>
      <c r="J240" t="n">
        <v>47250000</v>
      </c>
      <c r="K240" t="n">
        <v>97632000</v>
      </c>
      <c r="L240" t="n">
        <v>82437000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Cajero cuadrado, sin observación por parte de la sucursal</t>
        </is>
      </c>
      <c r="P240" t="n">
        <v>1075274187</v>
      </c>
    </row>
    <row r="241">
      <c r="A241" t="n">
        <v>725</v>
      </c>
      <c r="B241" t="n">
        <v>5166</v>
      </c>
      <c r="C241" t="inlineStr">
        <is>
          <t>BELLTECH</t>
        </is>
      </c>
      <c r="D241" t="inlineStr">
        <is>
          <t>BELLTECH</t>
        </is>
      </c>
      <c r="E241" s="3" t="n">
        <v>46091</v>
      </c>
      <c r="F241" s="3" t="n">
        <v>46090</v>
      </c>
      <c r="G241" t="inlineStr">
        <is>
          <t>08:52:00</t>
        </is>
      </c>
      <c r="H241" t="n">
        <v>45913050</v>
      </c>
      <c r="I241" t="n">
        <v>46688050</v>
      </c>
      <c r="J241" t="n">
        <v>0</v>
      </c>
      <c r="K241" t="n">
        <v>0</v>
      </c>
      <c r="L241" t="n">
        <v>775000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El faltante $775.000 es cruzado con sobrante contabilizado el día 06/03/2026 el cual es reversado por la seccion el día 10/03/2026</t>
        </is>
      </c>
      <c r="P241" t="n">
        <v>1088032608</v>
      </c>
    </row>
    <row r="242">
      <c r="A242" t="n">
        <v>667</v>
      </c>
      <c r="B242" t="n">
        <v>5167</v>
      </c>
      <c r="C242" t="inlineStr">
        <is>
          <t>BELLTECH</t>
        </is>
      </c>
      <c r="D242" t="inlineStr">
        <is>
          <t>BELLTECH</t>
        </is>
      </c>
      <c r="E242" s="3" t="n">
        <v>46091</v>
      </c>
      <c r="F242" s="3" t="n">
        <v>46090</v>
      </c>
      <c r="G242" t="inlineStr">
        <is>
          <t>10:20:00</t>
        </is>
      </c>
      <c r="H242" t="n">
        <v>127546750</v>
      </c>
      <c r="I242" t="n">
        <v>129216700</v>
      </c>
      <c r="J242" t="n">
        <v>4920000</v>
      </c>
      <c r="K242" t="n">
        <v>3250000</v>
      </c>
      <c r="M242">
        <f>I242-(H242+J242-K242)- L242</f>
        <v/>
      </c>
      <c r="N242">
        <f>IF(M242=0,"Cuadrado",IF(M242&gt;0,"Faltante","Sobrante"))</f>
        <v/>
      </c>
      <c r="O242" t="inlineStr">
        <is>
          <t>La diferencia es contabilizada por la Gerencia De Autoservicios y Efectivo de manera centralizada a la cuenta de sobrantes 279510020 el 10/03/2026</t>
        </is>
      </c>
      <c r="P242" t="n">
        <v>79953058</v>
      </c>
    </row>
    <row r="243">
      <c r="A243" t="n">
        <v>756</v>
      </c>
      <c r="B243" t="n">
        <v>5183</v>
      </c>
      <c r="C243" t="inlineStr">
        <is>
          <t>DIEBOLD</t>
        </is>
      </c>
      <c r="D243" t="inlineStr">
        <is>
          <t>BELLTECH</t>
        </is>
      </c>
      <c r="E243" s="3" t="n">
        <v>46091</v>
      </c>
      <c r="F243" s="3" t="n">
        <v>46087</v>
      </c>
      <c r="G243" t="inlineStr">
        <is>
          <t>10:06:00</t>
        </is>
      </c>
      <c r="H243" t="n">
        <v>39276000</v>
      </c>
      <c r="I243" t="n">
        <v>210302000</v>
      </c>
      <c r="J243" t="n">
        <v>4170000</v>
      </c>
      <c r="K243" t="n">
        <v>5340000</v>
      </c>
      <c r="L243" t="n">
        <v>175516000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La diferencia es contabilizada por la Gerencia De Autoservicios y Efectivo de manera centralizada a la cuenta de sobrantes 279510020 el 10/03/2026</t>
        </is>
      </c>
      <c r="P243" t="n">
        <v>1094912219</v>
      </c>
    </row>
    <row r="244">
      <c r="A244" t="n">
        <v>698</v>
      </c>
      <c r="B244" t="n">
        <v>5187</v>
      </c>
      <c r="C244" t="inlineStr">
        <is>
          <t>BELLTECH</t>
        </is>
      </c>
      <c r="D244" t="inlineStr">
        <is>
          <t>BELLTECH</t>
        </is>
      </c>
      <c r="E244" s="3" t="n">
        <v>46091</v>
      </c>
      <c r="F244" s="3" t="n">
        <v>46090</v>
      </c>
      <c r="G244" t="inlineStr">
        <is>
          <t>09:25:00</t>
        </is>
      </c>
      <c r="H244" t="n">
        <v>278552450</v>
      </c>
      <c r="I244" t="n">
        <v>278552400</v>
      </c>
      <c r="J244" t="n">
        <v>0</v>
      </c>
      <c r="K244" t="n">
        <v>0</v>
      </c>
      <c r="M244">
        <f>I244-(H244+J244-K244)- L244</f>
        <v/>
      </c>
      <c r="N244">
        <f>IF(M244=0,"Cuadrado",IF(M244&gt;0,"Faltante","Sobrante"))</f>
        <v/>
      </c>
      <c r="O244" t="inlineStr">
        <is>
          <t>La diferencia es contabilizada por la Gerencia De Autoservicios y Efectivo de manera centralizada a la cuenta de sobrantes 279510020 el 10/03/2026</t>
        </is>
      </c>
      <c r="P244" t="n">
        <v>80177355</v>
      </c>
    </row>
    <row r="245">
      <c r="A245" t="n">
        <v>383</v>
      </c>
      <c r="B245" t="n">
        <v>5194</v>
      </c>
      <c r="C245" t="inlineStr">
        <is>
          <t>BELLTECH</t>
        </is>
      </c>
      <c r="D245" t="inlineStr">
        <is>
          <t>BELLTECH</t>
        </is>
      </c>
      <c r="E245" s="3" t="n">
        <v>46091</v>
      </c>
      <c r="F245" s="3" t="n">
        <v>46090</v>
      </c>
      <c r="G245" t="inlineStr">
        <is>
          <t>09:16:00</t>
        </is>
      </c>
      <c r="H245" t="n">
        <v>294935800</v>
      </c>
      <c r="I245" t="n">
        <v>295775800</v>
      </c>
      <c r="J245" t="n">
        <v>520000</v>
      </c>
      <c r="K245" t="n">
        <v>0</v>
      </c>
      <c r="L245" t="n">
        <v>320000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El faltante $320.000 es cruzado con sobrante contabilizado el día 06/03/2026 el cual es reversado por la seccion el día 10/03/2026</t>
        </is>
      </c>
      <c r="P245" t="n">
        <v>1073160492</v>
      </c>
    </row>
    <row r="246">
      <c r="A246" t="n">
        <v>455</v>
      </c>
      <c r="B246" t="n">
        <v>5206</v>
      </c>
      <c r="C246" t="inlineStr">
        <is>
          <t>BELLTECH</t>
        </is>
      </c>
      <c r="D246" t="inlineStr">
        <is>
          <t>BELLTECH</t>
        </is>
      </c>
      <c r="E246" s="3" t="n">
        <v>46091</v>
      </c>
      <c r="F246" s="3" t="n">
        <v>46090</v>
      </c>
      <c r="G246" t="inlineStr">
        <is>
          <t>14:05:00</t>
        </is>
      </c>
      <c r="H246" t="n">
        <v>197434400</v>
      </c>
      <c r="I246" t="n">
        <v>563024050</v>
      </c>
      <c r="J246" t="n">
        <v>8090000</v>
      </c>
      <c r="K246" t="n">
        <v>198081000</v>
      </c>
      <c r="L246" t="n">
        <v>564461000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La diferencia es contabilizada por la Gerencia De Autoservicios y Efectivo de manera centralizada a la cuenta de sobrantes 279510020 el 10/03/2026</t>
        </is>
      </c>
      <c r="P246" t="n">
        <v>1083896352</v>
      </c>
    </row>
    <row r="247">
      <c r="A247" t="n">
        <v>844</v>
      </c>
      <c r="B247" t="n">
        <v>6169</v>
      </c>
      <c r="C247" t="inlineStr">
        <is>
          <t>BELLTECH</t>
        </is>
      </c>
      <c r="D247" t="inlineStr">
        <is>
          <t>BELLTECH</t>
        </is>
      </c>
      <c r="E247" s="3" t="n">
        <v>46091</v>
      </c>
      <c r="F247" s="3" t="n">
        <v>46090</v>
      </c>
      <c r="G247" t="inlineStr">
        <is>
          <t>09:27:00</t>
        </is>
      </c>
      <c r="H247" t="n">
        <v>286603250</v>
      </c>
      <c r="I247" t="n">
        <v>500368650</v>
      </c>
      <c r="J247" t="n">
        <v>820000</v>
      </c>
      <c r="K247" t="n">
        <v>0</v>
      </c>
      <c r="L247" t="n">
        <v>213577000</v>
      </c>
      <c r="M247">
        <f>I247-(H247+J247-K247)- L247</f>
        <v/>
      </c>
      <c r="N247">
        <f>IF(M247=0,"Cuadrado",IF(M247&gt;0,"Faltante","Sobrante"))</f>
        <v/>
      </c>
      <c r="O247" t="inlineStr">
        <is>
          <t>La diferencia es contabilizada por la Gerencia De Autoservicios y Efectivo de manera centralizada a la cuenta de sobrantes 279510020 el 10/03/2026</t>
        </is>
      </c>
      <c r="P247" t="n">
        <v>86058432</v>
      </c>
    </row>
    <row r="248">
      <c r="A248" t="n">
        <v>820</v>
      </c>
      <c r="B248" t="n">
        <v>6174</v>
      </c>
      <c r="C248" t="inlineStr">
        <is>
          <t>BELLTECH</t>
        </is>
      </c>
      <c r="D248" t="inlineStr">
        <is>
          <t>BELLTECH</t>
        </is>
      </c>
      <c r="E248" s="3" t="n">
        <v>46091</v>
      </c>
      <c r="F248" s="3" t="n">
        <v>46090</v>
      </c>
      <c r="G248" t="inlineStr">
        <is>
          <t>15:47:00</t>
        </is>
      </c>
      <c r="H248" t="n">
        <v>62171600</v>
      </c>
      <c r="I248" t="n">
        <v>125609700</v>
      </c>
      <c r="J248" t="n">
        <v>12540000</v>
      </c>
      <c r="K248" t="n">
        <v>21669000</v>
      </c>
      <c r="L248" t="n">
        <v>55867000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REPITIERON ARQUEO</t>
        </is>
      </c>
      <c r="P248" t="n">
        <v>1090400247</v>
      </c>
    </row>
    <row r="249">
      <c r="A249" t="n">
        <v>477</v>
      </c>
      <c r="B249" t="n">
        <v>6251</v>
      </c>
      <c r="C249" t="inlineStr">
        <is>
          <t>BELLTECH</t>
        </is>
      </c>
      <c r="D249" t="inlineStr">
        <is>
          <t>BELLTECH</t>
        </is>
      </c>
      <c r="E249" s="3" t="n">
        <v>46091</v>
      </c>
      <c r="F249" s="3" t="n">
        <v>46090</v>
      </c>
      <c r="G249" t="inlineStr">
        <is>
          <t>10:13:00</t>
        </is>
      </c>
      <c r="H249" t="n">
        <v>155281050</v>
      </c>
      <c r="I249" t="n">
        <v>435774550</v>
      </c>
      <c r="J249" t="n">
        <v>9030000</v>
      </c>
      <c r="K249" t="n">
        <v>4340000</v>
      </c>
      <c r="L249" t="n">
        <v>280774000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La diferencia es contabilizada por la Gerencia De Autoservicios y Efectivo de manera centralizada a la cuenta de sobrantes 279510020 el 10/03/2026</t>
        </is>
      </c>
      <c r="P249" t="n">
        <v>1140850613</v>
      </c>
    </row>
    <row r="250">
      <c r="A250" t="n">
        <v>613</v>
      </c>
      <c r="B250" t="n">
        <v>6713</v>
      </c>
      <c r="C250" t="inlineStr">
        <is>
          <t>DIEBOLD</t>
        </is>
      </c>
      <c r="D250" t="inlineStr">
        <is>
          <t>DIEBOLD</t>
        </is>
      </c>
      <c r="E250" s="3" t="n">
        <v>46091</v>
      </c>
      <c r="F250" s="3" t="n">
        <v>46090</v>
      </c>
      <c r="G250" t="inlineStr">
        <is>
          <t>14:08:00</t>
        </is>
      </c>
      <c r="H250" t="n">
        <v>139679500</v>
      </c>
      <c r="I250" t="n">
        <v>139937500</v>
      </c>
      <c r="J250" t="n">
        <v>2950000</v>
      </c>
      <c r="K250" t="n">
        <v>1840000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10/03/2026</t>
        </is>
      </c>
      <c r="P250" t="n">
        <v>1040325060</v>
      </c>
    </row>
    <row r="251">
      <c r="A251" t="n">
        <v>385</v>
      </c>
      <c r="B251" t="n">
        <v>7139</v>
      </c>
      <c r="C251" t="inlineStr">
        <is>
          <t>BELLTECH</t>
        </is>
      </c>
      <c r="D251" t="inlineStr">
        <is>
          <t>BELLTECH</t>
        </is>
      </c>
      <c r="E251" s="3" t="n">
        <v>46091</v>
      </c>
      <c r="F251" s="3" t="n">
        <v>46090</v>
      </c>
      <c r="G251" t="inlineStr">
        <is>
          <t>16:24:00</t>
        </is>
      </c>
      <c r="H251" t="n">
        <v>128538550</v>
      </c>
      <c r="I251" t="n">
        <v>120110750</v>
      </c>
      <c r="J251" t="n">
        <v>33970000</v>
      </c>
      <c r="K251" t="n">
        <v>26851000</v>
      </c>
      <c r="M251">
        <f>I251-(H251+J251-K251)- L251</f>
        <v/>
      </c>
      <c r="N251">
        <f>IF(M251=0,"Cuadrado",IF(M251&gt;0,"Faltante","Sobrante"))</f>
        <v/>
      </c>
      <c r="O251" t="inlineStr">
        <is>
          <t>La diferencia es contabilizada por la Gerencia De Autoservicios y Efectivo de manera centralizada a la cuenta de sobrantes 279510020 el 10/03/2026</t>
        </is>
      </c>
      <c r="P251" t="n">
        <v>1077970238</v>
      </c>
    </row>
    <row r="252">
      <c r="A252" t="n">
        <v>848</v>
      </c>
      <c r="B252" t="n">
        <v>7374</v>
      </c>
      <c r="C252" t="inlineStr">
        <is>
          <t>DIEBOLD</t>
        </is>
      </c>
      <c r="D252" t="inlineStr">
        <is>
          <t>DIEBOLD</t>
        </is>
      </c>
      <c r="E252" s="3" t="n">
        <v>46091</v>
      </c>
      <c r="F252" s="3" t="n">
        <v>46090</v>
      </c>
      <c r="G252" t="inlineStr">
        <is>
          <t>14:29:00</t>
        </is>
      </c>
      <c r="H252" t="n">
        <v>46734150</v>
      </c>
      <c r="I252" t="n">
        <v>32765200</v>
      </c>
      <c r="J252" t="n">
        <v>2340000</v>
      </c>
      <c r="K252" t="n">
        <v>17000000</v>
      </c>
      <c r="L252" t="n">
        <v>691050</v>
      </c>
      <c r="M252">
        <f>I252-(H252+J252-K252)- L252</f>
        <v/>
      </c>
      <c r="N252">
        <f>IF(M252=0,"Cuadrado",IF(M252&gt;0,"Faltante","Sobrante"))</f>
        <v/>
      </c>
      <c r="O252" t="inlineStr">
        <is>
          <t>El faltante $691.050 es cruzado con sobrante contabilizado el día 06/03/2026 el cual es reversado por la seccion el día 10/03/2026</t>
        </is>
      </c>
      <c r="P252" t="n">
        <v>29877107</v>
      </c>
    </row>
    <row r="253">
      <c r="A253" t="n">
        <v>569</v>
      </c>
      <c r="B253" t="n">
        <v>8129</v>
      </c>
      <c r="C253" t="inlineStr">
        <is>
          <t>DIEBOLD</t>
        </is>
      </c>
      <c r="D253" t="inlineStr">
        <is>
          <t>DIEBOLD</t>
        </is>
      </c>
      <c r="E253" s="3" t="n">
        <v>46091</v>
      </c>
      <c r="F253" s="3" t="n">
        <v>46090</v>
      </c>
      <c r="G253" t="inlineStr">
        <is>
          <t>10:52:00</t>
        </is>
      </c>
      <c r="H253" t="n">
        <v>256898200</v>
      </c>
      <c r="I253" t="n">
        <v>264208200</v>
      </c>
      <c r="J253" t="n">
        <v>10550000</v>
      </c>
      <c r="K253" t="n">
        <v>0</v>
      </c>
      <c r="M253">
        <f>I253-(H253+J253-K253)- L253</f>
        <v/>
      </c>
      <c r="N253">
        <f>IF(M253=0,"Cuadrado",IF(M253&gt;0,"Faltante","Sobrante"))</f>
        <v/>
      </c>
      <c r="O253" t="inlineStr">
        <is>
          <t>La diferencia es contabilizada por la Gerencia De Autoservicios y Efectivo de manera centralizada a la cuenta de sobrantes 279510020 el 10/03/2026</t>
        </is>
      </c>
      <c r="P253" t="n">
        <v>10779993</v>
      </c>
    </row>
    <row r="254">
      <c r="A254" t="n">
        <v>291</v>
      </c>
      <c r="B254" t="n">
        <v>8139</v>
      </c>
      <c r="C254" t="inlineStr">
        <is>
          <t>DIEBOLD</t>
        </is>
      </c>
      <c r="D254" t="inlineStr">
        <is>
          <t>DIEBOLD</t>
        </is>
      </c>
      <c r="E254" s="3" t="n">
        <v>46091</v>
      </c>
      <c r="F254" s="3" t="n">
        <v>46090</v>
      </c>
      <c r="G254" t="inlineStr">
        <is>
          <t>10:45:00</t>
        </is>
      </c>
      <c r="H254" t="n">
        <v>260314550</v>
      </c>
      <c r="I254" t="n">
        <v>283871550</v>
      </c>
      <c r="J254" t="n">
        <v>25500000</v>
      </c>
      <c r="K254" t="n">
        <v>0</v>
      </c>
      <c r="L254" t="n">
        <v>-1943000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El faltante $57.000 es cruzado con sobrante contabilizado el día 09/03/2026 el cual es reversado por la seccion el día 10/03/2026</t>
        </is>
      </c>
      <c r="P254" t="n">
        <v>1095930956</v>
      </c>
    </row>
    <row r="255">
      <c r="A255" t="n">
        <v>556</v>
      </c>
      <c r="B255" t="n">
        <v>8333</v>
      </c>
      <c r="C255" t="inlineStr">
        <is>
          <t>BELLTECH</t>
        </is>
      </c>
      <c r="D255" t="inlineStr">
        <is>
          <t>BELLTECH</t>
        </is>
      </c>
      <c r="E255" s="3" t="n">
        <v>46091</v>
      </c>
      <c r="F255" s="3" t="n">
        <v>46090</v>
      </c>
      <c r="G255" t="inlineStr">
        <is>
          <t>10:13:00</t>
        </is>
      </c>
      <c r="H255" t="n">
        <v>387578900</v>
      </c>
      <c r="I255" t="n">
        <v>379432100</v>
      </c>
      <c r="J255" t="n">
        <v>7700000</v>
      </c>
      <c r="K255" t="n">
        <v>15818000</v>
      </c>
      <c r="L255" t="n">
        <v>-28700</v>
      </c>
      <c r="M255">
        <f>I255-(H255+J255-K255)- L255</f>
        <v/>
      </c>
      <c r="N255">
        <f>IF(M255=0,"Cuadrado",IF(M255&gt;0,"Faltante","Sobrante"))</f>
        <v/>
      </c>
      <c r="O255" t="inlineStr">
        <is>
          <t>La diferencia es contabilizada por la Gerencia De Autoservicios y Efectivo de manera centralizada a la cuenta de sobrantes 279510020 el 10/03/2026</t>
        </is>
      </c>
      <c r="P255" t="n">
        <v>39450196</v>
      </c>
    </row>
    <row r="256">
      <c r="A256" t="n">
        <v>495</v>
      </c>
      <c r="B256" t="n">
        <v>8482</v>
      </c>
      <c r="C256" t="inlineStr">
        <is>
          <t>BELLTECH</t>
        </is>
      </c>
      <c r="D256" t="inlineStr">
        <is>
          <t>BELLTECH</t>
        </is>
      </c>
      <c r="E256" s="3" t="n">
        <v>46091</v>
      </c>
      <c r="F256" s="3" t="n">
        <v>46090</v>
      </c>
      <c r="G256" t="inlineStr">
        <is>
          <t>10:24:00</t>
        </is>
      </c>
      <c r="H256" t="n">
        <v>37697400</v>
      </c>
      <c r="I256" t="n">
        <v>38149400</v>
      </c>
      <c r="J256" t="n">
        <v>0</v>
      </c>
      <c r="K256" t="n">
        <v>0</v>
      </c>
      <c r="M256">
        <f>I256-(H256+J256-K256)- L256</f>
        <v/>
      </c>
      <c r="N256">
        <f>IF(M256=0,"Cuadrado",IF(M256&gt;0,"Faltante","Sobrante"))</f>
        <v/>
      </c>
      <c r="O256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6" t="n">
        <v>1052081923</v>
      </c>
    </row>
    <row r="257">
      <c r="A257" t="n">
        <v>60</v>
      </c>
      <c r="B257" t="n">
        <v>8728</v>
      </c>
      <c r="C257" t="inlineStr">
        <is>
          <t>DIEBOLD</t>
        </is>
      </c>
      <c r="D257" t="inlineStr">
        <is>
          <t>DIEBOLD</t>
        </is>
      </c>
      <c r="E257" s="3" t="n">
        <v>46091</v>
      </c>
      <c r="F257" s="3" t="n">
        <v>46090</v>
      </c>
      <c r="G257" t="inlineStr">
        <is>
          <t>11:00:00</t>
        </is>
      </c>
      <c r="H257" t="n">
        <v>147853100</v>
      </c>
      <c r="I257" t="n">
        <v>145400100</v>
      </c>
      <c r="J257" t="n">
        <v>3320000</v>
      </c>
      <c r="K257" t="n">
        <v>6020000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7" t="n">
        <v>14697128</v>
      </c>
    </row>
    <row r="258">
      <c r="A258" t="n">
        <v>60</v>
      </c>
      <c r="B258" t="n">
        <v>8729</v>
      </c>
      <c r="C258" t="inlineStr">
        <is>
          <t>BELLTECH</t>
        </is>
      </c>
      <c r="D258" t="inlineStr">
        <is>
          <t>BELLTECH</t>
        </is>
      </c>
      <c r="E258" s="3" t="n">
        <v>46091</v>
      </c>
      <c r="F258" s="3" t="n">
        <v>46090</v>
      </c>
      <c r="G258" t="inlineStr">
        <is>
          <t>10:37:00</t>
        </is>
      </c>
      <c r="H258" t="n">
        <v>102452400</v>
      </c>
      <c r="I258" t="n">
        <v>96472400</v>
      </c>
      <c r="J258" t="n">
        <v>2860000</v>
      </c>
      <c r="K258" t="n">
        <v>8850000</v>
      </c>
      <c r="L258" t="n">
        <v>10000</v>
      </c>
      <c r="M258">
        <f>I258-(H258+J258-K258)- L258</f>
        <v/>
      </c>
      <c r="N258">
        <f>IF(M258=0,"Cuadrado",IF(M258&gt;0,"Faltante","Sobrante"))</f>
        <v/>
      </c>
      <c r="O258" t="inlineStr">
        <is>
          <t>El faltante $10.000 es cruzado con sobrante contabilizado el día 05/03/2026 el cual es reversado por la seccion el día 10/03/2026</t>
        </is>
      </c>
      <c r="P258" t="n">
        <v>14697128</v>
      </c>
    </row>
    <row r="259">
      <c r="A259" t="n">
        <v>451</v>
      </c>
      <c r="B259" t="n">
        <v>9434</v>
      </c>
      <c r="C259" t="inlineStr">
        <is>
          <t>BELLTECH</t>
        </is>
      </c>
      <c r="D259" t="inlineStr">
        <is>
          <t>BELLTECH</t>
        </is>
      </c>
      <c r="E259" s="3" t="n">
        <v>46091</v>
      </c>
      <c r="F259" s="3" t="n">
        <v>46090</v>
      </c>
      <c r="G259" t="inlineStr">
        <is>
          <t>16:24:00</t>
        </is>
      </c>
      <c r="H259" t="n">
        <v>99399350</v>
      </c>
      <c r="I259" t="n">
        <v>-285680200</v>
      </c>
      <c r="J259" t="n">
        <v>123550000</v>
      </c>
      <c r="K259" t="n">
        <v>23629550</v>
      </c>
      <c r="L259" t="n">
        <v>-485000000</v>
      </c>
      <c r="M259">
        <f>I259-(H259+J259-K259)- L259</f>
        <v/>
      </c>
      <c r="N259">
        <f>IF(M259=0,"Cuadrado",IF(M259&gt;0,"Faltante","Sobrante"))</f>
        <v/>
      </c>
      <c r="O259" t="inlineStr">
        <is>
          <t>Cajero cuadrado, sin observación por parte de la sucursal</t>
        </is>
      </c>
      <c r="P259" t="n">
        <v>1123206969</v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BELLTECH</t>
        </is>
      </c>
      <c r="E260" s="3" t="n">
        <v>46091</v>
      </c>
      <c r="F260" s="3" t="n">
        <v>46090</v>
      </c>
      <c r="G260" t="inlineStr">
        <is>
          <t>15:25:00</t>
        </is>
      </c>
      <c r="H260" t="n">
        <v>111885800</v>
      </c>
      <c r="I260" t="n">
        <v>99855800</v>
      </c>
      <c r="J260" t="n">
        <v>21780000</v>
      </c>
      <c r="K260" t="n">
        <v>33900000</v>
      </c>
      <c r="L260" t="n">
        <v>90000</v>
      </c>
      <c r="M260">
        <f>I260-(H260+J260-K260)- L260</f>
        <v/>
      </c>
      <c r="N260">
        <f>IF(M260=0,"Cuadrado",IF(M260&gt;0,"Faltante","Sobrante"))</f>
        <v/>
      </c>
      <c r="O260" t="inlineStr">
        <is>
          <t>El faltante $90.000 es cruzado con sobrante contabilizado el día 06/03/2026 el cual es reversado por la seccion el día 10/03/2026</t>
        </is>
      </c>
      <c r="P260" t="n">
        <v>1120360426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BELLTECH</t>
        </is>
      </c>
      <c r="E261" s="3" t="n">
        <v>46091</v>
      </c>
      <c r="F261" s="3" t="n">
        <v>46090</v>
      </c>
      <c r="G261" t="inlineStr">
        <is>
          <t>10:02:00</t>
        </is>
      </c>
      <c r="H261" t="n">
        <v>11069150</v>
      </c>
      <c r="I261" t="n">
        <v>122262150</v>
      </c>
      <c r="J261" t="n">
        <v>2690000</v>
      </c>
      <c r="K261" t="n">
        <v>1434000</v>
      </c>
      <c r="L261" t="n">
        <v>116897000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La diferencia es contabilizada por la Gerencia De Autoservicios y Efectivo de manera centralizada a la cuenta de sobrantes 279510020 el 10/03/2026</t>
        </is>
      </c>
      <c r="P261" t="n">
        <v>1053835867</v>
      </c>
    </row>
    <row r="262">
      <c r="A262" t="n">
        <v>516</v>
      </c>
      <c r="B262" t="n">
        <v>9729</v>
      </c>
      <c r="C262" t="inlineStr">
        <is>
          <t>BELLTECH</t>
        </is>
      </c>
      <c r="D262" t="inlineStr">
        <is>
          <t>BELLTECH</t>
        </is>
      </c>
      <c r="E262" s="3" t="n">
        <v>46091</v>
      </c>
      <c r="F262" s="3" t="n">
        <v>46090</v>
      </c>
      <c r="G262" t="inlineStr">
        <is>
          <t>10:57:00</t>
        </is>
      </c>
      <c r="H262" t="n">
        <v>174326750</v>
      </c>
      <c r="I262" t="n">
        <v>177144350</v>
      </c>
      <c r="J262" t="n">
        <v>650000</v>
      </c>
      <c r="K262" t="n">
        <v>0</v>
      </c>
      <c r="M262">
        <f>I262-(H262+J262-K262)- L262</f>
        <v/>
      </c>
      <c r="N262">
        <f>IF(M262=0,"Cuadrado",IF(M262&gt;0,"Faltante","Sobrante"))</f>
        <v/>
      </c>
      <c r="O262" t="inlineStr">
        <is>
          <t>REPITIERON ARQUEO</t>
        </is>
      </c>
      <c r="P262" t="n">
        <v>1102850956</v>
      </c>
    </row>
    <row r="263">
      <c r="A263" t="n">
        <v>265</v>
      </c>
      <c r="B263" t="n">
        <v>5083</v>
      </c>
      <c r="C263" t="inlineStr">
        <is>
          <t>BELLTECH</t>
        </is>
      </c>
      <c r="D263" t="inlineStr">
        <is>
          <t>BELLTECH</t>
        </is>
      </c>
      <c r="E263" s="3" t="n">
        <v>46091</v>
      </c>
      <c r="F263" s="3" t="n">
        <v>46090</v>
      </c>
      <c r="G263" t="inlineStr">
        <is>
          <t>10:21:00</t>
        </is>
      </c>
      <c r="H263" t="n">
        <v>316858750</v>
      </c>
      <c r="I263" t="n">
        <v>330808750</v>
      </c>
      <c r="J263" t="n">
        <v>13950000</v>
      </c>
      <c r="K263" t="n">
        <v>0</v>
      </c>
      <c r="M263">
        <f>I263-(H263+J263-K263)- L263</f>
        <v/>
      </c>
      <c r="N263">
        <f>IF(M263=0,"Cuadrado",IF(M263&gt;0,"Faltante","Sobrante"))</f>
        <v/>
      </c>
      <c r="O263" t="inlineStr">
        <is>
          <t>Cajero cuadrado, sin observación por parte de la sucursal</t>
        </is>
      </c>
      <c r="P263" t="n">
        <v>1107081130</v>
      </c>
    </row>
    <row r="264">
      <c r="A264" t="n">
        <v>725</v>
      </c>
      <c r="B264" t="n">
        <v>8090</v>
      </c>
      <c r="C264" t="inlineStr">
        <is>
          <t>BELLTECH</t>
        </is>
      </c>
      <c r="D264" t="inlineStr">
        <is>
          <t>BELLTECH</t>
        </is>
      </c>
      <c r="E264" s="3" t="n">
        <v>46091</v>
      </c>
      <c r="F264" s="3" t="n">
        <v>46090</v>
      </c>
      <c r="G264" t="inlineStr">
        <is>
          <t>09:16:00</t>
        </is>
      </c>
      <c r="H264" t="n">
        <v>48107200</v>
      </c>
      <c r="I264" t="n">
        <v>43837200</v>
      </c>
      <c r="J264" t="n">
        <v>2360000</v>
      </c>
      <c r="K264" t="n">
        <v>6630000</v>
      </c>
      <c r="M264">
        <f>I264-(H264+J264-K264)- L264</f>
        <v/>
      </c>
      <c r="N264">
        <f>IF(M264=0,"Cuadrado",IF(M264&gt;0,"Faltante","Sobrante"))</f>
        <v/>
      </c>
      <c r="O264" t="inlineStr">
        <is>
          <t>Cajero cuadrado, sin observación por parte de la sucursal</t>
        </is>
      </c>
      <c r="P264" t="n">
        <v>1088032608</v>
      </c>
    </row>
    <row r="265">
      <c r="A265" t="n">
        <v>728</v>
      </c>
      <c r="B265" t="n">
        <v>8586</v>
      </c>
      <c r="C265" t="inlineStr">
        <is>
          <t>BELLTECH</t>
        </is>
      </c>
      <c r="D265" t="inlineStr">
        <is>
          <t>BELLTECH</t>
        </is>
      </c>
      <c r="E265" s="3" t="n">
        <v>46091</v>
      </c>
      <c r="F265" s="3" t="n">
        <v>46090</v>
      </c>
      <c r="G265" t="inlineStr">
        <is>
          <t>09:08:00</t>
        </is>
      </c>
      <c r="H265" t="n">
        <v>101942150</v>
      </c>
      <c r="I265" t="n">
        <v>104962150</v>
      </c>
      <c r="J265" t="n">
        <v>4470000</v>
      </c>
      <c r="K265" t="n">
        <v>1450000</v>
      </c>
      <c r="M265">
        <f>I265-(H265+J265-K265)- L265</f>
        <v/>
      </c>
      <c r="N265">
        <f>IF(M265=0,"Cuadrado",IF(M265&gt;0,"Faltante","Sobrante"))</f>
        <v/>
      </c>
      <c r="O265" t="inlineStr">
        <is>
          <t>Cajero cuadrado, sin observación por parte de la sucursal</t>
        </is>
      </c>
      <c r="P265" t="n">
        <v>1112783690</v>
      </c>
    </row>
    <row r="266">
      <c r="A266" t="n">
        <v>728</v>
      </c>
      <c r="B266" t="n">
        <v>8587</v>
      </c>
      <c r="C266" t="inlineStr">
        <is>
          <t>BELLTECH</t>
        </is>
      </c>
      <c r="D266" t="inlineStr">
        <is>
          <t>BELLTECH</t>
        </is>
      </c>
      <c r="E266" s="3" t="n">
        <v>46091</v>
      </c>
      <c r="F266" s="3" t="n">
        <v>46090</v>
      </c>
      <c r="G266" t="inlineStr">
        <is>
          <t>08:51:00</t>
        </is>
      </c>
      <c r="H266" t="n">
        <v>139335350</v>
      </c>
      <c r="I266" t="n">
        <v>138565350</v>
      </c>
      <c r="J266" t="n">
        <v>2330000</v>
      </c>
      <c r="K266" t="n">
        <v>3100000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Cajero cuadrado, sin observación por parte de la sucursal</t>
        </is>
      </c>
      <c r="P266" t="n">
        <v>1112783690</v>
      </c>
    </row>
    <row r="267">
      <c r="A267" t="n">
        <v>333</v>
      </c>
      <c r="B267" t="n">
        <v>442</v>
      </c>
      <c r="C267" t="inlineStr">
        <is>
          <t>DIEBOLD</t>
        </is>
      </c>
      <c r="D267" t="inlineStr">
        <is>
          <t>DIEBOLD</t>
        </is>
      </c>
      <c r="E267" s="3" t="n">
        <v>46092</v>
      </c>
      <c r="F267" s="3" t="n">
        <v>46091</v>
      </c>
      <c r="G267" t="inlineStr">
        <is>
          <t>10:34:00</t>
        </is>
      </c>
      <c r="H267" t="n">
        <v>59695600</v>
      </c>
      <c r="I267" t="n">
        <v>223551100</v>
      </c>
      <c r="J267" t="n">
        <v>3770000</v>
      </c>
      <c r="K267" t="n">
        <v>14578000</v>
      </c>
      <c r="M267">
        <f>I267-(H267+J267-K267)- L267</f>
        <v/>
      </c>
      <c r="N267">
        <f>IF(M267=0,"Cuadrado",IF(M267&gt;0,"Faltante","Sobrante"))</f>
        <v/>
      </c>
      <c r="O267" t="inlineStr">
        <is>
          <t>ACLARAR DIFERENCIA Y REPETIR EL ARQUEO</t>
        </is>
      </c>
      <c r="P267" t="n">
        <v>1036606819</v>
      </c>
    </row>
    <row r="268">
      <c r="A268" t="n">
        <v>214</v>
      </c>
      <c r="B268" t="n">
        <v>1469</v>
      </c>
      <c r="C268" t="inlineStr">
        <is>
          <t>BELLTECH</t>
        </is>
      </c>
      <c r="D268" t="inlineStr">
        <is>
          <t>BELLTECH</t>
        </is>
      </c>
      <c r="E268" s="3" t="n">
        <v>46092</v>
      </c>
      <c r="F268" s="3" t="n">
        <v>46091</v>
      </c>
      <c r="G268" t="inlineStr">
        <is>
          <t>14:26:00</t>
        </is>
      </c>
      <c r="H268" t="n">
        <v>155476900</v>
      </c>
      <c r="I268" t="n">
        <v>88040900</v>
      </c>
      <c r="J268" t="n">
        <v>7960000</v>
      </c>
      <c r="K268" t="n">
        <v>75505000</v>
      </c>
      <c r="L268" t="n">
        <v>0</v>
      </c>
      <c r="M268">
        <f>I268-(H268+J268-K268)- L268</f>
        <v/>
      </c>
      <c r="N268">
        <f>IF(M268=0,"Cuadrado",IF(M268&gt;0,"Faltante","Sobrante"))</f>
        <v/>
      </c>
      <c r="O26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268" t="n">
        <v>1143387256</v>
      </c>
    </row>
    <row r="269">
      <c r="A269" t="n">
        <v>692</v>
      </c>
      <c r="B269" t="n">
        <v>1515</v>
      </c>
      <c r="C269" t="inlineStr">
        <is>
          <t>BELLTECH</t>
        </is>
      </c>
      <c r="D269" t="inlineStr">
        <is>
          <t>BELLTECH</t>
        </is>
      </c>
      <c r="E269" s="3" t="n">
        <v>46092</v>
      </c>
      <c r="F269" s="3" t="n">
        <v>46091</v>
      </c>
      <c r="G269" t="inlineStr">
        <is>
          <t>10:13:00</t>
        </is>
      </c>
      <c r="H269" t="n">
        <v>89771450</v>
      </c>
      <c r="I269" t="n">
        <v>73017250</v>
      </c>
      <c r="J269" t="n">
        <v>5550000</v>
      </c>
      <c r="K269" t="n">
        <v>22304300</v>
      </c>
      <c r="M269">
        <f>I269-(H269+J269-K269)- L269</f>
        <v/>
      </c>
      <c r="N269">
        <f>IF(M269=0,"Cuadrado",IF(M269&gt;0,"Faltante","Sobrante"))</f>
        <v/>
      </c>
      <c r="O26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69" t="n">
        <v>30840635</v>
      </c>
    </row>
    <row r="270">
      <c r="A270" t="n">
        <v>692</v>
      </c>
      <c r="B270" t="n">
        <v>1516</v>
      </c>
      <c r="C270" t="inlineStr">
        <is>
          <t>BELLTECH</t>
        </is>
      </c>
      <c r="D270" t="inlineStr">
        <is>
          <t>BELLTECH</t>
        </is>
      </c>
      <c r="E270" s="3" t="n">
        <v>46092</v>
      </c>
      <c r="F270" s="3" t="n">
        <v>46091</v>
      </c>
      <c r="G270" t="inlineStr">
        <is>
          <t>10:39:00</t>
        </is>
      </c>
      <c r="H270" t="n">
        <v>51417200</v>
      </c>
      <c r="I270" t="n">
        <v>43962300</v>
      </c>
      <c r="J270" t="n">
        <v>4370000</v>
      </c>
      <c r="K270" t="n">
        <v>11825000</v>
      </c>
      <c r="M270">
        <f>I270-(H270+J270-K270)- L270</f>
        <v/>
      </c>
      <c r="N270">
        <f>IF(M270=0,"Cuadrado",IF(M270&gt;0,"Faltante","Sobrante"))</f>
        <v/>
      </c>
      <c r="O27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0" t="n">
        <v>30840635</v>
      </c>
    </row>
    <row r="271">
      <c r="A271" t="n">
        <v>395</v>
      </c>
      <c r="B271" t="n">
        <v>1528</v>
      </c>
      <c r="C271" t="inlineStr">
        <is>
          <t>BELLTECH</t>
        </is>
      </c>
      <c r="D271" t="inlineStr">
        <is>
          <t>BELLTECH</t>
        </is>
      </c>
      <c r="E271" s="3" t="n">
        <v>46092</v>
      </c>
      <c r="F271" s="3" t="n">
        <v>46091</v>
      </c>
      <c r="G271" t="inlineStr">
        <is>
          <t>09:12:00</t>
        </is>
      </c>
      <c r="H271" t="n">
        <v>247877350</v>
      </c>
      <c r="I271" t="n">
        <v>229078750</v>
      </c>
      <c r="J271" t="n">
        <v>1700000</v>
      </c>
      <c r="K271" t="n">
        <v>0</v>
      </c>
      <c r="L271" t="n">
        <v>-20498600</v>
      </c>
      <c r="M271">
        <f>I271-(H271+J271-K271)- L271</f>
        <v/>
      </c>
      <c r="N271">
        <f>IF(M271=0,"Cuadrado",IF(M271&gt;0,"Faltante","Sobrante"))</f>
        <v/>
      </c>
      <c r="O271" t="inlineStr">
        <is>
          <t>El faltante $1.300 es cruzado con sobrante contabilizado el día 10/03/2026 el cual es reversado por la seccion el día 11/03/2026</t>
        </is>
      </c>
      <c r="P271" t="n">
        <v>1121857901</v>
      </c>
    </row>
    <row r="272">
      <c r="A272" t="n">
        <v>395</v>
      </c>
      <c r="B272" t="n">
        <v>1529</v>
      </c>
      <c r="C272" t="inlineStr">
        <is>
          <t>BELLTECH</t>
        </is>
      </c>
      <c r="D272" t="inlineStr">
        <is>
          <t>BELLTECH</t>
        </is>
      </c>
      <c r="E272" s="3" t="n">
        <v>46092</v>
      </c>
      <c r="F272" s="3" t="n">
        <v>46091</v>
      </c>
      <c r="G272" t="inlineStr">
        <is>
          <t>10:01:00</t>
        </is>
      </c>
      <c r="H272" t="n">
        <v>278497800</v>
      </c>
      <c r="I272" t="n">
        <v>234927800</v>
      </c>
      <c r="J272" t="n">
        <v>3200000</v>
      </c>
      <c r="K272" t="n">
        <v>11000000</v>
      </c>
      <c r="L272" t="n">
        <v>-35770000</v>
      </c>
      <c r="M272">
        <f>I272-(H272+J272-K272)- L272</f>
        <v/>
      </c>
      <c r="N272">
        <f>IF(M272=0,"Cuadrado",IF(M272&gt;0,"Faltante","Sobrante"))</f>
        <v/>
      </c>
      <c r="O272" t="inlineStr">
        <is>
          <t>Cajero cuadrado, sin observación por parte de la sucursal</t>
        </is>
      </c>
      <c r="P272" t="n">
        <v>1121857901</v>
      </c>
    </row>
    <row r="273">
      <c r="A273" t="n">
        <v>167</v>
      </c>
      <c r="B273" t="n">
        <v>5030</v>
      </c>
      <c r="C273" t="inlineStr">
        <is>
          <t>BELLTECH</t>
        </is>
      </c>
      <c r="D273" t="inlineStr">
        <is>
          <t>BELLTECH</t>
        </is>
      </c>
      <c r="E273" s="3" t="n">
        <v>46092</v>
      </c>
      <c r="F273" s="3" t="n">
        <v>46091</v>
      </c>
      <c r="G273" t="inlineStr">
        <is>
          <t>11:29:00</t>
        </is>
      </c>
      <c r="H273" t="n">
        <v>390208900</v>
      </c>
      <c r="I273" t="n">
        <v>372430300</v>
      </c>
      <c r="J273" t="n">
        <v>6340000</v>
      </c>
      <c r="K273" t="n">
        <v>20411800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11/03/2026</t>
        </is>
      </c>
      <c r="P273" t="n">
        <v>80076538</v>
      </c>
    </row>
    <row r="274">
      <c r="A274" t="n">
        <v>81</v>
      </c>
      <c r="B274" t="n">
        <v>5036</v>
      </c>
      <c r="C274" t="inlineStr">
        <is>
          <t>BELLTECH</t>
        </is>
      </c>
      <c r="D274" t="inlineStr">
        <is>
          <t>BELLTECH</t>
        </is>
      </c>
      <c r="E274" s="3" t="n">
        <v>46092</v>
      </c>
      <c r="F274" s="3" t="n">
        <v>46091</v>
      </c>
      <c r="G274" t="inlineStr">
        <is>
          <t>00:00:00</t>
        </is>
      </c>
      <c r="H274" t="n">
        <v>264980400</v>
      </c>
      <c r="I274" t="n">
        <v>256847400</v>
      </c>
      <c r="J274" t="n">
        <v>0</v>
      </c>
      <c r="K274" t="n">
        <v>0</v>
      </c>
      <c r="L274" t="n">
        <v>480000</v>
      </c>
      <c r="M274">
        <f>I274-(H274+J274-K274)- L274</f>
        <v/>
      </c>
      <c r="N274">
        <f>IF(M274=0,"Cuadrado",IF(M274&gt;0,"Faltante","Sobrante"))</f>
        <v/>
      </c>
      <c r="O274" t="inlineStr">
        <is>
          <t>La diferencia es contabilizada por la Gerencia De Autoservicios y Efectivo de manera centralizada a la cuenta de sobrantes 279510020 el 11/03/2026</t>
        </is>
      </c>
      <c r="P274" t="n">
        <v>78691277</v>
      </c>
    </row>
    <row r="275">
      <c r="A275" t="n">
        <v>154</v>
      </c>
      <c r="B275" t="n">
        <v>5041</v>
      </c>
      <c r="C275" t="inlineStr">
        <is>
          <t>BELLTECH</t>
        </is>
      </c>
      <c r="D275" t="inlineStr">
        <is>
          <t>BELLTECH</t>
        </is>
      </c>
      <c r="E275" s="3" t="n">
        <v>46092</v>
      </c>
      <c r="F275" s="3" t="n">
        <v>46091</v>
      </c>
      <c r="G275" t="inlineStr">
        <is>
          <t>10:02:00</t>
        </is>
      </c>
      <c r="H275" t="n">
        <v>41677350</v>
      </c>
      <c r="I275" t="n">
        <v>225529850</v>
      </c>
      <c r="J275" t="n">
        <v>5500000</v>
      </c>
      <c r="K275" t="n">
        <v>11655000</v>
      </c>
      <c r="L275" t="n">
        <v>192863000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11/03/2026</t>
        </is>
      </c>
      <c r="P275" t="n">
        <v>1013581728</v>
      </c>
    </row>
    <row r="276">
      <c r="A276" t="n">
        <v>852</v>
      </c>
      <c r="B276" t="n">
        <v>5050</v>
      </c>
      <c r="C276" t="inlineStr">
        <is>
          <t>BELLTECH</t>
        </is>
      </c>
      <c r="D276" t="inlineStr">
        <is>
          <t>BELLTECH</t>
        </is>
      </c>
      <c r="E276" s="3" t="n">
        <v>46092</v>
      </c>
      <c r="F276" s="3" t="n">
        <v>46091</v>
      </c>
      <c r="G276" t="inlineStr">
        <is>
          <t>09:58:00</t>
        </is>
      </c>
      <c r="H276" t="n">
        <v>130873350</v>
      </c>
      <c r="I276" t="n">
        <v>131543350</v>
      </c>
      <c r="J276" t="n">
        <v>5720000</v>
      </c>
      <c r="K276" t="n">
        <v>5250000</v>
      </c>
      <c r="L276" t="n">
        <v>200000</v>
      </c>
      <c r="M276">
        <f>I276-(H276+J276-K276)- L276</f>
        <v/>
      </c>
      <c r="N276">
        <f>IF(M276=0,"Cuadrado",IF(M276&gt;0,"Faltante","Sobrante"))</f>
        <v/>
      </c>
      <c r="O276" t="inlineStr">
        <is>
          <t>El faltante $200.000 es cruzado con sobrante contabilizado el día 04/03/2026 el cual es reversado por la seccion el día 11/03/2026</t>
        </is>
      </c>
      <c r="P276" t="n">
        <v>1088251245</v>
      </c>
    </row>
    <row r="277">
      <c r="A277" t="n">
        <v>7</v>
      </c>
      <c r="B277" t="n">
        <v>5059</v>
      </c>
      <c r="C277" t="inlineStr">
        <is>
          <t>BELLTECH</t>
        </is>
      </c>
      <c r="D277" t="inlineStr">
        <is>
          <t>BELLTECH</t>
        </is>
      </c>
      <c r="E277" s="3" t="n">
        <v>46092</v>
      </c>
      <c r="F277" s="3" t="n">
        <v>46091</v>
      </c>
      <c r="G277" t="inlineStr">
        <is>
          <t>09:29:00</t>
        </is>
      </c>
      <c r="H277" t="n">
        <v>248127350</v>
      </c>
      <c r="I277" t="n">
        <v>244135150</v>
      </c>
      <c r="J277" t="n">
        <v>650000</v>
      </c>
      <c r="K277" t="n">
        <v>3250000</v>
      </c>
      <c r="L277" t="n">
        <v>-1392200</v>
      </c>
      <c r="M277">
        <f>I277-(H277+J277-K277)- L277</f>
        <v/>
      </c>
      <c r="N277">
        <f>IF(M277=0,"Cuadrado",IF(M277&gt;0,"Faltante","Sobrante"))</f>
        <v/>
      </c>
      <c r="O277" t="inlineStr">
        <is>
          <t>El faltante $217.800 es cruzado con sobrante contabilizado el día 10/03/2026 el cual es reversado por la seccion el día 11/03/2026</t>
        </is>
      </c>
      <c r="P277" t="n">
        <v>1020460907</v>
      </c>
    </row>
    <row r="278">
      <c r="A278" t="n">
        <v>333</v>
      </c>
      <c r="B278" t="n">
        <v>5076</v>
      </c>
      <c r="C278" t="inlineStr">
        <is>
          <t>BELLTECH</t>
        </is>
      </c>
      <c r="D278" t="inlineStr">
        <is>
          <t>BELLTECH</t>
        </is>
      </c>
      <c r="E278" s="3" t="n">
        <v>46092</v>
      </c>
      <c r="F278" s="3" t="n">
        <v>46091</v>
      </c>
      <c r="G278" t="inlineStr">
        <is>
          <t>11:10:00</t>
        </is>
      </c>
      <c r="H278" t="n">
        <v>74330550</v>
      </c>
      <c r="I278" t="n">
        <v>244405850</v>
      </c>
      <c r="J278" t="n">
        <v>9280000</v>
      </c>
      <c r="K278" t="n">
        <v>31447000</v>
      </c>
      <c r="L278" t="n">
        <v>191211800</v>
      </c>
      <c r="M278">
        <f>I278-(H278+J278-K278)- L278</f>
        <v/>
      </c>
      <c r="N278">
        <f>IF(M278=0,"Cuadrado",IF(M278&gt;0,"Faltante","Sobrante"))</f>
        <v/>
      </c>
      <c r="O27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8" t="n">
        <v>1036606819</v>
      </c>
    </row>
    <row r="279">
      <c r="A279" t="n">
        <v>419</v>
      </c>
      <c r="B279" t="n">
        <v>5077</v>
      </c>
      <c r="C279" t="inlineStr">
        <is>
          <t>BELLTECH</t>
        </is>
      </c>
      <c r="D279" t="inlineStr">
        <is>
          <t>BELLTECH</t>
        </is>
      </c>
      <c r="E279" s="3" t="n">
        <v>46092</v>
      </c>
      <c r="F279" s="3" t="n">
        <v>46091</v>
      </c>
      <c r="G279" t="inlineStr">
        <is>
          <t>08:34:00</t>
        </is>
      </c>
      <c r="H279" t="n">
        <v>197190900</v>
      </c>
      <c r="I279" t="n">
        <v>188944900</v>
      </c>
      <c r="J279" t="n">
        <v>1500000</v>
      </c>
      <c r="K279" t="n">
        <v>350000</v>
      </c>
      <c r="M279">
        <f>I279-(H279+J279-K279)- L279</f>
        <v/>
      </c>
      <c r="N279">
        <f>IF(M279=0,"Cuadrado",IF(M279&gt;0,"Faltante","Sobrante"))</f>
        <v/>
      </c>
      <c r="O279" t="inlineStr">
        <is>
          <t>La diferencia es contabilizada por la Gerencia De Autoservicios y Efectivo de manera centralizada a la cuenta de sobrantes 279510020 el 11/03/2026</t>
        </is>
      </c>
      <c r="P279" t="n">
        <v>79248430</v>
      </c>
    </row>
    <row r="280">
      <c r="A280" t="n">
        <v>523</v>
      </c>
      <c r="B280" t="n">
        <v>5082</v>
      </c>
      <c r="C280" t="inlineStr">
        <is>
          <t>BELLTECH</t>
        </is>
      </c>
      <c r="D280" t="inlineStr">
        <is>
          <t>BELLTECH</t>
        </is>
      </c>
      <c r="E280" s="3" t="n">
        <v>46092</v>
      </c>
      <c r="F280" s="3" t="n">
        <v>46091</v>
      </c>
      <c r="G280" t="inlineStr">
        <is>
          <t>09:02:00</t>
        </is>
      </c>
      <c r="H280" t="n">
        <v>232296900</v>
      </c>
      <c r="I280" t="n">
        <v>175309750</v>
      </c>
      <c r="J280" t="n">
        <v>3000000</v>
      </c>
      <c r="K280" t="n">
        <v>49585950</v>
      </c>
      <c r="L280" t="n">
        <v>-10400050</v>
      </c>
      <c r="M280">
        <f>I280-(H280+J280-K280)- L280</f>
        <v/>
      </c>
      <c r="N280">
        <f>IF(M280=0,"Cuadrado",IF(M280&gt;0,"Faltante","Sobrante"))</f>
        <v/>
      </c>
      <c r="O280" t="inlineStr">
        <is>
          <t>La diferencia es contabilizada por la Gerencia De Autoservicios y Efectivo de manera centralizada a la cuenta de sobrantes 279510020 el 11/03/2026</t>
        </is>
      </c>
      <c r="P280" t="n">
        <v>1065609766</v>
      </c>
    </row>
    <row r="281">
      <c r="A281" t="n">
        <v>659</v>
      </c>
      <c r="B281" t="n">
        <v>5102</v>
      </c>
      <c r="C281" t="inlineStr">
        <is>
          <t>BELLTECH</t>
        </is>
      </c>
      <c r="D281" t="inlineStr">
        <is>
          <t>BELLTECH</t>
        </is>
      </c>
      <c r="E281" s="3" t="n">
        <v>46092</v>
      </c>
      <c r="F281" s="3" t="n">
        <v>46091</v>
      </c>
      <c r="G281" t="inlineStr">
        <is>
          <t>10:24:00</t>
        </is>
      </c>
      <c r="H281" t="n">
        <v>306329950</v>
      </c>
      <c r="I281" t="n">
        <v>304148950</v>
      </c>
      <c r="J281" t="n">
        <v>12900000</v>
      </c>
      <c r="K281" t="n">
        <v>15015000</v>
      </c>
      <c r="M281">
        <f>I281-(H281+J281-K281)- L281</f>
        <v/>
      </c>
      <c r="N281">
        <f>IF(M281=0,"Cuadrado",IF(M281&gt;0,"Faltante","Sobrante"))</f>
        <v/>
      </c>
      <c r="O281" t="inlineStr">
        <is>
          <t>La diferencia es contabilizada por la Gerencia De Autoservicios y Efectivo de manera centralizada a la cuenta de sobrantes 279510020 el 11/03/2026</t>
        </is>
      </c>
      <c r="P281" t="n">
        <v>39575034</v>
      </c>
    </row>
    <row r="282">
      <c r="A282" t="n">
        <v>191</v>
      </c>
      <c r="B282" t="n">
        <v>5112</v>
      </c>
      <c r="C282" t="inlineStr">
        <is>
          <t>BELLTECH</t>
        </is>
      </c>
      <c r="D282" t="inlineStr">
        <is>
          <t>BELLTECH</t>
        </is>
      </c>
      <c r="E282" s="3" t="n">
        <v>46092</v>
      </c>
      <c r="F282" s="3" t="n">
        <v>46091</v>
      </c>
      <c r="G282" t="inlineStr">
        <is>
          <t>15:01:00</t>
        </is>
      </c>
      <c r="H282" t="n">
        <v>241471100</v>
      </c>
      <c r="I282" t="n">
        <v>178543950</v>
      </c>
      <c r="J282" t="n">
        <v>14660000</v>
      </c>
      <c r="K282" t="n">
        <v>77586150</v>
      </c>
      <c r="M282">
        <f>I282-(H282+J282-K282)- L282</f>
        <v/>
      </c>
      <c r="N282">
        <f>IF(M282=0,"Cuadrado",IF(M282&gt;0,"Faltante","Sobrante"))</f>
        <v/>
      </c>
      <c r="O282" t="inlineStr">
        <is>
          <t>La diferencia es contabilizada por la Gerencia De Autoservicios y Efectivo de manera centralizada a la cuenta de sobrantes 279510020 el 11/03/2026</t>
        </is>
      </c>
      <c r="P282" t="n">
        <v>80812756</v>
      </c>
    </row>
    <row r="283">
      <c r="A283" t="n">
        <v>789</v>
      </c>
      <c r="B283" t="n">
        <v>5118</v>
      </c>
      <c r="C283" t="inlineStr">
        <is>
          <t>DIEBOLD</t>
        </is>
      </c>
      <c r="D283" t="inlineStr">
        <is>
          <t>BELLTECH</t>
        </is>
      </c>
      <c r="E283" s="3" t="n">
        <v>46092</v>
      </c>
      <c r="F283" s="3" t="n">
        <v>46091</v>
      </c>
      <c r="G283" t="inlineStr">
        <is>
          <t>08:56:00</t>
        </is>
      </c>
      <c r="H283" t="n">
        <v>47322000</v>
      </c>
      <c r="I283" t="n">
        <v>239926000</v>
      </c>
      <c r="J283" t="n">
        <v>4220000</v>
      </c>
      <c r="K283" t="n">
        <v>35089000</v>
      </c>
      <c r="L283" t="inlineStr">
        <is>
          <t>225,743,000</t>
        </is>
      </c>
      <c r="M283">
        <f>I283-(H283+J283-K283)- L283</f>
        <v/>
      </c>
      <c r="N283">
        <f>IF(M283=0,"Cuadrado",IF(M283&gt;0,"Faltante","Sobrante"))</f>
        <v/>
      </c>
      <c r="O283" t="inlineStr">
        <is>
          <t>La diferencia es contabilizada por la Gerencia De Autoservicios y Efectivo de manera centralizada a la cuenta de sobrantes 279510020 el 11/03/2026</t>
        </is>
      </c>
      <c r="P283" t="n">
        <v>1102835683</v>
      </c>
    </row>
    <row r="284">
      <c r="A284" t="n">
        <v>40</v>
      </c>
      <c r="B284" t="n">
        <v>5142</v>
      </c>
      <c r="C284" t="inlineStr">
        <is>
          <t>BELLTECH</t>
        </is>
      </c>
      <c r="D284" t="inlineStr">
        <is>
          <t>BELLTECH</t>
        </is>
      </c>
      <c r="E284" s="3" t="n">
        <v>46092</v>
      </c>
      <c r="F284" s="3" t="n">
        <v>46091</v>
      </c>
      <c r="G284" t="inlineStr">
        <is>
          <t>09:51:00</t>
        </is>
      </c>
      <c r="H284" t="n">
        <v>360066200</v>
      </c>
      <c r="I284" t="n">
        <v>372136200</v>
      </c>
      <c r="J284" t="n">
        <v>13500000</v>
      </c>
      <c r="K284" t="n">
        <v>0</v>
      </c>
      <c r="M284">
        <f>I284-(H284+J284-K284)- L284</f>
        <v/>
      </c>
      <c r="N284">
        <f>IF(M284=0,"Cuadrado",IF(M284&gt;0,"Faltante","Sobrante"))</f>
        <v/>
      </c>
      <c r="O284" t="inlineStr">
        <is>
          <t>La diferencia es contabilizada por la Gerencia De Autoservicios y Efectivo de manera centralizada a la cuenta de sobrantes 279510020 el 11/03/2026</t>
        </is>
      </c>
      <c r="P284" t="n">
        <v>36312040</v>
      </c>
    </row>
    <row r="285">
      <c r="A285" t="n">
        <v>812</v>
      </c>
      <c r="B285" t="n">
        <v>5144</v>
      </c>
      <c r="C285" t="inlineStr">
        <is>
          <t>BELLTECH</t>
        </is>
      </c>
      <c r="D285" t="inlineStr">
        <is>
          <t>BELLTECH</t>
        </is>
      </c>
      <c r="E285" s="3" t="n">
        <v>46092</v>
      </c>
      <c r="F285" s="3" t="n">
        <v>46091</v>
      </c>
      <c r="G285" t="inlineStr">
        <is>
          <t>11:06:00</t>
        </is>
      </c>
      <c r="H285" t="n">
        <v>365382300</v>
      </c>
      <c r="I285" t="n">
        <v>268682200</v>
      </c>
      <c r="J285" t="n">
        <v>15640000</v>
      </c>
      <c r="K285" t="n">
        <v>107739600</v>
      </c>
      <c r="M285">
        <f>I285-(H285+J285-K285)- L285</f>
        <v/>
      </c>
      <c r="N285">
        <f>IF(M285=0,"Cuadrado",IF(M285&gt;0,"Faltante","Sobrante"))</f>
        <v/>
      </c>
      <c r="O285" t="inlineStr">
        <is>
          <t>La diferencia es contabilizada por la Gerencia De Autoservicios y Efectivo de manera centralizada a la cuenta de sobrantes 279510020 el 11/03/2026</t>
        </is>
      </c>
      <c r="P285" t="n">
        <v>31711383</v>
      </c>
    </row>
    <row r="286">
      <c r="A286" t="n">
        <v>358</v>
      </c>
      <c r="B286" t="n">
        <v>5149</v>
      </c>
      <c r="C286" t="inlineStr">
        <is>
          <t>BELLTECH</t>
        </is>
      </c>
      <c r="D286" t="inlineStr">
        <is>
          <t>BELLTECH</t>
        </is>
      </c>
      <c r="E286" s="3" t="n">
        <v>46092</v>
      </c>
      <c r="F286" s="3" t="n">
        <v>46091</v>
      </c>
      <c r="G286" t="inlineStr">
        <is>
          <t>09:47:00</t>
        </is>
      </c>
      <c r="H286" t="n">
        <v>215885950</v>
      </c>
      <c r="I286" t="n">
        <v>206727800</v>
      </c>
      <c r="J286" t="n">
        <v>15100000</v>
      </c>
      <c r="K286" t="n">
        <v>19062150</v>
      </c>
      <c r="M286">
        <f>I286-(H286+J286-K286)- L286</f>
        <v/>
      </c>
      <c r="N286">
        <f>IF(M286=0,"Cuadrado",IF(M286&gt;0,"Faltante","Sobrante"))</f>
        <v/>
      </c>
      <c r="O286" t="inlineStr">
        <is>
          <t>La diferencia es contabilizada por la Gerencia De Autoservicios y Efectivo de manera centralizada a la cuenta de sobrantes 279510020 el 11/03/2026</t>
        </is>
      </c>
      <c r="P286" t="n">
        <v>46456877</v>
      </c>
    </row>
    <row r="287">
      <c r="A287" t="n">
        <v>70</v>
      </c>
      <c r="B287" t="n">
        <v>5164</v>
      </c>
      <c r="C287" t="inlineStr">
        <is>
          <t>BELLTECH</t>
        </is>
      </c>
      <c r="D287" t="inlineStr">
        <is>
          <t>BELLTECH</t>
        </is>
      </c>
      <c r="E287" s="3" t="n">
        <v>46092</v>
      </c>
      <c r="F287" s="3" t="n">
        <v>46091</v>
      </c>
      <c r="G287" t="inlineStr">
        <is>
          <t>10:28:00</t>
        </is>
      </c>
      <c r="H287" t="n">
        <v>263572150</v>
      </c>
      <c r="I287" t="n">
        <v>238456500</v>
      </c>
      <c r="J287" t="n">
        <v>3570000</v>
      </c>
      <c r="K287" t="n">
        <v>30530650</v>
      </c>
      <c r="M287">
        <f>I287-(H287+J287-K287)- L287</f>
        <v/>
      </c>
      <c r="N287">
        <f>IF(M287=0,"Cuadrado",IF(M287&gt;0,"Faltante","Sobrante"))</f>
        <v/>
      </c>
      <c r="O287" t="inlineStr">
        <is>
          <t>ACLARAR DIFERENCIA Y REPETIR EL ARQUEO</t>
        </is>
      </c>
      <c r="P287" t="n">
        <v>1053770486</v>
      </c>
    </row>
    <row r="288">
      <c r="A288" t="n">
        <v>363</v>
      </c>
      <c r="B288" t="n">
        <v>5168</v>
      </c>
      <c r="C288" t="inlineStr">
        <is>
          <t>BELLTECH</t>
        </is>
      </c>
      <c r="D288" t="inlineStr">
        <is>
          <t>BELLTECH</t>
        </is>
      </c>
      <c r="E288" s="3" t="n">
        <v>46092</v>
      </c>
      <c r="F288" s="3" t="n">
        <v>46091</v>
      </c>
      <c r="G288" t="inlineStr">
        <is>
          <t>09:07:00</t>
        </is>
      </c>
      <c r="H288" t="n">
        <v>340579350</v>
      </c>
      <c r="I288" t="n">
        <v>345006350</v>
      </c>
      <c r="J288" t="n">
        <v>9810000</v>
      </c>
      <c r="K288" t="n">
        <v>3100000</v>
      </c>
      <c r="M288">
        <f>I288-(H288+J288-K288)- L288</f>
        <v/>
      </c>
      <c r="N288">
        <f>IF(M288=0,"Cuadrado",IF(M288&gt;0,"Faltante","Sobrante"))</f>
        <v/>
      </c>
      <c r="O288" t="inlineStr">
        <is>
          <t>La diferencia es contabilizada por la Gerencia De Autoservicios y Efectivo de manera centralizada a la cuenta de sobrantes 279510020 el 11/03/2026</t>
        </is>
      </c>
      <c r="P288" t="n">
        <v>33646675</v>
      </c>
    </row>
    <row r="289">
      <c r="A289" t="n">
        <v>302</v>
      </c>
      <c r="B289" t="n">
        <v>5170</v>
      </c>
      <c r="C289" t="inlineStr">
        <is>
          <t>BELLTECH</t>
        </is>
      </c>
      <c r="D289" t="inlineStr">
        <is>
          <t>BELLTECH</t>
        </is>
      </c>
      <c r="E289" s="3" t="n">
        <v>46092</v>
      </c>
      <c r="F289" s="3" t="n">
        <v>46091</v>
      </c>
      <c r="G289" t="inlineStr">
        <is>
          <t>10:56:00</t>
        </is>
      </c>
      <c r="H289" t="n">
        <v>99606900</v>
      </c>
      <c r="I289" t="n">
        <v>204753100</v>
      </c>
      <c r="J289" t="n">
        <v>13120000</v>
      </c>
      <c r="K289" t="n">
        <v>31223800</v>
      </c>
      <c r="L289" t="n">
        <v>123240000</v>
      </c>
      <c r="M289">
        <f>I289-(H289+J289-K289)- L289</f>
        <v/>
      </c>
      <c r="N289">
        <f>IF(M289=0,"Cuadrado",IF(M289&gt;0,"Faltante","Sobrante"))</f>
        <v/>
      </c>
      <c r="O28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89" t="n">
        <v>1102374502</v>
      </c>
    </row>
    <row r="290">
      <c r="A290" t="n">
        <v>253</v>
      </c>
      <c r="B290" t="n">
        <v>5176</v>
      </c>
      <c r="C290" t="inlineStr">
        <is>
          <t>BELLTECH</t>
        </is>
      </c>
      <c r="D290" t="inlineStr">
        <is>
          <t>BELLTECH</t>
        </is>
      </c>
      <c r="E290" s="3" t="n">
        <v>46092</v>
      </c>
      <c r="F290" s="3" t="n">
        <v>46091</v>
      </c>
      <c r="G290" t="inlineStr">
        <is>
          <t>10:18:00</t>
        </is>
      </c>
      <c r="H290" t="n">
        <v>263606750</v>
      </c>
      <c r="I290" t="n">
        <v>250669750</v>
      </c>
      <c r="J290" t="n">
        <v>7310000</v>
      </c>
      <c r="K290" t="n">
        <v>13345000</v>
      </c>
      <c r="M290">
        <f>I290-(H290+J290-K290)- L290</f>
        <v/>
      </c>
      <c r="N290">
        <f>IF(M290=0,"Cuadrado",IF(M290&gt;0,"Faltante","Sobrante"))</f>
        <v/>
      </c>
      <c r="O290" t="inlineStr">
        <is>
          <t>La diferencia es contabilizada por la Gerencia De Autoservicios y Efectivo de manera centralizada a la cuenta de sobrantes 279510020 el 11/03/2026</t>
        </is>
      </c>
      <c r="P290" t="n">
        <v>1017241432</v>
      </c>
    </row>
    <row r="291">
      <c r="A291" t="n">
        <v>716</v>
      </c>
      <c r="B291" t="n">
        <v>5192</v>
      </c>
      <c r="C291" t="inlineStr">
        <is>
          <t>BELLTECH</t>
        </is>
      </c>
      <c r="D291" t="inlineStr">
        <is>
          <t>BELLTECH</t>
        </is>
      </c>
      <c r="E291" s="3" t="n">
        <v>46092</v>
      </c>
      <c r="F291" s="3" t="n">
        <v>46091</v>
      </c>
      <c r="G291" t="inlineStr">
        <is>
          <t>11:14:00</t>
        </is>
      </c>
      <c r="H291" t="n">
        <v>94632700</v>
      </c>
      <c r="I291" t="n">
        <v>59457900</v>
      </c>
      <c r="J291" t="n">
        <v>17580000</v>
      </c>
      <c r="K291" t="n">
        <v>52750000</v>
      </c>
      <c r="M291">
        <f>I291-(H291+J291-K291)- L291</f>
        <v/>
      </c>
      <c r="N291">
        <f>IF(M291=0,"Cuadrado",IF(M291&gt;0,"Faltante","Sobrante"))</f>
        <v/>
      </c>
      <c r="O291" t="inlineStr">
        <is>
          <t>La diferencia es contabilizada por la Gerencia De Autoservicios y Efectivo de manera centralizada a la cuenta de sobrantes 279510020 el 11/03/2026</t>
        </is>
      </c>
      <c r="P291" t="n">
        <v>1144081082</v>
      </c>
    </row>
    <row r="292">
      <c r="A292" t="n">
        <v>674</v>
      </c>
      <c r="B292" t="n">
        <v>5200</v>
      </c>
      <c r="C292" t="inlineStr">
        <is>
          <t>BELLTECH</t>
        </is>
      </c>
      <c r="D292" t="inlineStr">
        <is>
          <t>BELLTECH</t>
        </is>
      </c>
      <c r="E292" s="3" t="n">
        <v>46092</v>
      </c>
      <c r="F292" s="3" t="n">
        <v>46091</v>
      </c>
      <c r="G292" t="inlineStr">
        <is>
          <t>09:15:00</t>
        </is>
      </c>
      <c r="H292" t="n">
        <v>140168250</v>
      </c>
      <c r="I292" t="n">
        <v>141329250</v>
      </c>
      <c r="J292" t="n">
        <v>5780000</v>
      </c>
      <c r="K292" t="n">
        <v>7499000</v>
      </c>
      <c r="L292" t="n">
        <v>2880000</v>
      </c>
      <c r="M292">
        <f>I292-(H292+J292-K292)- L292</f>
        <v/>
      </c>
      <c r="N292">
        <f>IF(M292=0,"Cuadrado",IF(M292&gt;0,"Faltante","Sobrante"))</f>
        <v/>
      </c>
      <c r="O292" t="inlineStr">
        <is>
          <t>El faltante $22.400.000 es cruzado con sobrante contabilizado el día 06/03/2026 el cual es reversado por la seccion el día 11/03/2026</t>
        </is>
      </c>
      <c r="P292" t="n">
        <v>79813088</v>
      </c>
    </row>
    <row r="293">
      <c r="A293" t="n">
        <v>606</v>
      </c>
      <c r="B293" t="n">
        <v>5201</v>
      </c>
      <c r="C293" t="inlineStr">
        <is>
          <t>BELLTECH</t>
        </is>
      </c>
      <c r="D293" t="inlineStr">
        <is>
          <t>BELLTECH</t>
        </is>
      </c>
      <c r="E293" s="3" t="n">
        <v>46092</v>
      </c>
      <c r="F293" s="3" t="n">
        <v>46091</v>
      </c>
      <c r="G293" t="inlineStr">
        <is>
          <t>10:20:00</t>
        </is>
      </c>
      <c r="H293" t="n">
        <v>172851050</v>
      </c>
      <c r="I293" t="n">
        <v>137350250</v>
      </c>
      <c r="J293" t="n">
        <v>8780000</v>
      </c>
      <c r="K293" t="n">
        <v>43280800</v>
      </c>
      <c r="M293">
        <f>I293-(H293+J293-K293)- L293</f>
        <v/>
      </c>
      <c r="N293">
        <f>IF(M293=0,"Cuadrado",IF(M293&gt;0,"Faltante","Sobrante"))</f>
        <v/>
      </c>
      <c r="O293" t="inlineStr">
        <is>
          <t>La diferencia es contabilizada por la Gerencia De Autoservicios y Efectivo de manera centralizada a la cuenta de sobrantes 279510020 el 11/03/2026</t>
        </is>
      </c>
      <c r="P293" t="n">
        <v>33368879</v>
      </c>
    </row>
    <row r="294">
      <c r="A294" t="n">
        <v>625</v>
      </c>
      <c r="B294" t="n">
        <v>6096</v>
      </c>
      <c r="C294" t="inlineStr">
        <is>
          <t>BELLTECH</t>
        </is>
      </c>
      <c r="D294" t="inlineStr">
        <is>
          <t>BELLTECH</t>
        </is>
      </c>
      <c r="E294" s="3" t="n">
        <v>46092</v>
      </c>
      <c r="F294" s="3" t="n">
        <v>46091</v>
      </c>
      <c r="G294" t="inlineStr">
        <is>
          <t>08:45:00</t>
        </is>
      </c>
      <c r="H294" t="n">
        <v>159322350</v>
      </c>
      <c r="I294" t="n">
        <v>154572350</v>
      </c>
      <c r="J294" t="n">
        <v>6390000</v>
      </c>
      <c r="K294" t="n">
        <v>680000</v>
      </c>
      <c r="L294" t="n">
        <v>-510000</v>
      </c>
      <c r="M294">
        <f>I294-(H294+J294-K294)- L294</f>
        <v/>
      </c>
      <c r="N294">
        <f>IF(M294=0,"Cuadrado",IF(M294&gt;0,"Faltante","Sobrante"))</f>
        <v/>
      </c>
      <c r="O294" t="inlineStr">
        <is>
          <t>La diferencia es contabilizada por la Gerencia De Autoservicios y Efectivo de manera centralizada a la cuenta de sobrantes 279510020 el 11/03/2026</t>
        </is>
      </c>
      <c r="P294" t="n">
        <v>1128427898</v>
      </c>
    </row>
    <row r="295">
      <c r="A295" t="n">
        <v>352</v>
      </c>
      <c r="B295" t="n">
        <v>6618</v>
      </c>
      <c r="C295" t="inlineStr">
        <is>
          <t>BELLTECH</t>
        </is>
      </c>
      <c r="D295" t="inlineStr">
        <is>
          <t>BELLTECH</t>
        </is>
      </c>
      <c r="E295" s="3" t="n">
        <v>46092</v>
      </c>
      <c r="F295" s="3" t="n">
        <v>46091</v>
      </c>
      <c r="G295" t="inlineStr">
        <is>
          <t>09:37:00</t>
        </is>
      </c>
      <c r="H295" t="n">
        <v>112715400</v>
      </c>
      <c r="I295" t="n">
        <v>181161000</v>
      </c>
      <c r="J295" t="n">
        <v>4520000</v>
      </c>
      <c r="K295" t="n">
        <v>27330000</v>
      </c>
      <c r="M295">
        <f>I295-(H295+J295-K295)- L295</f>
        <v/>
      </c>
      <c r="N295">
        <f>IF(M295=0,"Cuadrado",IF(M295&gt;0,"Faltante","Sobrante"))</f>
        <v/>
      </c>
      <c r="O295" t="inlineStr">
        <is>
          <t>REPITIERON ARQUEO</t>
        </is>
      </c>
      <c r="P295" t="n">
        <v>28559006</v>
      </c>
    </row>
    <row r="296">
      <c r="A296" t="n">
        <v>843</v>
      </c>
      <c r="B296" t="n">
        <v>6716</v>
      </c>
      <c r="C296" t="inlineStr">
        <is>
          <t>BELLTECH</t>
        </is>
      </c>
      <c r="D296" t="inlineStr">
        <is>
          <t>BELLTECH</t>
        </is>
      </c>
      <c r="E296" s="3" t="n">
        <v>46092</v>
      </c>
      <c r="F296" s="3" t="n">
        <v>46091</v>
      </c>
      <c r="G296" t="inlineStr">
        <is>
          <t>09:10:00</t>
        </is>
      </c>
      <c r="H296" t="n">
        <v>147471800</v>
      </c>
      <c r="I296" t="n">
        <v>162062800</v>
      </c>
      <c r="J296" t="n">
        <v>29630000</v>
      </c>
      <c r="K296" t="n">
        <v>7140000</v>
      </c>
      <c r="M296">
        <f>I296-(H296+J296-K296)- L296</f>
        <v/>
      </c>
      <c r="N296">
        <f>IF(M296=0,"Cuadrado",IF(M296&gt;0,"Faltante","Sobrante"))</f>
        <v/>
      </c>
      <c r="O296" t="inlineStr">
        <is>
          <t>La diferencia es contabilizada por la Gerencia De Autoservicios y Efectivo de manera centralizada a la cuenta de sobrantes 279510020 el 11/03/2026</t>
        </is>
      </c>
      <c r="P296" t="n">
        <v>1122728358</v>
      </c>
    </row>
    <row r="297">
      <c r="A297" t="n">
        <v>371</v>
      </c>
      <c r="B297" t="n">
        <v>6718</v>
      </c>
      <c r="C297" t="inlineStr">
        <is>
          <t>BELLTECH</t>
        </is>
      </c>
      <c r="D297" t="inlineStr">
        <is>
          <t>BELLTECH</t>
        </is>
      </c>
      <c r="E297" s="3" t="n">
        <v>46092</v>
      </c>
      <c r="F297" s="3" t="n">
        <v>46091</v>
      </c>
      <c r="G297" t="inlineStr">
        <is>
          <t>09:23:00</t>
        </is>
      </c>
      <c r="H297" t="n">
        <v>387051950</v>
      </c>
      <c r="I297" t="n">
        <v>393301950</v>
      </c>
      <c r="J297" t="n">
        <v>9950000</v>
      </c>
      <c r="K297" t="n">
        <v>0</v>
      </c>
      <c r="M297">
        <f>I297-(H297+J297-K297)- L297</f>
        <v/>
      </c>
      <c r="N297">
        <f>IF(M297=0,"Cuadrado",IF(M297&gt;0,"Faltante","Sobrante"))</f>
        <v/>
      </c>
      <c r="O297" t="inlineStr">
        <is>
          <t>La diferencia es contabilizada por la Gerencia De Autoservicios y Efectivo de manera centralizada a la cuenta de sobrantes 279510020 el 11/03/2026</t>
        </is>
      </c>
      <c r="P297" t="n">
        <v>39279278</v>
      </c>
    </row>
    <row r="298">
      <c r="A298" t="n">
        <v>506</v>
      </c>
      <c r="B298" t="n">
        <v>7316</v>
      </c>
      <c r="C298" t="inlineStr">
        <is>
          <t>DIEBOLD</t>
        </is>
      </c>
      <c r="D298" t="inlineStr">
        <is>
          <t>BELLTECH</t>
        </is>
      </c>
      <c r="E298" s="3" t="n">
        <v>46092</v>
      </c>
      <c r="F298" s="3" t="n">
        <v>46091</v>
      </c>
      <c r="G298" t="inlineStr">
        <is>
          <t>09:21:00</t>
        </is>
      </c>
      <c r="H298" t="n">
        <v>206374450</v>
      </c>
      <c r="I298" t="n">
        <v>199850050</v>
      </c>
      <c r="J298" t="n">
        <v>530000</v>
      </c>
      <c r="K298" t="n">
        <v>5128000</v>
      </c>
      <c r="M298">
        <f>I298-(H298+J298-K298)- L298</f>
        <v/>
      </c>
      <c r="N298">
        <f>IF(M298=0,"Cuadrado",IF(M298&gt;0,"Faltante","Sobrante"))</f>
        <v/>
      </c>
      <c r="O298" t="inlineStr">
        <is>
          <t>La diferencia es contabilizada por la Gerencia De Autoservicios y Efectivo de manera centralizada a la cuenta de sobrantes 279510020 el 11/03/2026</t>
        </is>
      </c>
      <c r="P298" t="n">
        <v>1102824257</v>
      </c>
    </row>
    <row r="299">
      <c r="A299" t="n">
        <v>812</v>
      </c>
      <c r="B299" t="n">
        <v>7613</v>
      </c>
      <c r="C299" t="inlineStr">
        <is>
          <t>DIEBOLD</t>
        </is>
      </c>
      <c r="D299" t="inlineStr">
        <is>
          <t>DIEBOLD</t>
        </is>
      </c>
      <c r="E299" s="3" t="n">
        <v>46092</v>
      </c>
      <c r="F299" s="3" t="n">
        <v>46091</v>
      </c>
      <c r="G299" t="inlineStr">
        <is>
          <t>09:57:00</t>
        </is>
      </c>
      <c r="H299" t="n">
        <v>95478850</v>
      </c>
      <c r="I299" t="n">
        <v>91637950</v>
      </c>
      <c r="J299" t="n">
        <v>4800000</v>
      </c>
      <c r="K299" t="n">
        <v>2675000</v>
      </c>
      <c r="L299" t="n">
        <v>-2130900</v>
      </c>
      <c r="M299">
        <f>I299-(H299+J299-K299)- L299</f>
        <v/>
      </c>
      <c r="N299">
        <f>IF(M299=0,"Cuadrado",IF(M299&gt;0,"Faltante","Sobrante"))</f>
        <v/>
      </c>
      <c r="O299" t="inlineStr">
        <is>
          <t>La diferencia es contabilizada por la Gerencia De Autoservicios y Efectivo de manera centralizada a la cuenta de sobrantes 279510020 el 11/03/2026</t>
        </is>
      </c>
      <c r="P299" t="n">
        <v>31711383</v>
      </c>
    </row>
    <row r="300">
      <c r="A300" t="n">
        <v>812</v>
      </c>
      <c r="B300" t="n">
        <v>7614</v>
      </c>
      <c r="C300" t="inlineStr">
        <is>
          <t>DIEBOLD</t>
        </is>
      </c>
      <c r="D300" t="inlineStr">
        <is>
          <t>DIEBOLD</t>
        </is>
      </c>
      <c r="E300" s="3" t="n">
        <v>46092</v>
      </c>
      <c r="F300" s="3" t="n">
        <v>46091</v>
      </c>
      <c r="G300" t="inlineStr">
        <is>
          <t>10:33:00</t>
        </is>
      </c>
      <c r="H300" t="n">
        <v>193328250</v>
      </c>
      <c r="I300" t="n">
        <v>164466200</v>
      </c>
      <c r="J300" t="n">
        <v>1740000</v>
      </c>
      <c r="K300" t="n">
        <v>28867950</v>
      </c>
      <c r="L300" t="n">
        <v>-38100</v>
      </c>
      <c r="M300">
        <f>I300-(H300+J300-K300)- L300</f>
        <v/>
      </c>
      <c r="N300">
        <f>IF(M300=0,"Cuadrado",IF(M300&gt;0,"Faltante","Sobrante"))</f>
        <v/>
      </c>
      <c r="O300" t="inlineStr">
        <is>
          <t>La diferencia es contabilizada por la Gerencia De Autoservicios y Efectivo de manera centralizada a la cuenta de sobrantes 279510020 el 11/03/2026</t>
        </is>
      </c>
      <c r="P300" t="n">
        <v>31711383</v>
      </c>
    </row>
    <row r="301">
      <c r="A301" t="n">
        <v>476</v>
      </c>
      <c r="B301" t="n">
        <v>7759</v>
      </c>
      <c r="C301" t="inlineStr">
        <is>
          <t>DIEBOLD</t>
        </is>
      </c>
      <c r="D301" t="inlineStr">
        <is>
          <t>DIEBOLD</t>
        </is>
      </c>
      <c r="E301" s="3" t="n">
        <v>46092</v>
      </c>
      <c r="F301" s="3" t="n">
        <v>46091</v>
      </c>
      <c r="G301" t="inlineStr">
        <is>
          <t>10:17:00</t>
        </is>
      </c>
      <c r="H301" t="n">
        <v>76624400</v>
      </c>
      <c r="I301" t="n">
        <v>72501050</v>
      </c>
      <c r="J301" t="n">
        <v>2460000</v>
      </c>
      <c r="K301" t="n">
        <v>6500000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La diferencia es contabilizada por la Gerencia De Autoservicios y Efectivo de manera centralizada a la cuenta de sobrantes 279510020 el 11/03/2026</t>
        </is>
      </c>
      <c r="P301" t="n">
        <v>1094240170</v>
      </c>
    </row>
    <row r="302">
      <c r="A302" t="n">
        <v>7</v>
      </c>
      <c r="B302" t="n">
        <v>7812</v>
      </c>
      <c r="C302" t="inlineStr">
        <is>
          <t>DIEBOLD</t>
        </is>
      </c>
      <c r="D302" t="inlineStr">
        <is>
          <t>DIEBOLD</t>
        </is>
      </c>
      <c r="E302" s="3" t="n">
        <v>46092</v>
      </c>
      <c r="F302" s="3" t="n">
        <v>46091</v>
      </c>
      <c r="G302" t="inlineStr">
        <is>
          <t>10:09:00</t>
        </is>
      </c>
      <c r="H302" t="n">
        <v>72975250</v>
      </c>
      <c r="I302" t="n">
        <v>73365250</v>
      </c>
      <c r="J302" t="n">
        <v>4230000</v>
      </c>
      <c r="K302" t="n">
        <v>4450000</v>
      </c>
      <c r="M302">
        <f>I302-(H302+J302-K302)- L302</f>
        <v/>
      </c>
      <c r="N302">
        <f>IF(M302=0,"Cuadrado",IF(M302&gt;0,"Faltante","Sobrante"))</f>
        <v/>
      </c>
      <c r="O302" t="inlineStr">
        <is>
          <t>ACLARAR DIFERENCIA Y REPETIR EL ARQUEO</t>
        </is>
      </c>
      <c r="P302" t="n">
        <v>1020460907</v>
      </c>
    </row>
    <row r="303">
      <c r="A303" t="n">
        <v>609</v>
      </c>
      <c r="B303" t="n">
        <v>7875</v>
      </c>
      <c r="C303" t="inlineStr">
        <is>
          <t>BELLTECH</t>
        </is>
      </c>
      <c r="D303" t="inlineStr">
        <is>
          <t>BELLTECH</t>
        </is>
      </c>
      <c r="E303" s="3" t="n">
        <v>46092</v>
      </c>
      <c r="F303" s="3" t="n">
        <v>46091</v>
      </c>
      <c r="G303" t="inlineStr">
        <is>
          <t>09:49:00</t>
        </is>
      </c>
      <c r="H303" t="n">
        <v>215782650</v>
      </c>
      <c r="I303" t="n">
        <v>219490650</v>
      </c>
      <c r="J303" t="n">
        <v>48340000</v>
      </c>
      <c r="K303" t="n">
        <v>39588000</v>
      </c>
      <c r="M303">
        <f>I303-(H303+J303-K303)- L303</f>
        <v/>
      </c>
      <c r="N303">
        <f>IF(M303=0,"Cuadrado",IF(M303&gt;0,"Faltante","Sobrante"))</f>
        <v/>
      </c>
      <c r="O303" t="inlineStr">
        <is>
          <t>La diferencia es contabilizada por la Gerencia De Autoservicios y Efectivo de manera centralizada a la cuenta de sobrantes 279510020 el 11/03/2026</t>
        </is>
      </c>
      <c r="P303" t="n">
        <v>98695047</v>
      </c>
    </row>
    <row r="304">
      <c r="A304" t="n">
        <v>609</v>
      </c>
      <c r="B304" t="n">
        <v>7888</v>
      </c>
      <c r="C304" t="inlineStr">
        <is>
          <t>BELLTECH</t>
        </is>
      </c>
      <c r="D304" t="inlineStr">
        <is>
          <t>BELLTECH</t>
        </is>
      </c>
      <c r="E304" s="3" t="n">
        <v>46092</v>
      </c>
      <c r="F304" s="3" t="n">
        <v>46091</v>
      </c>
      <c r="G304" t="inlineStr">
        <is>
          <t>09:06:00</t>
        </is>
      </c>
      <c r="H304" t="n">
        <v>175042400</v>
      </c>
      <c r="I304" t="n">
        <v>154832050</v>
      </c>
      <c r="J304" t="n">
        <v>19020000</v>
      </c>
      <c r="K304" t="n">
        <v>14932000</v>
      </c>
      <c r="M304">
        <f>I304-(H304+J304-K304)- L304</f>
        <v/>
      </c>
      <c r="N304">
        <f>IF(M304=0,"Cuadrado",IF(M304&gt;0,"Faltante","Sobrante"))</f>
        <v/>
      </c>
      <c r="O304" t="inlineStr">
        <is>
          <t>La diferencia es contabilizada por la Gerencia De Autoservicios y Efectivo de manera centralizada a la cuenta de sobrantes 279510020 el 11/03/2026</t>
        </is>
      </c>
      <c r="P304" t="n">
        <v>98695047</v>
      </c>
    </row>
    <row r="305">
      <c r="A305" t="n">
        <v>166</v>
      </c>
      <c r="B305" t="n">
        <v>7939</v>
      </c>
      <c r="C305" t="inlineStr">
        <is>
          <t>BELLTECH</t>
        </is>
      </c>
      <c r="D305" t="inlineStr">
        <is>
          <t>BELLTECH</t>
        </is>
      </c>
      <c r="E305" s="3" t="n">
        <v>46092</v>
      </c>
      <c r="F305" s="3" t="n">
        <v>46091</v>
      </c>
      <c r="G305" t="inlineStr">
        <is>
          <t>09:53:00</t>
        </is>
      </c>
      <c r="H305" t="n">
        <v>244849450</v>
      </c>
      <c r="I305" t="n">
        <v>204451100</v>
      </c>
      <c r="J305" t="n">
        <v>1340000</v>
      </c>
      <c r="K305" t="n">
        <v>38538350</v>
      </c>
      <c r="M305">
        <f>I305-(H305+J305-K305)- L305</f>
        <v/>
      </c>
      <c r="N305">
        <f>IF(M305=0,"Cuadrado",IF(M305&gt;0,"Faltante","Sobrante"))</f>
        <v/>
      </c>
      <c r="O305" t="inlineStr">
        <is>
          <t>La diferencia es contabilizada por la Gerencia De Autoservicios y Efectivo de manera centralizada a la cuenta de sobrantes 279510020 el 11/03/2026</t>
        </is>
      </c>
      <c r="P305" t="n">
        <v>50938822</v>
      </c>
    </row>
    <row r="306">
      <c r="A306" t="n">
        <v>166</v>
      </c>
      <c r="B306" t="n">
        <v>7940</v>
      </c>
      <c r="C306" t="inlineStr">
        <is>
          <t>BELLTECH</t>
        </is>
      </c>
      <c r="D306" t="inlineStr">
        <is>
          <t>BELLTECH</t>
        </is>
      </c>
      <c r="E306" s="3" t="n">
        <v>46092</v>
      </c>
      <c r="F306" s="3" t="n">
        <v>46091</v>
      </c>
      <c r="G306" t="inlineStr">
        <is>
          <t>10:28:00</t>
        </is>
      </c>
      <c r="H306" t="n">
        <v>109275800</v>
      </c>
      <c r="I306" t="n">
        <v>67160850</v>
      </c>
      <c r="J306" t="n">
        <v>3840000</v>
      </c>
      <c r="K306" t="n">
        <v>46594900</v>
      </c>
      <c r="L306" t="n">
        <v>639950</v>
      </c>
      <c r="M306">
        <f>I306-(H306+J306-K306)- L306</f>
        <v/>
      </c>
      <c r="N306">
        <f>IF(M306=0,"Cuadrado",IF(M306&gt;0,"Faltante","Sobrante"))</f>
        <v/>
      </c>
      <c r="O306" t="inlineStr">
        <is>
          <t>El faltante $639.950 es cruzado con sobrante contabilizado el día 04/03/2026 el cual es reversado por la seccion el día 11/03/2026</t>
        </is>
      </c>
      <c r="P306" t="n">
        <v>50938822</v>
      </c>
    </row>
    <row r="307">
      <c r="A307" t="n">
        <v>419</v>
      </c>
      <c r="B307" t="n">
        <v>7980</v>
      </c>
      <c r="C307" t="inlineStr">
        <is>
          <t>BELLTECH</t>
        </is>
      </c>
      <c r="D307" t="inlineStr">
        <is>
          <t>BELLTECH</t>
        </is>
      </c>
      <c r="E307" s="3" t="n">
        <v>46092</v>
      </c>
      <c r="F307" s="3" t="n">
        <v>46091</v>
      </c>
      <c r="G307" t="inlineStr">
        <is>
          <t>09:08:00</t>
        </is>
      </c>
      <c r="H307" t="n">
        <v>112468200</v>
      </c>
      <c r="I307" t="n">
        <v>106558200</v>
      </c>
      <c r="J307" t="n">
        <v>3960000</v>
      </c>
      <c r="K307" t="n">
        <v>8520000</v>
      </c>
      <c r="M307">
        <f>I307-(H307+J307-K307)- L307</f>
        <v/>
      </c>
      <c r="N307">
        <f>IF(M307=0,"Cuadrado",IF(M307&gt;0,"Faltante","Sobrante"))</f>
        <v/>
      </c>
      <c r="O307" t="inlineStr">
        <is>
          <t>La diferencia es contabilizada por la Gerencia De Autoservicios y Efectivo de manera centralizada a la cuenta de sobrantes 279510020 el 11/03/2026</t>
        </is>
      </c>
      <c r="P307" t="n">
        <v>79248430</v>
      </c>
    </row>
    <row r="308">
      <c r="A308" t="n">
        <v>810</v>
      </c>
      <c r="B308" t="n">
        <v>8204</v>
      </c>
      <c r="C308" t="inlineStr">
        <is>
          <t>BELLTECH</t>
        </is>
      </c>
      <c r="D308" t="inlineStr">
        <is>
          <t>BELLTECH</t>
        </is>
      </c>
      <c r="E308" s="3" t="n">
        <v>46092</v>
      </c>
      <c r="F308" s="3" t="n">
        <v>46091</v>
      </c>
      <c r="G308" t="inlineStr">
        <is>
          <t>14:00:00</t>
        </is>
      </c>
      <c r="H308" t="n">
        <v>239025150</v>
      </c>
      <c r="I308" t="n">
        <v>197021350</v>
      </c>
      <c r="J308" t="n">
        <v>2060000</v>
      </c>
      <c r="K308" t="n">
        <v>43083800</v>
      </c>
      <c r="L308" t="n">
        <v>-980000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Cajero cuadrado, sin observación por parte de la sucursal</t>
        </is>
      </c>
      <c r="P308" t="n">
        <v>29682644</v>
      </c>
    </row>
    <row r="309">
      <c r="A309" t="n">
        <v>915</v>
      </c>
      <c r="B309" t="n">
        <v>8314</v>
      </c>
      <c r="C309" t="inlineStr">
        <is>
          <t>BELLTECH</t>
        </is>
      </c>
      <c r="D309" t="inlineStr">
        <is>
          <t>BELLTECH</t>
        </is>
      </c>
      <c r="E309" s="3" t="n">
        <v>46092</v>
      </c>
      <c r="F309" s="3" t="n">
        <v>46091</v>
      </c>
      <c r="G309" t="inlineStr">
        <is>
          <t>10:00:00</t>
        </is>
      </c>
      <c r="H309" t="n">
        <v>97882500</v>
      </c>
      <c r="I309" t="n">
        <v>83281000</v>
      </c>
      <c r="J309" t="n">
        <v>2260000</v>
      </c>
      <c r="K309" t="n">
        <v>16894000</v>
      </c>
      <c r="M309">
        <f>I309-(H309+J309-K309)- L309</f>
        <v/>
      </c>
      <c r="N309">
        <f>IF(M309=0,"Cuadrado",IF(M309&gt;0,"Faltante","Sobrante"))</f>
        <v/>
      </c>
      <c r="O30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09" t="n">
        <v>52279779</v>
      </c>
    </row>
    <row r="310">
      <c r="A310" t="n">
        <v>495</v>
      </c>
      <c r="B310" t="n">
        <v>8482</v>
      </c>
      <c r="C310" t="inlineStr">
        <is>
          <t>BELLTECH</t>
        </is>
      </c>
      <c r="D310" t="inlineStr">
        <is>
          <t>BELLTECH</t>
        </is>
      </c>
      <c r="E310" s="3" t="n">
        <v>46092</v>
      </c>
      <c r="F310" s="3" t="n">
        <v>46091</v>
      </c>
      <c r="G310" t="inlineStr">
        <is>
          <t>09:42:00</t>
        </is>
      </c>
      <c r="H310" t="n">
        <v>242178600</v>
      </c>
      <c r="I310" t="n">
        <v>219369600</v>
      </c>
      <c r="J310" t="n">
        <v>4000000</v>
      </c>
      <c r="K310" t="n">
        <v>27241000</v>
      </c>
      <c r="L310" t="n">
        <v>452000</v>
      </c>
      <c r="M310">
        <f>I310-(H310+J310-K310)- L310</f>
        <v/>
      </c>
      <c r="N310">
        <f>IF(M310=0,"Cuadrado",IF(M310&gt;0,"Faltante","Sobrante"))</f>
        <v/>
      </c>
      <c r="O310" t="inlineStr">
        <is>
          <t>La diferencia es contabilizada por la Gerencia De Autoservicios y Efectivo de manera centralizada a la cuenta de sobrantes 279510020 el 11/03/2026</t>
        </is>
      </c>
      <c r="P310" t="n">
        <v>1052081923</v>
      </c>
    </row>
    <row r="311">
      <c r="A311" t="n">
        <v>193</v>
      </c>
      <c r="B311" t="n">
        <v>8537</v>
      </c>
      <c r="C311" t="inlineStr">
        <is>
          <t>BELLTECH</t>
        </is>
      </c>
      <c r="D311" t="inlineStr">
        <is>
          <t>BELLTECH</t>
        </is>
      </c>
      <c r="E311" s="3" t="n">
        <v>46092</v>
      </c>
      <c r="F311" s="3" t="n">
        <v>46091</v>
      </c>
      <c r="G311" t="inlineStr">
        <is>
          <t>11:30:00</t>
        </is>
      </c>
      <c r="H311" t="n">
        <v>229716950</v>
      </c>
      <c r="I311" t="n">
        <v>216614950</v>
      </c>
      <c r="J311" t="n">
        <v>5650000</v>
      </c>
      <c r="K311" t="n">
        <v>18771250</v>
      </c>
      <c r="M311">
        <f>I311-(H311+J311-K311)- L311</f>
        <v/>
      </c>
      <c r="N311">
        <f>IF(M311=0,"Cuadrado",IF(M311&gt;0,"Faltante","Sobrante"))</f>
        <v/>
      </c>
      <c r="O31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11" t="n">
        <v>52048601</v>
      </c>
    </row>
    <row r="312">
      <c r="A312" t="n">
        <v>33</v>
      </c>
      <c r="B312" t="n">
        <v>8861</v>
      </c>
      <c r="C312" t="inlineStr">
        <is>
          <t>BELLTECH</t>
        </is>
      </c>
      <c r="D312" t="inlineStr">
        <is>
          <t>BELLTECH</t>
        </is>
      </c>
      <c r="E312" s="3" t="n">
        <v>46092</v>
      </c>
      <c r="F312" s="3" t="n">
        <v>46091</v>
      </c>
      <c r="G312" t="inlineStr">
        <is>
          <t>09:19:00</t>
        </is>
      </c>
      <c r="H312" t="n">
        <v>282990000</v>
      </c>
      <c r="I312" t="n">
        <v>263685000</v>
      </c>
      <c r="J312" t="n">
        <v>7040000</v>
      </c>
      <c r="K312" t="n">
        <v>0</v>
      </c>
      <c r="M312">
        <f>I312-(H312+J312-K312)- L312</f>
        <v/>
      </c>
      <c r="N312">
        <f>IF(M312=0,"Cuadrado",IF(M312&gt;0,"Faltante","Sobrante"))</f>
        <v/>
      </c>
      <c r="O312" t="inlineStr">
        <is>
          <t>La diferencia es contabilizada por la Gerencia De Autoservicios y Efectivo de manera centralizada a la cuenta de sobrantes 279510020 el 11/03/2026</t>
        </is>
      </c>
      <c r="P312" t="n">
        <v>79659379</v>
      </c>
    </row>
    <row r="313">
      <c r="A313" t="n">
        <v>225</v>
      </c>
      <c r="B313" t="n">
        <v>8869</v>
      </c>
      <c r="C313" t="inlineStr">
        <is>
          <t>BELLTECH</t>
        </is>
      </c>
      <c r="D313" t="inlineStr">
        <is>
          <t>BELLTECH</t>
        </is>
      </c>
      <c r="E313" s="3" t="n">
        <v>46092</v>
      </c>
      <c r="F313" s="3" t="n">
        <v>46091</v>
      </c>
      <c r="G313" t="inlineStr">
        <is>
          <t>15:25:00</t>
        </is>
      </c>
      <c r="H313" t="n">
        <v>190294450</v>
      </c>
      <c r="I313" t="n">
        <v>336681450</v>
      </c>
      <c r="J313" t="n">
        <v>14350000</v>
      </c>
      <c r="K313" t="n">
        <v>49502000</v>
      </c>
      <c r="L313" t="inlineStr">
        <is>
          <t>181,539,000</t>
        </is>
      </c>
      <c r="M313">
        <f>I313-(H313+J313-K313)- L313</f>
        <v/>
      </c>
      <c r="N313">
        <f>IF(M313=0,"Cuadrado",IF(M313&gt;0,"Faltante","Sobrante"))</f>
        <v/>
      </c>
      <c r="O313" t="inlineStr">
        <is>
          <t>Cajero cuadrado, sin observación por parte de la sucursal</t>
        </is>
      </c>
      <c r="P313" t="n">
        <v>80212698</v>
      </c>
    </row>
    <row r="314">
      <c r="A314" t="n">
        <v>721</v>
      </c>
      <c r="B314" t="n">
        <v>8896</v>
      </c>
      <c r="C314" t="inlineStr">
        <is>
          <t>BELLTECH</t>
        </is>
      </c>
      <c r="D314" t="inlineStr">
        <is>
          <t>BELLTECH</t>
        </is>
      </c>
      <c r="E314" s="3" t="n">
        <v>46092</v>
      </c>
      <c r="F314" s="3" t="n">
        <v>46091</v>
      </c>
      <c r="G314" t="inlineStr">
        <is>
          <t>09:55:00</t>
        </is>
      </c>
      <c r="H314" t="n">
        <v>145619900</v>
      </c>
      <c r="I314" t="n">
        <v>109303300</v>
      </c>
      <c r="J314" t="n">
        <v>9170000</v>
      </c>
      <c r="K314" t="n">
        <v>42120300</v>
      </c>
      <c r="M314">
        <f>I314-(H314+J314-K314)- L314</f>
        <v/>
      </c>
      <c r="N314">
        <f>IF(M314=0,"Cuadrado",IF(M314&gt;0,"Faltante","Sobrante"))</f>
        <v/>
      </c>
      <c r="O314" t="inlineStr">
        <is>
          <t>La diferencia es contabilizada por la Gerencia De Autoservicios y Efectivo de manera centralizada a la cuenta de sobrantes 279510020 el 11/03/2026</t>
        </is>
      </c>
      <c r="P314" t="n">
        <v>1088262262</v>
      </c>
    </row>
    <row r="315">
      <c r="A315" t="n">
        <v>721</v>
      </c>
      <c r="B315" t="n">
        <v>8897</v>
      </c>
      <c r="C315" t="inlineStr">
        <is>
          <t>DIEBOLD</t>
        </is>
      </c>
      <c r="D315" t="inlineStr">
        <is>
          <t>DIEBOLD</t>
        </is>
      </c>
      <c r="E315" s="3" t="n">
        <v>46092</v>
      </c>
      <c r="F315" s="3" t="n">
        <v>46091</v>
      </c>
      <c r="G315" t="inlineStr">
        <is>
          <t>10:14:00</t>
        </is>
      </c>
      <c r="H315" t="n">
        <v>281783800</v>
      </c>
      <c r="I315" t="n">
        <v>269926100</v>
      </c>
      <c r="J315" t="n">
        <v>4790000</v>
      </c>
      <c r="K315" t="n">
        <v>16833100</v>
      </c>
      <c r="M315">
        <f>I315-(H315+J315-K315)- L315</f>
        <v/>
      </c>
      <c r="N315">
        <f>IF(M315=0,"Cuadrado",IF(M315&gt;0,"Faltante","Sobrante"))</f>
        <v/>
      </c>
      <c r="O315" t="inlineStr">
        <is>
          <t>ACLARAR DIFERENCIA Y REPETIR EL ARQUEO</t>
        </is>
      </c>
      <c r="P315" t="n">
        <v>1088262262</v>
      </c>
    </row>
    <row r="316">
      <c r="A316" t="n">
        <v>890</v>
      </c>
      <c r="B316" t="n">
        <v>9584</v>
      </c>
      <c r="C316" t="inlineStr">
        <is>
          <t>BELLTECH</t>
        </is>
      </c>
      <c r="D316" t="inlineStr">
        <is>
          <t>BELLTECH</t>
        </is>
      </c>
      <c r="E316" s="3" t="n">
        <v>46092</v>
      </c>
      <c r="F316" s="3" t="n">
        <v>46091</v>
      </c>
      <c r="G316" t="inlineStr">
        <is>
          <t>10:05:00</t>
        </is>
      </c>
      <c r="H316" t="n">
        <v>57023150</v>
      </c>
      <c r="I316" t="n">
        <v>50063150</v>
      </c>
      <c r="J316" t="n">
        <v>0</v>
      </c>
      <c r="K316" t="n">
        <v>0</v>
      </c>
      <c r="L316" t="n">
        <v>-6960000</v>
      </c>
      <c r="M316">
        <f>I316-(H316+J316-K316)- L316</f>
        <v/>
      </c>
      <c r="N316">
        <f>IF(M316=0,"Cuadrado",IF(M316&gt;0,"Faltante","Sobrante"))</f>
        <v/>
      </c>
      <c r="O316" t="inlineStr">
        <is>
          <t>Cajero cuadrado, sin observación por parte de la sucursal</t>
        </is>
      </c>
      <c r="P316" t="n">
        <v>1053835867</v>
      </c>
    </row>
    <row r="317">
      <c r="A317" t="n">
        <v>229</v>
      </c>
      <c r="B317" t="n">
        <v>9604</v>
      </c>
      <c r="C317" t="inlineStr">
        <is>
          <t>BELLTECH</t>
        </is>
      </c>
      <c r="D317" t="inlineStr">
        <is>
          <t>BELLTECH</t>
        </is>
      </c>
      <c r="E317" s="3" t="n">
        <v>46092</v>
      </c>
      <c r="F317" s="3" t="n">
        <v>46091</v>
      </c>
      <c r="G317" t="inlineStr">
        <is>
          <t>11:14:00</t>
        </is>
      </c>
      <c r="H317" t="n">
        <v>185072000</v>
      </c>
      <c r="I317" t="n">
        <v>177817050</v>
      </c>
      <c r="J317" t="n">
        <v>9210000</v>
      </c>
      <c r="K317" t="n">
        <v>16810000</v>
      </c>
      <c r="L317" t="n">
        <v>345050</v>
      </c>
      <c r="M317">
        <f>I317-(H317+J317-K317)- L317</f>
        <v/>
      </c>
      <c r="N317">
        <f>IF(M317=0,"Cuadrado",IF(M317&gt;0,"Faltante","Sobrante"))</f>
        <v/>
      </c>
      <c r="O317" t="inlineStr">
        <is>
          <t>El faltante $345.050 es cruzado con sobrante contabilizado el día 06/03/2026 el cual es reversado por la seccion el día 11/03/2026</t>
        </is>
      </c>
      <c r="P317" t="n">
        <v>79653318</v>
      </c>
    </row>
    <row r="318">
      <c r="A318" t="n">
        <v>229</v>
      </c>
      <c r="B318" t="n">
        <v>9605</v>
      </c>
      <c r="C318" t="inlineStr">
        <is>
          <t>BELLTECH</t>
        </is>
      </c>
      <c r="D318" t="inlineStr">
        <is>
          <t>BELLTECH</t>
        </is>
      </c>
      <c r="E318" s="3" t="n">
        <v>46092</v>
      </c>
      <c r="F318" s="3" t="n">
        <v>46091</v>
      </c>
      <c r="G318" t="inlineStr">
        <is>
          <t>10:29:00</t>
        </is>
      </c>
      <c r="H318" t="n">
        <v>182128200</v>
      </c>
      <c r="I318" t="n">
        <v>138128200</v>
      </c>
      <c r="J318" t="n">
        <v>14820000</v>
      </c>
      <c r="K318" t="n">
        <v>1810000</v>
      </c>
      <c r="M318">
        <f>I318-(H318+J318-K318)- L318</f>
        <v/>
      </c>
      <c r="N318">
        <f>IF(M318=0,"Cuadrado",IF(M318&gt;0,"Faltante","Sobrante"))</f>
        <v/>
      </c>
      <c r="O318" t="inlineStr">
        <is>
          <t>ACLARAR DIFERENCIA Y REPETIR EL ARQUEO</t>
        </is>
      </c>
      <c r="P318" t="n">
        <v>79653318</v>
      </c>
    </row>
    <row r="319">
      <c r="A319" t="n">
        <v>849</v>
      </c>
      <c r="B319" t="n">
        <v>9724</v>
      </c>
      <c r="C319" t="inlineStr">
        <is>
          <t>BELLTECH</t>
        </is>
      </c>
      <c r="D319" t="inlineStr">
        <is>
          <t>BELLTECH</t>
        </is>
      </c>
      <c r="E319" s="3" t="n">
        <v>46092</v>
      </c>
      <c r="F319" s="3" t="n">
        <v>46091</v>
      </c>
      <c r="G319" t="inlineStr">
        <is>
          <t>10:34:00</t>
        </is>
      </c>
      <c r="H319" t="n">
        <v>31837750</v>
      </c>
      <c r="I319" t="n">
        <v>233606750</v>
      </c>
      <c r="J319" t="n">
        <v>9030000</v>
      </c>
      <c r="K319" t="n">
        <v>14470000</v>
      </c>
      <c r="L319" t="n">
        <v>207209000</v>
      </c>
      <c r="M319">
        <f>I319-(H319+J319-K319)- L319</f>
        <v/>
      </c>
      <c r="N319">
        <f>IF(M319=0,"Cuadrado",IF(M319&gt;0,"Faltante","Sobrante"))</f>
        <v/>
      </c>
      <c r="O319" t="inlineStr">
        <is>
          <t>Cajero cuadrado, sin observación por parte de la sucursal</t>
        </is>
      </c>
      <c r="P319" t="n">
        <v>86063461</v>
      </c>
    </row>
    <row r="320">
      <c r="A320" t="n">
        <v>849</v>
      </c>
      <c r="B320" t="n">
        <v>9725</v>
      </c>
      <c r="C320" t="inlineStr">
        <is>
          <t>BELLTECH</t>
        </is>
      </c>
      <c r="D320" t="inlineStr">
        <is>
          <t>BELLTECH</t>
        </is>
      </c>
      <c r="E320" s="3" t="n">
        <v>46092</v>
      </c>
      <c r="F320" s="3" t="n">
        <v>46091</v>
      </c>
      <c r="G320" t="inlineStr">
        <is>
          <t>10:21:00</t>
        </is>
      </c>
      <c r="H320" t="n">
        <v>31231000</v>
      </c>
      <c r="I320" t="n">
        <v>196933000</v>
      </c>
      <c r="J320" t="n">
        <v>7090000</v>
      </c>
      <c r="K320" t="n">
        <v>16247000</v>
      </c>
      <c r="L320" t="n">
        <v>174859000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86063461</v>
      </c>
    </row>
    <row r="321">
      <c r="A321" t="n">
        <v>499</v>
      </c>
      <c r="B321" t="n">
        <v>9811</v>
      </c>
      <c r="C321" t="inlineStr">
        <is>
          <t>BELLTECH</t>
        </is>
      </c>
      <c r="D321" t="inlineStr">
        <is>
          <t>BELLTECH</t>
        </is>
      </c>
      <c r="E321" s="3" t="n">
        <v>46092</v>
      </c>
      <c r="F321" s="3" t="n">
        <v>46091</v>
      </c>
      <c r="G321" t="inlineStr">
        <is>
          <t>16:17:00</t>
        </is>
      </c>
      <c r="H321" t="n">
        <v>114936100</v>
      </c>
      <c r="I321" t="n">
        <v>155994400</v>
      </c>
      <c r="J321" t="n">
        <v>0</v>
      </c>
      <c r="K321" t="n">
        <v>7870000</v>
      </c>
      <c r="M321">
        <f>I321-(H321+J321-K321)- L321</f>
        <v/>
      </c>
      <c r="N321">
        <f>IF(M321=0,"Cuadrado",IF(M321&gt;0,"Faltante","Sobrante"))</f>
        <v/>
      </c>
      <c r="O321" t="inlineStr">
        <is>
          <t>ACLARAR DIFERENCIA Y REPETIR EL ARQUEO, CON SALDO EN ROJO AL 10 MARZO</t>
        </is>
      </c>
      <c r="P321" t="n">
        <v>71337474</v>
      </c>
    </row>
    <row r="322">
      <c r="A322" t="n">
        <v>264</v>
      </c>
      <c r="B322" t="n">
        <v>9906</v>
      </c>
      <c r="C322" t="inlineStr">
        <is>
          <t>BELLTECH</t>
        </is>
      </c>
      <c r="D322" t="inlineStr">
        <is>
          <t>BELLTECH</t>
        </is>
      </c>
      <c r="E322" s="3" t="n">
        <v>46092</v>
      </c>
      <c r="F322" s="3" t="n">
        <v>46091</v>
      </c>
      <c r="G322" t="inlineStr">
        <is>
          <t>10:37:00</t>
        </is>
      </c>
      <c r="H322" t="n">
        <v>74860000</v>
      </c>
      <c r="I322" t="n">
        <v>77325700</v>
      </c>
      <c r="J322" t="n">
        <v>7900000</v>
      </c>
      <c r="K322" t="n">
        <v>5421000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La diferencia es contabilizada por la Gerencia De Autoservicios y Efectivo de manera centralizada a la cuenta de sobrantes 279510020 el 11/03/2026</t>
        </is>
      </c>
      <c r="P322" t="n">
        <v>1069722520</v>
      </c>
    </row>
    <row r="323">
      <c r="A323" t="n">
        <v>61</v>
      </c>
      <c r="B323" t="n">
        <v>788</v>
      </c>
      <c r="C323" t="inlineStr">
        <is>
          <t>BELLTECH</t>
        </is>
      </c>
      <c r="D323" t="inlineStr">
        <is>
          <t>BELLTECH</t>
        </is>
      </c>
      <c r="E323" s="3" t="n">
        <v>46092</v>
      </c>
      <c r="F323" s="3" t="n">
        <v>46091</v>
      </c>
      <c r="G323" t="inlineStr">
        <is>
          <t>14:36:00</t>
        </is>
      </c>
      <c r="H323" t="n">
        <v>135628750</v>
      </c>
      <c r="I323" t="n">
        <v>127320750</v>
      </c>
      <c r="J323" t="n">
        <v>31040000</v>
      </c>
      <c r="K323" t="n">
        <v>39348000</v>
      </c>
      <c r="M323">
        <f>I323-(H323+J323-K323)- L323</f>
        <v/>
      </c>
      <c r="N323">
        <f>IF(M323=0,"Cuadrado",IF(M323&gt;0,"Faltante","Sobrante"))</f>
        <v/>
      </c>
      <c r="O323" t="inlineStr">
        <is>
          <t>Cajero cuadrado, sin observación por parte de la sucursal</t>
        </is>
      </c>
      <c r="P323" t="n">
        <v>16497924</v>
      </c>
    </row>
    <row r="324">
      <c r="A324" t="n">
        <v>277</v>
      </c>
      <c r="B324" t="n">
        <v>5021</v>
      </c>
      <c r="C324" t="inlineStr">
        <is>
          <t>BELLTECH</t>
        </is>
      </c>
      <c r="D324" t="inlineStr">
        <is>
          <t>BELLTECH</t>
        </is>
      </c>
      <c r="E324" s="3" t="n">
        <v>46092</v>
      </c>
      <c r="F324" s="3" t="n">
        <v>46091</v>
      </c>
      <c r="G324" t="inlineStr">
        <is>
          <t>10:50:00</t>
        </is>
      </c>
      <c r="H324" t="n">
        <v>201270350</v>
      </c>
      <c r="I324" t="n">
        <v>211422350</v>
      </c>
      <c r="J324" t="n">
        <v>11030000</v>
      </c>
      <c r="K324" t="n">
        <v>878000</v>
      </c>
      <c r="L324" t="n">
        <v>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$1.910.000 es cruzado con sobrante contabilizado el día 10/03/2026 el cual es reversado por la seccion el día 11/03/2026</t>
        </is>
      </c>
      <c r="P324" t="n">
        <v>32184677</v>
      </c>
    </row>
    <row r="325">
      <c r="A325" t="n">
        <v>511</v>
      </c>
      <c r="B325" t="n">
        <v>5122</v>
      </c>
      <c r="C325" t="inlineStr">
        <is>
          <t>BELLTECH</t>
        </is>
      </c>
      <c r="D325" t="inlineStr">
        <is>
          <t>BELLTECH</t>
        </is>
      </c>
      <c r="E325" s="3" t="n">
        <v>46092</v>
      </c>
      <c r="F325" s="3" t="n">
        <v>46091</v>
      </c>
      <c r="G325" t="inlineStr">
        <is>
          <t>16:12:00</t>
        </is>
      </c>
      <c r="H325" t="n">
        <v>281279000</v>
      </c>
      <c r="I325" t="n">
        <v>281279000</v>
      </c>
      <c r="J325" t="n">
        <v>0</v>
      </c>
      <c r="K325" t="n">
        <v>0</v>
      </c>
      <c r="M325">
        <f>I325-(H325+J325-K325)- L325</f>
        <v/>
      </c>
      <c r="N325">
        <f>IF(M325=0,"Cuadrado",IF(M325&gt;0,"Faltante","Sobrante"))</f>
        <v/>
      </c>
      <c r="O325" t="inlineStr">
        <is>
          <t>Cajero cuadrado, sin observación por parte de la sucursal</t>
        </is>
      </c>
      <c r="P325" t="n">
        <v>1152438348</v>
      </c>
    </row>
    <row r="326">
      <c r="A326" t="n">
        <v>300</v>
      </c>
      <c r="B326" t="n">
        <v>5139</v>
      </c>
      <c r="C326" t="inlineStr">
        <is>
          <t>BELLTECH</t>
        </is>
      </c>
      <c r="D326" t="inlineStr">
        <is>
          <t>BELLTECH</t>
        </is>
      </c>
      <c r="E326" s="3" t="n">
        <v>46092</v>
      </c>
      <c r="F326" s="3" t="n">
        <v>46091</v>
      </c>
      <c r="G326" t="inlineStr">
        <is>
          <t>15:25:00</t>
        </is>
      </c>
      <c r="H326" t="n">
        <v>152779650</v>
      </c>
      <c r="I326" t="n">
        <v>140756650</v>
      </c>
      <c r="J326" t="n">
        <v>25720000</v>
      </c>
      <c r="K326" t="n">
        <v>37743000</v>
      </c>
      <c r="M326">
        <f>I326-(H326+J326-K326)- L326</f>
        <v/>
      </c>
      <c r="N326">
        <f>IF(M326=0,"Cuadrado",IF(M326&gt;0,"Faltante","Sobrante"))</f>
        <v/>
      </c>
      <c r="O326" t="inlineStr">
        <is>
          <t>Cajero cuadrado, sin observación por parte de la sucursal</t>
        </is>
      </c>
      <c r="P326" t="n">
        <v>53097567</v>
      </c>
    </row>
    <row r="327">
      <c r="A327" t="n">
        <v>888</v>
      </c>
      <c r="B327" t="n">
        <v>6818</v>
      </c>
      <c r="C327" t="inlineStr">
        <is>
          <t>BELLTECH</t>
        </is>
      </c>
      <c r="D327" t="inlineStr">
        <is>
          <t>BELLTECH</t>
        </is>
      </c>
      <c r="E327" s="3" t="n">
        <v>46092</v>
      </c>
      <c r="F327" s="3" t="n">
        <v>46091</v>
      </c>
      <c r="G327" t="inlineStr">
        <is>
          <t>10:27:00</t>
        </is>
      </c>
      <c r="H327" t="n">
        <v>218620200</v>
      </c>
      <c r="I327" t="n">
        <v>227790200</v>
      </c>
      <c r="J327" t="n">
        <v>9170000</v>
      </c>
      <c r="K327" t="n">
        <v>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1085921765</v>
      </c>
    </row>
    <row r="328">
      <c r="A328" t="n">
        <v>651</v>
      </c>
      <c r="B328" t="n">
        <v>7318</v>
      </c>
      <c r="C328" t="inlineStr">
        <is>
          <t>DIEBOLD</t>
        </is>
      </c>
      <c r="D328" t="inlineStr">
        <is>
          <t>BELLTECH</t>
        </is>
      </c>
      <c r="E328" s="3" t="n">
        <v>46092</v>
      </c>
      <c r="F328" s="3" t="n">
        <v>46091</v>
      </c>
      <c r="G328" t="inlineStr">
        <is>
          <t>09:30:00</t>
        </is>
      </c>
      <c r="H328" t="n">
        <v>145784350</v>
      </c>
      <c r="I328" t="n">
        <v>138463000</v>
      </c>
      <c r="J328" t="n">
        <v>7150000</v>
      </c>
      <c r="K328" t="n">
        <v>14471350</v>
      </c>
      <c r="L328" t="n">
        <v>0</v>
      </c>
      <c r="M328">
        <f>I328-(H328+J328-K328)- L328</f>
        <v/>
      </c>
      <c r="N328">
        <f>IF(M328=0,"Cuadrado",IF(M328&gt;0,"Faltante","Sobrante"))</f>
        <v/>
      </c>
      <c r="O328" t="inlineStr">
        <is>
          <t>El faltante $1.040.000 es cruzado con sobrante contabilizado el día 10/03/2026 el cual es reversado por la seccion el día 11/03/2026</t>
        </is>
      </c>
      <c r="P328" t="n">
        <v>70136398</v>
      </c>
    </row>
    <row r="329">
      <c r="A329" t="n">
        <v>287</v>
      </c>
      <c r="B329" t="n">
        <v>907</v>
      </c>
      <c r="C329" t="inlineStr">
        <is>
          <t>DIEBOLD</t>
        </is>
      </c>
      <c r="D329" t="inlineStr">
        <is>
          <t>DIEBOLD</t>
        </is>
      </c>
      <c r="E329" s="3" t="n">
        <v>46093</v>
      </c>
      <c r="F329" s="3" t="n">
        <v>46092</v>
      </c>
      <c r="G329" t="inlineStr">
        <is>
          <t>11:29:00</t>
        </is>
      </c>
      <c r="H329" t="n">
        <v>166877150</v>
      </c>
      <c r="I329" t="n">
        <v>156296250</v>
      </c>
      <c r="J329" t="n">
        <v>19840000</v>
      </c>
      <c r="K329" t="n">
        <v>23116000</v>
      </c>
      <c r="M329">
        <f>I329-(H329+J329-K329)- L329</f>
        <v/>
      </c>
      <c r="N329">
        <f>IF(M329=0,"Cuadrado",IF(M329&gt;0,"Faltante","Sobrante"))</f>
        <v/>
      </c>
      <c r="O329" t="inlineStr">
        <is>
          <t>EN ESPERA DE ACLARAR, HOY SE GRABA DOS REMANENTES DEL 23 DE FEB</t>
        </is>
      </c>
      <c r="P329" t="n">
        <v>13566403</v>
      </c>
    </row>
    <row r="330">
      <c r="A330" t="n">
        <v>481</v>
      </c>
      <c r="B330" t="n">
        <v>1011</v>
      </c>
      <c r="C330" t="inlineStr">
        <is>
          <t>BELLTECH</t>
        </is>
      </c>
      <c r="D330" t="inlineStr">
        <is>
          <t>BELLTECH</t>
        </is>
      </c>
      <c r="E330" s="3" t="n">
        <v>46093</v>
      </c>
      <c r="F330" s="3" t="n">
        <v>46092</v>
      </c>
      <c r="G330" t="inlineStr">
        <is>
          <t>10:09:00</t>
        </is>
      </c>
      <c r="H330" t="n">
        <v>294327300</v>
      </c>
      <c r="I330" t="n">
        <v>277987300</v>
      </c>
      <c r="J330" t="n">
        <v>3520000</v>
      </c>
      <c r="K330" t="n">
        <v>11080000</v>
      </c>
      <c r="M330">
        <f>I330-(H330+J330-K330)- L330</f>
        <v/>
      </c>
      <c r="N330">
        <f>IF(M330=0,"Cuadrado",IF(M330&gt;0,"Faltante","Sobrante"))</f>
        <v/>
      </c>
      <c r="O330" t="inlineStr">
        <is>
          <t>La diferencia es contabilizada por la Gerencia De Autoservicios y Efectivo de manera centralizada a la cuenta de sobrantes 279510020 el 12/03/2026</t>
        </is>
      </c>
      <c r="P330" t="n">
        <v>1143439387</v>
      </c>
    </row>
    <row r="331">
      <c r="A331" t="n">
        <v>795</v>
      </c>
      <c r="B331" t="n">
        <v>1027</v>
      </c>
      <c r="C331" t="inlineStr">
        <is>
          <t>BELLTECH</t>
        </is>
      </c>
      <c r="D331" t="inlineStr">
        <is>
          <t>BELLTECH</t>
        </is>
      </c>
      <c r="E331" s="3" t="n">
        <v>46093</v>
      </c>
      <c r="F331" s="3" t="n">
        <v>46092</v>
      </c>
      <c r="G331" t="inlineStr">
        <is>
          <t>09:31:00</t>
        </is>
      </c>
      <c r="H331" t="n">
        <v>240081000</v>
      </c>
      <c r="I331" t="n">
        <v>240733000</v>
      </c>
      <c r="J331" t="n">
        <v>5760000</v>
      </c>
      <c r="K331" t="n">
        <v>5100000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sobrantes 279510020 el 12/03/2026</t>
        </is>
      </c>
      <c r="P331" t="n">
        <v>91274094</v>
      </c>
    </row>
    <row r="332">
      <c r="A332" t="n">
        <v>795</v>
      </c>
      <c r="B332" t="n">
        <v>1028</v>
      </c>
      <c r="C332" t="inlineStr">
        <is>
          <t>BELLTECH</t>
        </is>
      </c>
      <c r="D332" t="inlineStr">
        <is>
          <t>BELLTECH</t>
        </is>
      </c>
      <c r="E332" s="3" t="n">
        <v>46093</v>
      </c>
      <c r="F332" s="3" t="n">
        <v>46092</v>
      </c>
      <c r="G332" t="inlineStr">
        <is>
          <t>09:21:36</t>
        </is>
      </c>
      <c r="H332" t="n">
        <v>191401850</v>
      </c>
      <c r="I332" t="n">
        <v>183691850</v>
      </c>
      <c r="J332" t="n">
        <v>500000</v>
      </c>
      <c r="K332" t="n">
        <v>1906000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La diferencia es contabilizada por la Gerencia De Autoservicios y Efectivo de manera centralizada a la cuenta de sobrantes 279510020 el 12/03/2026</t>
        </is>
      </c>
      <c r="P332" t="n">
        <v>91274094</v>
      </c>
    </row>
    <row r="333">
      <c r="A333" t="n">
        <v>745</v>
      </c>
      <c r="B333" t="n">
        <v>1477</v>
      </c>
      <c r="C333" t="inlineStr">
        <is>
          <t>BELLTECH</t>
        </is>
      </c>
      <c r="D333" t="inlineStr">
        <is>
          <t>BELLTECH</t>
        </is>
      </c>
      <c r="E333" s="3" t="n">
        <v>46093</v>
      </c>
      <c r="F333" s="3" t="n">
        <v>46092</v>
      </c>
      <c r="G333" t="inlineStr">
        <is>
          <t>14:53:00</t>
        </is>
      </c>
      <c r="H333" t="n">
        <v>100915000</v>
      </c>
      <c r="I333" t="n">
        <v>86865150</v>
      </c>
      <c r="J333" t="n">
        <v>13520000</v>
      </c>
      <c r="K333" t="n">
        <v>27116000</v>
      </c>
      <c r="M333">
        <f>I333-(H333+J333-K333)- L333</f>
        <v/>
      </c>
      <c r="N333">
        <f>IF(M333=0,"Cuadrado",IF(M333&gt;0,"Faltante","Sobrante"))</f>
        <v/>
      </c>
      <c r="O333" t="inlineStr">
        <is>
          <t>La diferencia es contabilizada por la Gerencia De Autoservicios y Efectivo de manera centralizada a la cuenta de sobrantes 279510020 el 12/03/2026</t>
        </is>
      </c>
      <c r="P333" t="n">
        <v>94543241</v>
      </c>
    </row>
    <row r="334">
      <c r="A334" t="n">
        <v>777</v>
      </c>
      <c r="B334" t="n">
        <v>4868</v>
      </c>
      <c r="C334" t="inlineStr">
        <is>
          <t>DIEBOLD</t>
        </is>
      </c>
      <c r="D334" t="inlineStr">
        <is>
          <t>DIEBOLD</t>
        </is>
      </c>
      <c r="E334" s="3" t="n">
        <v>46093</v>
      </c>
      <c r="F334" s="3" t="n">
        <v>46092</v>
      </c>
      <c r="G334" t="inlineStr">
        <is>
          <t>10:00:00</t>
        </is>
      </c>
      <c r="H334" t="n">
        <v>62648950</v>
      </c>
      <c r="I334" t="n">
        <v>50010950</v>
      </c>
      <c r="J334" t="n">
        <v>2860000</v>
      </c>
      <c r="K334" t="n">
        <v>15783000</v>
      </c>
      <c r="L334" t="n">
        <v>377000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La diferencia es contabilizada por la Gerencia De Autoservicios y Efectivo de manera centralizada a la cuenta de sobrantes 279510020 el 12/03/2026</t>
        </is>
      </c>
      <c r="P334" t="n">
        <v>1192816639</v>
      </c>
    </row>
    <row r="335">
      <c r="A335" t="n">
        <v>6</v>
      </c>
      <c r="B335" t="n">
        <v>5001</v>
      </c>
      <c r="C335" t="inlineStr">
        <is>
          <t>BELLTECH</t>
        </is>
      </c>
      <c r="D335" t="inlineStr">
        <is>
          <t>BELLTECH</t>
        </is>
      </c>
      <c r="E335" s="3" t="n">
        <v>46093</v>
      </c>
      <c r="F335" s="3" t="n">
        <v>46092</v>
      </c>
      <c r="G335" t="inlineStr">
        <is>
          <t>10:20:00</t>
        </is>
      </c>
      <c r="H335" t="n">
        <v>228798100</v>
      </c>
      <c r="I335" t="n">
        <v>171991100</v>
      </c>
      <c r="J335" t="n">
        <v>15970000</v>
      </c>
      <c r="K335" t="n">
        <v>1202000</v>
      </c>
      <c r="L335" t="n">
        <v>-66000000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12/03/2026</t>
        </is>
      </c>
      <c r="P335" t="n">
        <v>71336970</v>
      </c>
    </row>
    <row r="336">
      <c r="A336" t="n">
        <v>361</v>
      </c>
      <c r="B336" t="n">
        <v>5005</v>
      </c>
      <c r="C336" t="inlineStr">
        <is>
          <t>BELLTECH</t>
        </is>
      </c>
      <c r="D336" t="inlineStr">
        <is>
          <t>BELLTECH</t>
        </is>
      </c>
      <c r="E336" s="3" t="n">
        <v>46093</v>
      </c>
      <c r="F336" s="3" t="n">
        <v>46092</v>
      </c>
      <c r="G336" t="inlineStr">
        <is>
          <t>11:22:00</t>
        </is>
      </c>
      <c r="H336" t="n">
        <v>170671300</v>
      </c>
      <c r="I336" t="n">
        <v>118993650</v>
      </c>
      <c r="J336" t="n">
        <v>8930000</v>
      </c>
      <c r="K336" t="n">
        <v>19931000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La diferencia es contabilizada por la Gerencia De Autoservicios y Efectivo de manera centralizada a la cuenta de sobrantes 279510020 el 12/03/2026</t>
        </is>
      </c>
      <c r="P336" t="n">
        <v>79819397</v>
      </c>
    </row>
    <row r="337">
      <c r="A337" t="n">
        <v>777</v>
      </c>
      <c r="B337" t="n">
        <v>5009</v>
      </c>
      <c r="C337" t="inlineStr">
        <is>
          <t>BELLTECH</t>
        </is>
      </c>
      <c r="D337" t="inlineStr">
        <is>
          <t>BELLTECH</t>
        </is>
      </c>
      <c r="E337" s="3" t="n">
        <v>46093</v>
      </c>
      <c r="F337" s="3" t="n">
        <v>46092</v>
      </c>
      <c r="G337" t="inlineStr">
        <is>
          <t>10:41:00</t>
        </is>
      </c>
      <c r="H337" t="n">
        <v>195305050</v>
      </c>
      <c r="I337" t="n">
        <v>106085050</v>
      </c>
      <c r="J337" t="n">
        <v>9250000</v>
      </c>
      <c r="K337" t="n">
        <v>99200000</v>
      </c>
      <c r="L337" t="n">
        <v>738000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La diferencia es contabilizada por la Gerencia De Autoservicios y Efectivo de manera centralizada a la cuenta de sobrantes 279510020 el 12/03/2026</t>
        </is>
      </c>
      <c r="P337" t="n">
        <v>1192816639</v>
      </c>
    </row>
    <row r="338">
      <c r="A338" t="n">
        <v>277</v>
      </c>
      <c r="B338" t="n">
        <v>5021</v>
      </c>
      <c r="C338" t="inlineStr">
        <is>
          <t>BELLTECH</t>
        </is>
      </c>
      <c r="D338" t="inlineStr">
        <is>
          <t>BELLTECH</t>
        </is>
      </c>
      <c r="E338" s="3" t="n">
        <v>46093</v>
      </c>
      <c r="F338" s="3" t="n">
        <v>46092</v>
      </c>
      <c r="G338" t="inlineStr">
        <is>
          <t>11:09:00</t>
        </is>
      </c>
      <c r="H338" t="n">
        <v>189501350</v>
      </c>
      <c r="I338" t="n">
        <v>199140350</v>
      </c>
      <c r="J338" t="n">
        <v>11260000</v>
      </c>
      <c r="K338" t="n">
        <v>3531000</v>
      </c>
      <c r="L338" t="n">
        <v>1910000</v>
      </c>
      <c r="M338">
        <f>I338-(H338+J338-K338)- L338</f>
        <v/>
      </c>
      <c r="N338">
        <f>IF(M338=0,"Cuadrado",IF(M338&gt;0,"Faltante","Sobrante"))</f>
        <v/>
      </c>
      <c r="O338" t="inlineStr">
        <is>
          <t>Cajero cuadrado, sin observación por parte de la sucursal</t>
        </is>
      </c>
      <c r="P338" t="n">
        <v>32184677</v>
      </c>
    </row>
    <row r="339">
      <c r="A339" t="n">
        <v>723</v>
      </c>
      <c r="B339" t="n">
        <v>5046</v>
      </c>
      <c r="C339" t="inlineStr">
        <is>
          <t>BELLTECH</t>
        </is>
      </c>
      <c r="D339" t="inlineStr">
        <is>
          <t>BELLTECH</t>
        </is>
      </c>
      <c r="E339" s="3" t="n">
        <v>46093</v>
      </c>
      <c r="F339" s="3" t="n">
        <v>46092</v>
      </c>
      <c r="G339" t="inlineStr">
        <is>
          <t>17:29:00</t>
        </is>
      </c>
      <c r="H339" t="n">
        <v>138407500</v>
      </c>
      <c r="I339" t="n">
        <v>141531050</v>
      </c>
      <c r="J339" t="n">
        <v>35550000</v>
      </c>
      <c r="K339" t="n">
        <v>140174000</v>
      </c>
      <c r="L339" t="n">
        <v>179280000</v>
      </c>
      <c r="M339">
        <f>I339-(H339+J339-K339)- L339</f>
        <v/>
      </c>
      <c r="N339">
        <f>IF(M339=0,"Cuadrado",IF(M339&gt;0,"Faltante","Sobrante"))</f>
        <v/>
      </c>
      <c r="O339" t="inlineStr">
        <is>
          <t>ACLARAR DIFERENCIA Y REPETIR EL ARQUEO</t>
        </is>
      </c>
      <c r="P339" t="n">
        <v>1088273268</v>
      </c>
    </row>
    <row r="340">
      <c r="A340" t="n">
        <v>769</v>
      </c>
      <c r="B340" t="n">
        <v>5051</v>
      </c>
      <c r="C340" t="inlineStr">
        <is>
          <t>BELLTECH</t>
        </is>
      </c>
      <c r="D340" t="inlineStr">
        <is>
          <t>BELLTECH</t>
        </is>
      </c>
      <c r="E340" s="3" t="n">
        <v>46093</v>
      </c>
      <c r="F340" s="3" t="n">
        <v>46092</v>
      </c>
      <c r="G340" t="inlineStr">
        <is>
          <t>10:33:00</t>
        </is>
      </c>
      <c r="H340" t="n">
        <v>123936300</v>
      </c>
      <c r="I340" t="n">
        <v>118732300</v>
      </c>
      <c r="J340" t="n">
        <v>2250000</v>
      </c>
      <c r="K340" t="n">
        <v>15806900</v>
      </c>
      <c r="L340" t="n">
        <v>-1030000</v>
      </c>
      <c r="M340">
        <f>I340-(H340+J340-K340)- L340</f>
        <v/>
      </c>
      <c r="N340">
        <f>IF(M340=0,"Cuadrado",IF(M340&gt;0,"Faltante","Sobrante"))</f>
        <v/>
      </c>
      <c r="O340" t="inlineStr">
        <is>
          <t>ACLARAR DIFERENCIA Y REPETIR EL ARQUEO</t>
        </is>
      </c>
      <c r="P340" t="n">
        <v>1129580385</v>
      </c>
    </row>
    <row r="341">
      <c r="A341" t="n">
        <v>19</v>
      </c>
      <c r="B341" t="n">
        <v>5078</v>
      </c>
      <c r="C341" t="inlineStr">
        <is>
          <t>BELLTECH</t>
        </is>
      </c>
      <c r="D341" t="inlineStr">
        <is>
          <t>BELLTECH</t>
        </is>
      </c>
      <c r="E341" s="3" t="n">
        <v>46093</v>
      </c>
      <c r="F341" s="3" t="n">
        <v>46092</v>
      </c>
      <c r="G341" t="inlineStr">
        <is>
          <t>11:00:00</t>
        </is>
      </c>
      <c r="H341" t="n">
        <v>86922350</v>
      </c>
      <c r="I341" t="n">
        <v>70087350</v>
      </c>
      <c r="J341" t="n">
        <v>9160000</v>
      </c>
      <c r="K341" t="n">
        <v>24901000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La diferencia es contabilizada por la Gerencia De Autoservicios y Efectivo de manera centralizada a la cuenta de sobrantes 279510020 el 12/03/2026</t>
        </is>
      </c>
      <c r="P341" t="n">
        <v>43588535</v>
      </c>
    </row>
    <row r="342">
      <c r="A342" t="n">
        <v>291</v>
      </c>
      <c r="B342" t="n">
        <v>5114</v>
      </c>
      <c r="C342" t="inlineStr">
        <is>
          <t>BELLTECH</t>
        </is>
      </c>
      <c r="D342" t="inlineStr">
        <is>
          <t>BELLTECH</t>
        </is>
      </c>
      <c r="E342" s="3" t="n">
        <v>46093</v>
      </c>
      <c r="F342" s="3" t="n">
        <v>46092</v>
      </c>
      <c r="G342" t="inlineStr">
        <is>
          <t>10:20:00</t>
        </is>
      </c>
      <c r="H342" t="n">
        <v>311523400</v>
      </c>
      <c r="I342" t="n">
        <v>311907400</v>
      </c>
      <c r="J342" t="n">
        <v>10370000</v>
      </c>
      <c r="K342" t="n">
        <v>9980000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12/03/2026</t>
        </is>
      </c>
      <c r="P342" t="n">
        <v>1095930956</v>
      </c>
    </row>
    <row r="343">
      <c r="A343" t="n">
        <v>91</v>
      </c>
      <c r="B343" t="n">
        <v>5148</v>
      </c>
      <c r="C343" t="inlineStr">
        <is>
          <t>BELLTECH</t>
        </is>
      </c>
      <c r="D343" t="inlineStr">
        <is>
          <t>BELLTECH</t>
        </is>
      </c>
      <c r="E343" s="3" t="n">
        <v>46093</v>
      </c>
      <c r="F343" s="3" t="n">
        <v>46092</v>
      </c>
      <c r="G343" t="inlineStr">
        <is>
          <t>10:16:00</t>
        </is>
      </c>
      <c r="H343" t="n">
        <v>474899700</v>
      </c>
      <c r="I343" t="n">
        <v>452386550</v>
      </c>
      <c r="J343" t="n">
        <v>3360000</v>
      </c>
      <c r="K343" t="n">
        <v>15000000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12/03/2026</t>
        </is>
      </c>
      <c r="P343" t="n">
        <v>1067844638</v>
      </c>
    </row>
    <row r="344">
      <c r="A344" t="n">
        <v>806</v>
      </c>
      <c r="B344" t="n">
        <v>5156</v>
      </c>
      <c r="C344" t="inlineStr">
        <is>
          <t>BELLTECH</t>
        </is>
      </c>
      <c r="D344" t="inlineStr">
        <is>
          <t>BELLTECH</t>
        </is>
      </c>
      <c r="E344" s="3" t="n">
        <v>46093</v>
      </c>
      <c r="F344" s="3" t="n">
        <v>46092</v>
      </c>
      <c r="G344" t="inlineStr">
        <is>
          <t>13:06:00</t>
        </is>
      </c>
      <c r="H344" t="n">
        <v>59166300</v>
      </c>
      <c r="I344" t="n">
        <v>64432300</v>
      </c>
      <c r="J344" t="n">
        <v>12750000</v>
      </c>
      <c r="K344" t="n">
        <v>3308000</v>
      </c>
      <c r="M344">
        <f>I344-(H344+J344-K344)- L344</f>
        <v/>
      </c>
      <c r="N344">
        <f>IF(M344=0,"Cuadrado",IF(M344&gt;0,"Faltante","Sobrante"))</f>
        <v/>
      </c>
      <c r="O344" t="inlineStr">
        <is>
          <t>La diferencia es contabilizada por la Gerencia De Autoservicios y Efectivo de manera centralizada a la cuenta de sobrantes 279510020 el 12/03/2026</t>
        </is>
      </c>
      <c r="P344" t="n">
        <v>7335993</v>
      </c>
    </row>
    <row r="345">
      <c r="A345" t="n">
        <v>750</v>
      </c>
      <c r="B345" t="n">
        <v>5157</v>
      </c>
      <c r="C345" t="inlineStr">
        <is>
          <t>BELLTECH</t>
        </is>
      </c>
      <c r="D345" t="inlineStr">
        <is>
          <t>BELLTECH</t>
        </is>
      </c>
      <c r="E345" s="3" t="n">
        <v>46093</v>
      </c>
      <c r="F345" s="3" t="n">
        <v>46092</v>
      </c>
      <c r="G345" t="inlineStr">
        <is>
          <t>08:22:50</t>
        </is>
      </c>
      <c r="H345" t="n">
        <v>156805850</v>
      </c>
      <c r="I345" t="n">
        <v>145853050</v>
      </c>
      <c r="J345" t="n">
        <v>4880000</v>
      </c>
      <c r="K345" t="n">
        <v>20922800</v>
      </c>
      <c r="L345" t="n">
        <v>1929550</v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345" t="n">
        <v>31529631</v>
      </c>
    </row>
    <row r="346">
      <c r="A346" t="n">
        <v>253</v>
      </c>
      <c r="B346" t="n">
        <v>5176</v>
      </c>
      <c r="C346" t="inlineStr">
        <is>
          <t>BELLTECH</t>
        </is>
      </c>
      <c r="D346" t="inlineStr">
        <is>
          <t>BELLTECH</t>
        </is>
      </c>
      <c r="E346" s="3" t="n">
        <v>46093</v>
      </c>
      <c r="F346" s="3" t="n">
        <v>46092</v>
      </c>
      <c r="G346" t="inlineStr">
        <is>
          <t>08:43:00</t>
        </is>
      </c>
      <c r="H346" t="n">
        <v>247521750</v>
      </c>
      <c r="I346" t="n">
        <v>234089750</v>
      </c>
      <c r="J346" t="n">
        <v>0</v>
      </c>
      <c r="K346" t="n">
        <v>4490000</v>
      </c>
      <c r="L346" t="n">
        <v>-6902000</v>
      </c>
      <c r="M346">
        <f>I346-(H346+J346-K346)- L346</f>
        <v/>
      </c>
      <c r="N346">
        <f>IF(M346=0,"Cuadrado",IF(M346&gt;0,"Faltante","Sobrante"))</f>
        <v/>
      </c>
      <c r="O346" t="inlineStr">
        <is>
          <t>La diferencia es contabilizada por la Gerencia De Autoservicios y Efectivo de manera centralizada a la cuenta de sobrantes 279510020 el 12/03/2026</t>
        </is>
      </c>
      <c r="P346" t="n">
        <v>1017241432</v>
      </c>
    </row>
    <row r="347">
      <c r="A347" t="n">
        <v>198</v>
      </c>
      <c r="B347" t="n">
        <v>5179</v>
      </c>
      <c r="C347" t="inlineStr">
        <is>
          <t>BELLTECH</t>
        </is>
      </c>
      <c r="D347" t="inlineStr">
        <is>
          <t>BELLTECH</t>
        </is>
      </c>
      <c r="E347" s="3" t="n">
        <v>46093</v>
      </c>
      <c r="F347" s="3" t="n">
        <v>46092</v>
      </c>
      <c r="G347" t="inlineStr">
        <is>
          <t>09:28:00</t>
        </is>
      </c>
      <c r="H347" t="n">
        <v>161929700</v>
      </c>
      <c r="I347" t="n">
        <v>173903700</v>
      </c>
      <c r="J347" t="n">
        <v>6300000</v>
      </c>
      <c r="K347" t="n">
        <v>201000</v>
      </c>
      <c r="L347" t="n">
        <v>5875000</v>
      </c>
      <c r="M347">
        <f>I347-(H347+J347-K347)- L347</f>
        <v/>
      </c>
      <c r="N347">
        <f>IF(M347=0,"Cuadrado",IF(M347&gt;0,"Faltante","Sobrante"))</f>
        <v/>
      </c>
      <c r="O347" t="inlineStr">
        <is>
          <t>El faltante $5.875.000 es cruzado con sobrante contabilizado el día 04/03/2026 el cual es reversado por la seccion el día 12/03/2026</t>
        </is>
      </c>
      <c r="P347" t="n">
        <v>53031419</v>
      </c>
    </row>
    <row r="348">
      <c r="A348" t="n">
        <v>664</v>
      </c>
      <c r="B348" t="n">
        <v>5191</v>
      </c>
      <c r="C348" t="inlineStr">
        <is>
          <t>BELLTECH</t>
        </is>
      </c>
      <c r="D348" t="inlineStr">
        <is>
          <t>BELLTECH</t>
        </is>
      </c>
      <c r="E348" s="3" t="n">
        <v>46093</v>
      </c>
      <c r="F348" s="3" t="n">
        <v>46092</v>
      </c>
      <c r="G348" t="inlineStr">
        <is>
          <t>11:12:00</t>
        </is>
      </c>
      <c r="H348" t="n">
        <v>199055400</v>
      </c>
      <c r="I348" t="n">
        <v>223414550</v>
      </c>
      <c r="J348" t="n">
        <v>43480000</v>
      </c>
      <c r="K348" t="n">
        <v>75451000</v>
      </c>
      <c r="L348" t="n">
        <v>86306000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12/03/2026</t>
        </is>
      </c>
      <c r="P348" t="n">
        <v>53052650</v>
      </c>
    </row>
    <row r="349">
      <c r="A349" t="n">
        <v>77</v>
      </c>
      <c r="B349" t="n">
        <v>5204</v>
      </c>
      <c r="C349" t="inlineStr">
        <is>
          <t>BELLTECH</t>
        </is>
      </c>
      <c r="D349" t="inlineStr">
        <is>
          <t>BELLTECH</t>
        </is>
      </c>
      <c r="E349" s="3" t="n">
        <v>46093</v>
      </c>
      <c r="F349" s="3" t="n">
        <v>46092</v>
      </c>
      <c r="G349" t="inlineStr">
        <is>
          <t>09:42:00</t>
        </is>
      </c>
      <c r="H349" t="n">
        <v>176326300</v>
      </c>
      <c r="I349" t="n">
        <v>162865300</v>
      </c>
      <c r="J349" t="n">
        <v>13450000</v>
      </c>
      <c r="K349" t="n">
        <v>22954000</v>
      </c>
      <c r="M349">
        <f>I349-(H349+J349-K349)- L349</f>
        <v/>
      </c>
      <c r="N349">
        <f>IF(M349=0,"Cuadrado",IF(M349&gt;0,"Faltante","Sobrante"))</f>
        <v/>
      </c>
      <c r="O349" t="inlineStr">
        <is>
          <t>La diferencia es contabilizada por la Gerencia De Autoservicios y Efectivo de manera centralizada a la cuenta de sobrantes 279510020 el 12/03/2026</t>
        </is>
      </c>
      <c r="P349" t="n">
        <v>94493031</v>
      </c>
    </row>
    <row r="350">
      <c r="A350" t="n">
        <v>793</v>
      </c>
      <c r="B350" t="n">
        <v>5216</v>
      </c>
      <c r="C350" t="inlineStr">
        <is>
          <t>BELLTECH</t>
        </is>
      </c>
      <c r="D350" t="inlineStr">
        <is>
          <t>BELLTECH</t>
        </is>
      </c>
      <c r="E350" s="3" t="n">
        <v>46093</v>
      </c>
      <c r="F350" s="3" t="n">
        <v>46092</v>
      </c>
      <c r="G350" t="inlineStr">
        <is>
          <t>09:41:00</t>
        </is>
      </c>
      <c r="H350" t="n">
        <v>233648900</v>
      </c>
      <c r="I350" t="n">
        <v>233187900</v>
      </c>
      <c r="J350" t="n">
        <v>8890000</v>
      </c>
      <c r="K350" t="n">
        <v>6322000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12/03/2026</t>
        </is>
      </c>
      <c r="P350" t="n">
        <v>80218400</v>
      </c>
    </row>
    <row r="351">
      <c r="A351" t="n">
        <v>16</v>
      </c>
      <c r="B351" t="n">
        <v>5219</v>
      </c>
      <c r="C351" t="inlineStr">
        <is>
          <t>BELLTECH</t>
        </is>
      </c>
      <c r="D351" t="inlineStr">
        <is>
          <t>BELLTECH</t>
        </is>
      </c>
      <c r="E351" s="3" t="n">
        <v>46093</v>
      </c>
      <c r="F351" s="3" t="n">
        <v>46092</v>
      </c>
      <c r="G351" t="inlineStr">
        <is>
          <t>08:49:00</t>
        </is>
      </c>
      <c r="H351" t="n">
        <v>216062250</v>
      </c>
      <c r="I351" t="n">
        <v>227953400</v>
      </c>
      <c r="J351" t="n">
        <v>1190000</v>
      </c>
      <c r="K351" t="n">
        <v>2400000</v>
      </c>
      <c r="L351" t="n">
        <v>13101150</v>
      </c>
      <c r="M351">
        <f>I351-(H351+J351-K351)- L351</f>
        <v/>
      </c>
      <c r="N351">
        <f>IF(M351=0,"Cuadrado",IF(M351&gt;0,"Faltante","Sobrante"))</f>
        <v/>
      </c>
      <c r="O351" t="inlineStr">
        <is>
          <t>El faltante $13.101.150 es cruzado con sobrante contabilizado el día 06/03/2026 el cual es reversado por la seccion el día 12/03/2026</t>
        </is>
      </c>
      <c r="P351" t="n">
        <v>1128405320</v>
      </c>
    </row>
    <row r="352">
      <c r="A352" t="n">
        <v>221</v>
      </c>
      <c r="B352" t="n">
        <v>5221</v>
      </c>
      <c r="C352" t="inlineStr">
        <is>
          <t>BELLTECH</t>
        </is>
      </c>
      <c r="D352" t="inlineStr">
        <is>
          <t>BELLTECH</t>
        </is>
      </c>
      <c r="E352" s="3" t="n">
        <v>46093</v>
      </c>
      <c r="F352" s="3" t="n">
        <v>46092</v>
      </c>
      <c r="G352" t="inlineStr">
        <is>
          <t>08:40:00</t>
        </is>
      </c>
      <c r="H352" t="n">
        <v>274694500</v>
      </c>
      <c r="I352" t="n">
        <v>273604500</v>
      </c>
      <c r="J352" t="n">
        <v>2400000</v>
      </c>
      <c r="K352" t="n">
        <v>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12/03/2026</t>
        </is>
      </c>
      <c r="P352" t="n">
        <v>52833254</v>
      </c>
    </row>
    <row r="353">
      <c r="A353" t="n">
        <v>946</v>
      </c>
      <c r="B353" t="n">
        <v>5225</v>
      </c>
      <c r="C353" t="inlineStr">
        <is>
          <t>BELLTECH</t>
        </is>
      </c>
      <c r="D353" t="inlineStr">
        <is>
          <t>BELLTECH</t>
        </is>
      </c>
      <c r="E353" s="3" t="n">
        <v>46093</v>
      </c>
      <c r="F353" s="3" t="n">
        <v>46092</v>
      </c>
      <c r="G353" t="inlineStr">
        <is>
          <t>12:26:00</t>
        </is>
      </c>
      <c r="H353" t="n">
        <v>205201950</v>
      </c>
      <c r="I353" t="n">
        <v>227981950</v>
      </c>
      <c r="J353" t="n">
        <v>25120000</v>
      </c>
      <c r="K353" t="n">
        <v>2220000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12/03/2026</t>
        </is>
      </c>
      <c r="P353" t="n">
        <v>20500181</v>
      </c>
    </row>
    <row r="354">
      <c r="A354" t="n">
        <v>678</v>
      </c>
      <c r="B354" t="n">
        <v>5227</v>
      </c>
      <c r="C354" t="inlineStr">
        <is>
          <t>BELLTECH</t>
        </is>
      </c>
      <c r="D354" t="inlineStr">
        <is>
          <t>BELLTECH</t>
        </is>
      </c>
      <c r="E354" s="3" t="n">
        <v>46093</v>
      </c>
      <c r="F354" s="3" t="n">
        <v>46092</v>
      </c>
      <c r="G354" t="inlineStr">
        <is>
          <t>18:16:00</t>
        </is>
      </c>
      <c r="H354" t="n">
        <v>54968400</v>
      </c>
      <c r="I354" t="n">
        <v>103002400</v>
      </c>
      <c r="J354" t="n">
        <v>13340000</v>
      </c>
      <c r="K354" t="n">
        <v>57275000</v>
      </c>
      <c r="L354" t="n">
        <v>91969000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Cajero cuadrado, sin observación por parte de la sucursal</t>
        </is>
      </c>
      <c r="P354" t="n">
        <v>1102586250</v>
      </c>
    </row>
    <row r="355">
      <c r="A355" t="n">
        <v>820</v>
      </c>
      <c r="B355" t="n">
        <v>6174</v>
      </c>
      <c r="C355" t="inlineStr">
        <is>
          <t>BELLTECH</t>
        </is>
      </c>
      <c r="D355" t="inlineStr">
        <is>
          <t>BELLTECH</t>
        </is>
      </c>
      <c r="E355" s="3" t="n">
        <v>46093</v>
      </c>
      <c r="F355" s="3" t="n">
        <v>46092</v>
      </c>
      <c r="G355" t="inlineStr">
        <is>
          <t>15:13:00</t>
        </is>
      </c>
      <c r="H355" t="n">
        <v>208087100</v>
      </c>
      <c r="I355" t="n">
        <v>16700100</v>
      </c>
      <c r="J355" t="n">
        <v>24570000</v>
      </c>
      <c r="K355" t="n">
        <v>37264000</v>
      </c>
      <c r="L355" t="n">
        <v>-195393100</v>
      </c>
      <c r="M355">
        <f>I355-(H355+J355-K355)- L355</f>
        <v/>
      </c>
      <c r="N355">
        <f>IF(M355=0,"Cuadrado",IF(M355&gt;0,"Faltante","Sobrante"))</f>
        <v/>
      </c>
      <c r="O355" t="inlineStr">
        <is>
          <t>EN ESPERA DE ACLARAR, HOY SE GRABA UN REMANENTE DEL 23 DE FEB</t>
        </is>
      </c>
      <c r="P355" t="n">
        <v>1090400247</v>
      </c>
    </row>
    <row r="356">
      <c r="A356" t="n">
        <v>477</v>
      </c>
      <c r="B356" t="n">
        <v>6251</v>
      </c>
      <c r="C356" t="inlineStr">
        <is>
          <t>BELLTECH</t>
        </is>
      </c>
      <c r="D356" t="inlineStr">
        <is>
          <t>BELLTECH</t>
        </is>
      </c>
      <c r="E356" s="3" t="n">
        <v>46093</v>
      </c>
      <c r="F356" s="3" t="n">
        <v>46092</v>
      </c>
      <c r="G356" t="inlineStr">
        <is>
          <t>09:38:00</t>
        </is>
      </c>
      <c r="H356" t="n">
        <v>35598550</v>
      </c>
      <c r="I356" t="n">
        <v>34009050</v>
      </c>
      <c r="J356" t="n">
        <v>7800000</v>
      </c>
      <c r="K356" t="n">
        <v>9490000</v>
      </c>
      <c r="L356" t="n">
        <v>100500</v>
      </c>
      <c r="M356">
        <f>I356-(H356+J356-K356)- L356</f>
        <v/>
      </c>
      <c r="N356">
        <f>IF(M356=0,"Cuadrado",IF(M356&gt;0,"Faltante","Sobrante"))</f>
        <v/>
      </c>
      <c r="O356" t="inlineStr">
        <is>
          <t>El faltante $100.500 es cruzado con sobrante contabilizado el día 10/03/2026 el cual es reversado por la seccion el día 12/03/2026</t>
        </is>
      </c>
      <c r="P356" t="n">
        <v>1140850613</v>
      </c>
    </row>
    <row r="357">
      <c r="A357" t="n">
        <v>337</v>
      </c>
      <c r="B357" t="n">
        <v>6253</v>
      </c>
      <c r="C357" t="inlineStr">
        <is>
          <t>BELLTECH</t>
        </is>
      </c>
      <c r="D357" t="inlineStr">
        <is>
          <t>BELLTECH</t>
        </is>
      </c>
      <c r="E357" s="3" t="n">
        <v>46093</v>
      </c>
      <c r="F357" s="3" t="n">
        <v>46092</v>
      </c>
      <c r="G357" t="inlineStr">
        <is>
          <t>14:12:00</t>
        </is>
      </c>
      <c r="H357" t="n">
        <v>205292550</v>
      </c>
      <c r="I357" t="n">
        <v>179881750</v>
      </c>
      <c r="J357" t="n">
        <v>32140000</v>
      </c>
      <c r="K357" t="n">
        <v>74651800</v>
      </c>
      <c r="M357">
        <f>I357-(H357+J357-K357)- L357</f>
        <v/>
      </c>
      <c r="N357">
        <f>IF(M357=0,"Cuadrado",IF(M357&gt;0,"Faltante","Sobrante"))</f>
        <v/>
      </c>
      <c r="O357" t="inlineStr">
        <is>
          <t>ACLARAR DIFERENCIA Y REPETIR EL ARQUEO</t>
        </is>
      </c>
      <c r="P357" t="n">
        <v>80386330</v>
      </c>
    </row>
    <row r="358">
      <c r="A358" t="n">
        <v>379</v>
      </c>
      <c r="B358" t="n">
        <v>6465</v>
      </c>
      <c r="C358" t="inlineStr">
        <is>
          <t>BELLTECH</t>
        </is>
      </c>
      <c r="D358" t="inlineStr">
        <is>
          <t>BELLTECH</t>
        </is>
      </c>
      <c r="E358" s="3" t="n">
        <v>46093</v>
      </c>
      <c r="F358" s="3" t="n">
        <v>46092</v>
      </c>
      <c r="G358" t="inlineStr">
        <is>
          <t>11:31:00</t>
        </is>
      </c>
      <c r="H358" t="n">
        <v>47484000</v>
      </c>
      <c r="I358" t="n">
        <v>146544950</v>
      </c>
      <c r="J358" t="n">
        <v>7320000</v>
      </c>
      <c r="K358" t="n">
        <v>44098050</v>
      </c>
      <c r="L358" t="n">
        <v>142319000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12/03/2026</t>
        </is>
      </c>
      <c r="P358" t="n">
        <v>1020440431</v>
      </c>
    </row>
    <row r="359">
      <c r="A359" t="n">
        <v>352</v>
      </c>
      <c r="B359" t="n">
        <v>6618</v>
      </c>
      <c r="C359" t="inlineStr">
        <is>
          <t>BELLTECH</t>
        </is>
      </c>
      <c r="D359" t="inlineStr">
        <is>
          <t>BELLTECH</t>
        </is>
      </c>
      <c r="E359" s="3" t="n">
        <v>46093</v>
      </c>
      <c r="F359" s="3" t="n">
        <v>46091</v>
      </c>
      <c r="G359" t="inlineStr">
        <is>
          <t>09:37:00</t>
        </is>
      </c>
      <c r="H359" t="n">
        <v>194220400</v>
      </c>
      <c r="I359" t="n">
        <v>181161000</v>
      </c>
      <c r="J359" t="n">
        <v>4520000</v>
      </c>
      <c r="K359" t="n">
        <v>27330000</v>
      </c>
      <c r="M359">
        <f>I359-(H359+J359-K359)- L359</f>
        <v/>
      </c>
      <c r="N359">
        <f>IF(M359=0,"Cuadrado",IF(M359&gt;0,"Faltante","Sobrante"))</f>
        <v/>
      </c>
      <c r="O359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59" t="n">
        <v>28559006</v>
      </c>
    </row>
    <row r="360">
      <c r="A360" t="n">
        <v>96</v>
      </c>
      <c r="B360" t="n">
        <v>6735</v>
      </c>
      <c r="C360" t="inlineStr">
        <is>
          <t>BELLTECH</t>
        </is>
      </c>
      <c r="D360" t="inlineStr">
        <is>
          <t>BELLTECH</t>
        </is>
      </c>
      <c r="E360" s="3" t="n">
        <v>46093</v>
      </c>
      <c r="F360" s="3" t="n">
        <v>46092</v>
      </c>
      <c r="G360" t="inlineStr">
        <is>
          <t>09:00:00</t>
        </is>
      </c>
      <c r="H360" t="n">
        <v>246463750</v>
      </c>
      <c r="I360" t="n">
        <v>247037750</v>
      </c>
      <c r="J360" t="n">
        <v>22850000</v>
      </c>
      <c r="K360" t="n">
        <v>22720000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60" t="n">
        <v>39491642</v>
      </c>
    </row>
    <row r="361">
      <c r="A361" t="n">
        <v>677</v>
      </c>
      <c r="B361" t="n">
        <v>7124</v>
      </c>
      <c r="C361" t="inlineStr">
        <is>
          <t>DIEBOLD</t>
        </is>
      </c>
      <c r="D361" t="inlineStr">
        <is>
          <t>BELLTECH</t>
        </is>
      </c>
      <c r="E361" s="3" t="n">
        <v>46093</v>
      </c>
      <c r="F361" s="3" t="n">
        <v>46092</v>
      </c>
      <c r="G361" t="inlineStr">
        <is>
          <t>09:37:03</t>
        </is>
      </c>
      <c r="H361" t="n">
        <v>199097100</v>
      </c>
      <c r="I361" t="n">
        <v>200915700</v>
      </c>
      <c r="J361" t="n">
        <v>16040000</v>
      </c>
      <c r="K361" t="n">
        <v>15710000</v>
      </c>
      <c r="L361" t="n">
        <v>1488550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361" t="n">
        <v>1103101789</v>
      </c>
    </row>
    <row r="362">
      <c r="A362" t="n">
        <v>484</v>
      </c>
      <c r="B362" t="n">
        <v>7125</v>
      </c>
      <c r="C362" t="inlineStr">
        <is>
          <t>DIEBOLD</t>
        </is>
      </c>
      <c r="D362" t="inlineStr">
        <is>
          <t>BELLTECH</t>
        </is>
      </c>
      <c r="E362" s="3" t="n">
        <v>46093</v>
      </c>
      <c r="F362" s="3" t="n">
        <v>46092</v>
      </c>
      <c r="G362" t="inlineStr">
        <is>
          <t>08:47:00</t>
        </is>
      </c>
      <c r="H362" t="n">
        <v>253567650</v>
      </c>
      <c r="I362" t="n">
        <v>249657650</v>
      </c>
      <c r="J362" t="n">
        <v>1090000</v>
      </c>
      <c r="K362" t="n">
        <v>0</v>
      </c>
      <c r="M362">
        <f>I362-(H362+J362-K362)- L362</f>
        <v/>
      </c>
      <c r="N362">
        <f>IF(M362=0,"Cuadrado",IF(M362&gt;0,"Faltante","Sobrante"))</f>
        <v/>
      </c>
      <c r="O362" t="inlineStr">
        <is>
          <t>La diferencia es contabilizada por la Gerencia De Autoservicios y Efectivo de manera centralizada a la cuenta de sobrantes 279510020 el 12/03/2026</t>
        </is>
      </c>
      <c r="P362" t="n">
        <v>1052972256</v>
      </c>
    </row>
    <row r="363">
      <c r="A363" t="n">
        <v>41</v>
      </c>
      <c r="B363" t="n">
        <v>7341</v>
      </c>
      <c r="C363" t="inlineStr">
        <is>
          <t>DIEBOLD</t>
        </is>
      </c>
      <c r="D363" t="inlineStr">
        <is>
          <t>BELLTECH</t>
        </is>
      </c>
      <c r="E363" s="3" t="n">
        <v>46093</v>
      </c>
      <c r="F363" s="3" t="n">
        <v>46092</v>
      </c>
      <c r="G363" t="inlineStr">
        <is>
          <t>08:24:00</t>
        </is>
      </c>
      <c r="H363" t="n">
        <v>130250400</v>
      </c>
      <c r="I363" t="n">
        <v>211470400</v>
      </c>
      <c r="J363" t="n">
        <v>0</v>
      </c>
      <c r="K363" t="n">
        <v>0</v>
      </c>
      <c r="L363" t="inlineStr">
        <is>
          <t>81,220,000</t>
        </is>
      </c>
      <c r="M363">
        <f>I363-(H363+J363-K363)- L363</f>
        <v/>
      </c>
      <c r="N363">
        <f>IF(M363=0,"Cuadrado",IF(M363&gt;0,"Faltante","Sobrante"))</f>
        <v/>
      </c>
      <c r="O363" t="inlineStr">
        <is>
          <t>Cajero cuadrado, sin observación por parte de la sucursal</t>
        </is>
      </c>
      <c r="P363" t="n">
        <v>94508187</v>
      </c>
    </row>
    <row r="364">
      <c r="A364" t="n">
        <v>172</v>
      </c>
      <c r="B364" t="n">
        <v>7429</v>
      </c>
      <c r="C364" t="inlineStr">
        <is>
          <t>BELLTECH</t>
        </is>
      </c>
      <c r="D364" t="inlineStr">
        <is>
          <t>BELLTECH</t>
        </is>
      </c>
      <c r="E364" s="3" t="n">
        <v>46093</v>
      </c>
      <c r="F364" s="3" t="n">
        <v>46092</v>
      </c>
      <c r="G364" t="inlineStr">
        <is>
          <t>09:20:00</t>
        </is>
      </c>
      <c r="H364" t="n">
        <v>241706750</v>
      </c>
      <c r="I364" t="n">
        <v>243504250</v>
      </c>
      <c r="J364" t="n">
        <v>1800000</v>
      </c>
      <c r="K364" t="n">
        <v>0</v>
      </c>
      <c r="M364">
        <f>I364-(H364+J364-K364)- L364</f>
        <v/>
      </c>
      <c r="N364">
        <f>IF(M364=0,"Cuadrado",IF(M364&gt;0,"Faltante","Sobrante"))</f>
        <v/>
      </c>
      <c r="O364" t="inlineStr">
        <is>
          <t>La diferencia es contabilizada por la Gerencia De Autoservicios y Efectivo de manera centralizada a la cuenta de sobrantes 279510020 el 12/03/2026</t>
        </is>
      </c>
      <c r="P364" t="n">
        <v>52156260</v>
      </c>
    </row>
    <row r="365">
      <c r="A365" t="n">
        <v>318</v>
      </c>
      <c r="B365" t="n">
        <v>7680</v>
      </c>
      <c r="C365" t="inlineStr">
        <is>
          <t>BELLTECH</t>
        </is>
      </c>
      <c r="D365" t="inlineStr">
        <is>
          <t>BELLTECH</t>
        </is>
      </c>
      <c r="E365" s="3" t="n">
        <v>46093</v>
      </c>
      <c r="F365" s="3" t="n">
        <v>46092</v>
      </c>
      <c r="G365" t="inlineStr">
        <is>
          <t>09:48:00</t>
        </is>
      </c>
      <c r="H365" t="n">
        <v>317454750</v>
      </c>
      <c r="I365" t="n">
        <v>328714750</v>
      </c>
      <c r="J365" t="n">
        <v>8980000</v>
      </c>
      <c r="K365" t="n">
        <v>0</v>
      </c>
      <c r="L365" t="n">
        <v>2280000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El faltante $2.280.000 es cruzado con sobrante contabilizado el día 04/03/2026 el cual es reversado por la seccion el día 12/03/2026</t>
        </is>
      </c>
      <c r="P365" t="n">
        <v>1065862494</v>
      </c>
    </row>
    <row r="366">
      <c r="A366" t="n">
        <v>91</v>
      </c>
      <c r="B366" t="n">
        <v>7943</v>
      </c>
      <c r="C366" t="inlineStr">
        <is>
          <t>DIEBOLD</t>
        </is>
      </c>
      <c r="D366" t="inlineStr">
        <is>
          <t>DIEBOLD</t>
        </is>
      </c>
      <c r="E366" s="3" t="n">
        <v>46093</v>
      </c>
      <c r="F366" s="3" t="n">
        <v>46092</v>
      </c>
      <c r="G366" t="inlineStr">
        <is>
          <t>09:33:00</t>
        </is>
      </c>
      <c r="H366" t="n">
        <v>267821450</v>
      </c>
      <c r="I366" t="n">
        <v>253664450</v>
      </c>
      <c r="J366" t="n">
        <v>0</v>
      </c>
      <c r="K366" t="n">
        <v>5002000</v>
      </c>
      <c r="L366" t="n">
        <v>-1874000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12/03/2026</t>
        </is>
      </c>
      <c r="P366" t="n">
        <v>1067844638</v>
      </c>
    </row>
    <row r="367">
      <c r="A367" t="n">
        <v>693</v>
      </c>
      <c r="B367" t="n">
        <v>7979</v>
      </c>
      <c r="C367" t="inlineStr">
        <is>
          <t>BELLTECH</t>
        </is>
      </c>
      <c r="D367" t="inlineStr">
        <is>
          <t>BELLTECH</t>
        </is>
      </c>
      <c r="E367" s="3" t="n">
        <v>46093</v>
      </c>
      <c r="F367" s="3" t="n">
        <v>46092</v>
      </c>
      <c r="G367" t="inlineStr">
        <is>
          <t>10:41:00</t>
        </is>
      </c>
      <c r="H367" t="n">
        <v>104759900</v>
      </c>
      <c r="I367" t="n">
        <v>89777050</v>
      </c>
      <c r="J367" t="n">
        <v>1000000</v>
      </c>
      <c r="K367" t="n">
        <v>15352850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sobrantes 279510020 el 12/03/2026</t>
        </is>
      </c>
      <c r="P367" t="n">
        <v>98557134</v>
      </c>
    </row>
    <row r="368">
      <c r="A368" t="n">
        <v>569</v>
      </c>
      <c r="B368" t="n">
        <v>8129</v>
      </c>
      <c r="C368" t="inlineStr">
        <is>
          <t>DIEBOLD</t>
        </is>
      </c>
      <c r="D368" t="inlineStr">
        <is>
          <t>DIEBOLD</t>
        </is>
      </c>
      <c r="E368" s="3" t="n">
        <v>46093</v>
      </c>
      <c r="F368" s="3" t="n">
        <v>46092</v>
      </c>
      <c r="G368" t="inlineStr">
        <is>
          <t>09:58:00</t>
        </is>
      </c>
      <c r="H368" t="n">
        <v>244617900</v>
      </c>
      <c r="I368" t="n">
        <v>250763150</v>
      </c>
      <c r="J368" t="n">
        <v>6150000</v>
      </c>
      <c r="K368" t="n">
        <v>0</v>
      </c>
      <c r="M368">
        <f>I368-(H368+J368-K368)- L368</f>
        <v/>
      </c>
      <c r="N368">
        <f>IF(M368=0,"Cuadrado",IF(M368&gt;0,"Faltante","Sobrante"))</f>
        <v/>
      </c>
      <c r="O368" t="inlineStr">
        <is>
          <t>La diferencia es contabilizada por la Gerencia De Autoservicios y Efectivo de manera centralizada a la cuenta de sobrantes 279510020 el 12/03/2026</t>
        </is>
      </c>
      <c r="P368" t="n">
        <v>10779993</v>
      </c>
    </row>
    <row r="369">
      <c r="A369" t="n">
        <v>291</v>
      </c>
      <c r="B369" t="n">
        <v>8139</v>
      </c>
      <c r="C369" t="inlineStr">
        <is>
          <t>DIEBOLD</t>
        </is>
      </c>
      <c r="D369" t="inlineStr">
        <is>
          <t>DIEBOLD</t>
        </is>
      </c>
      <c r="E369" s="3" t="n">
        <v>46093</v>
      </c>
      <c r="F369" s="3" t="n">
        <v>46092</v>
      </c>
      <c r="G369" t="inlineStr">
        <is>
          <t>09:29:00</t>
        </is>
      </c>
      <c r="H369" t="n">
        <v>191207450</v>
      </c>
      <c r="I369" t="n">
        <v>190428450</v>
      </c>
      <c r="J369" t="n">
        <v>0</v>
      </c>
      <c r="K369" t="n">
        <v>650000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12/03/2026</t>
        </is>
      </c>
      <c r="P369" t="n">
        <v>1095930956</v>
      </c>
    </row>
    <row r="370">
      <c r="A370" t="n">
        <v>769</v>
      </c>
      <c r="B370" t="n">
        <v>8679</v>
      </c>
      <c r="C370" t="inlineStr">
        <is>
          <t>BELLTECH</t>
        </is>
      </c>
      <c r="D370" t="inlineStr">
        <is>
          <t>BELLTECH</t>
        </is>
      </c>
      <c r="E370" s="3" t="n">
        <v>46093</v>
      </c>
      <c r="F370" s="3" t="n">
        <v>46092</v>
      </c>
      <c r="G370" t="inlineStr">
        <is>
          <t>09:26:00</t>
        </is>
      </c>
      <c r="H370" t="n">
        <v>75467600</v>
      </c>
      <c r="I370" t="n">
        <v>62265600</v>
      </c>
      <c r="J370" t="n">
        <v>810000</v>
      </c>
      <c r="K370" t="n">
        <v>4080000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ACLARAR DIFERENCIA Y REPETIR EL ARQUEO</t>
        </is>
      </c>
      <c r="P370" t="n">
        <v>1129580385</v>
      </c>
    </row>
    <row r="371">
      <c r="A371" t="n">
        <v>85</v>
      </c>
      <c r="B371" t="n">
        <v>8974</v>
      </c>
      <c r="C371" t="inlineStr">
        <is>
          <t>BELLTECH</t>
        </is>
      </c>
      <c r="D371" t="inlineStr">
        <is>
          <t>BELLTECH</t>
        </is>
      </c>
      <c r="E371" s="3" t="n">
        <v>46093</v>
      </c>
      <c r="F371" s="3" t="n">
        <v>46092</v>
      </c>
      <c r="G371" t="inlineStr">
        <is>
          <t>17:19:00</t>
        </is>
      </c>
      <c r="H371" t="n">
        <v>185138700</v>
      </c>
      <c r="I371" t="n">
        <v>125304500</v>
      </c>
      <c r="J371" t="n">
        <v>11770000</v>
      </c>
      <c r="K371" t="n">
        <v>177784000</v>
      </c>
      <c r="L371" t="n">
        <v>106614000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sobrantes 279510020 el 12/03/2026</t>
        </is>
      </c>
      <c r="P371" t="n">
        <v>1047413788</v>
      </c>
    </row>
    <row r="372">
      <c r="A372" t="n">
        <v>957</v>
      </c>
      <c r="B372" t="n">
        <v>9512</v>
      </c>
      <c r="C372" t="inlineStr">
        <is>
          <t>BELLTECH</t>
        </is>
      </c>
      <c r="D372" t="inlineStr">
        <is>
          <t>BELLTECH</t>
        </is>
      </c>
      <c r="E372" s="3" t="n">
        <v>46093</v>
      </c>
      <c r="F372" s="3" t="n">
        <v>46092</v>
      </c>
      <c r="G372" t="inlineStr">
        <is>
          <t>10:06:00</t>
        </is>
      </c>
      <c r="H372" t="n">
        <v>177716500</v>
      </c>
      <c r="I372" t="n">
        <v>169729500</v>
      </c>
      <c r="J372" t="n">
        <v>7910000</v>
      </c>
      <c r="K372" t="n">
        <v>15947000</v>
      </c>
      <c r="M372">
        <f>I372-(H372+J372-K372)- L372</f>
        <v/>
      </c>
      <c r="N372">
        <f>IF(M372=0,"Cuadrado",IF(M372&gt;0,"Faltante","Sobrante"))</f>
        <v/>
      </c>
      <c r="O372" t="inlineStr">
        <is>
          <t>ACLARAR DIFERENCIA Y REPETIR EL ARQUEO</t>
        </is>
      </c>
      <c r="P372" t="n">
        <v>72290314</v>
      </c>
    </row>
    <row r="373">
      <c r="A373" t="n">
        <v>957</v>
      </c>
      <c r="B373" t="n">
        <v>9513</v>
      </c>
      <c r="C373" t="inlineStr">
        <is>
          <t>BELLTECH</t>
        </is>
      </c>
      <c r="D373" t="inlineStr">
        <is>
          <t>BELLTECH</t>
        </is>
      </c>
      <c r="E373" s="3" t="n">
        <v>46093</v>
      </c>
      <c r="F373" s="3" t="n">
        <v>46092</v>
      </c>
      <c r="G373" t="inlineStr">
        <is>
          <t>11:00:00</t>
        </is>
      </c>
      <c r="H373" t="n">
        <v>87742600</v>
      </c>
      <c r="I373" t="n">
        <v>63605900</v>
      </c>
      <c r="J373" t="n">
        <v>10600000</v>
      </c>
      <c r="K373" t="n">
        <v>35691000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73" t="n">
        <v>72290314</v>
      </c>
    </row>
    <row r="374">
      <c r="A374" t="n">
        <v>516</v>
      </c>
      <c r="B374" t="n">
        <v>9729</v>
      </c>
      <c r="C374" t="inlineStr">
        <is>
          <t>BELLTECH</t>
        </is>
      </c>
      <c r="D374" t="inlineStr">
        <is>
          <t>BELLTECH</t>
        </is>
      </c>
      <c r="E374" s="3" t="n">
        <v>46093</v>
      </c>
      <c r="F374" s="3" t="n">
        <v>46092</v>
      </c>
      <c r="G374" t="inlineStr">
        <is>
          <t>09:15:00</t>
        </is>
      </c>
      <c r="H374" t="n">
        <v>254974150</v>
      </c>
      <c r="I374" t="n">
        <v>307136750</v>
      </c>
      <c r="J374" t="n">
        <v>0</v>
      </c>
      <c r="K374" t="n">
        <v>0</v>
      </c>
      <c r="L374" t="n">
        <v>-1377400</v>
      </c>
      <c r="M374">
        <f>I374-(H374+J374-K374)- L374</f>
        <v/>
      </c>
      <c r="N374">
        <f>IF(M374=0,"Cuadrado",IF(M374&gt;0,"Faltante","Sobrante"))</f>
        <v/>
      </c>
      <c r="O374" t="inlineStr">
        <is>
          <t>ACLARAR DIFERENCIA Y REPETIR EL ARQUEO</t>
        </is>
      </c>
      <c r="P374" t="n">
        <v>1102850956</v>
      </c>
    </row>
    <row r="375">
      <c r="A375" t="n">
        <v>481</v>
      </c>
      <c r="B375" t="n">
        <v>1010</v>
      </c>
      <c r="C375" t="inlineStr">
        <is>
          <t>BELLTECH</t>
        </is>
      </c>
      <c r="D375" t="inlineStr">
        <is>
          <t>BELLTECH</t>
        </is>
      </c>
      <c r="E375" s="3" t="n">
        <v>46093</v>
      </c>
      <c r="F375" s="3" t="n">
        <v>46092</v>
      </c>
      <c r="G375" t="inlineStr">
        <is>
          <t>09:19:00</t>
        </is>
      </c>
      <c r="H375" t="n">
        <v>205089950</v>
      </c>
      <c r="I375" t="n">
        <v>205089950</v>
      </c>
      <c r="J375" t="n">
        <v>0</v>
      </c>
      <c r="K375" t="n">
        <v>0</v>
      </c>
      <c r="M375">
        <f>I375-(H375+J375-K375)- L375</f>
        <v/>
      </c>
      <c r="N375">
        <f>IF(M375=0,"Cuadrado",IF(M375&gt;0,"Faltante","Sobrante"))</f>
        <v/>
      </c>
      <c r="O375" t="inlineStr">
        <is>
          <t>Cajero cuadrado, sin observación por parte de la sucursal</t>
        </is>
      </c>
      <c r="P375" t="n">
        <v>1143439387</v>
      </c>
    </row>
    <row r="376">
      <c r="A376" t="n">
        <v>795</v>
      </c>
      <c r="B376" t="n">
        <v>1029</v>
      </c>
      <c r="C376" t="inlineStr">
        <is>
          <t>BELLTECH</t>
        </is>
      </c>
      <c r="D376" t="inlineStr">
        <is>
          <t>BELLTECH</t>
        </is>
      </c>
      <c r="E376" s="3" t="n">
        <v>46093</v>
      </c>
      <c r="F376" s="3" t="n">
        <v>46092</v>
      </c>
      <c r="G376" t="inlineStr">
        <is>
          <t>10:14:00</t>
        </is>
      </c>
      <c r="H376" t="n">
        <v>118626650</v>
      </c>
      <c r="I376" t="n">
        <v>116766650</v>
      </c>
      <c r="J376" t="n">
        <v>6750000</v>
      </c>
      <c r="K376" t="n">
        <v>8610000</v>
      </c>
      <c r="M376">
        <f>I376-(H376+J376-K376)- L376</f>
        <v/>
      </c>
      <c r="N376">
        <f>IF(M376=0,"Cuadrado",IF(M376&gt;0,"Faltante","Sobrante"))</f>
        <v/>
      </c>
      <c r="O376" t="inlineStr">
        <is>
          <t>Cajero cuadrado, sin observación por parte de la sucursal</t>
        </is>
      </c>
      <c r="P376" t="n">
        <v>91274094</v>
      </c>
    </row>
    <row r="377">
      <c r="A377" t="n">
        <v>32</v>
      </c>
      <c r="B377" t="n">
        <v>5027</v>
      </c>
      <c r="C377" t="inlineStr">
        <is>
          <t>BELLTECH</t>
        </is>
      </c>
      <c r="D377" t="inlineStr">
        <is>
          <t>BELLTECH</t>
        </is>
      </c>
      <c r="E377" s="3" t="n">
        <v>46093</v>
      </c>
      <c r="F377" s="3" t="n">
        <v>46092</v>
      </c>
      <c r="G377" t="inlineStr">
        <is>
          <t>08:13:00</t>
        </is>
      </c>
      <c r="H377" t="n">
        <v>454630750</v>
      </c>
      <c r="I377" t="n">
        <v>454630750</v>
      </c>
      <c r="J377" t="n">
        <v>0</v>
      </c>
      <c r="K377" t="n">
        <v>0</v>
      </c>
      <c r="M377">
        <f>I377-(H377+J377-K377)- L377</f>
        <v/>
      </c>
      <c r="N377">
        <f>IF(M377=0,"Cuadrado",IF(M377&gt;0,"Faltante","Sobrante"))</f>
        <v/>
      </c>
      <c r="O377" t="inlineStr">
        <is>
          <t>Cajero cuadrado, sin observación por parte de la sucursal</t>
        </is>
      </c>
      <c r="P377" t="n">
        <v>79750158</v>
      </c>
    </row>
    <row r="378">
      <c r="A378" t="n">
        <v>517</v>
      </c>
      <c r="B378" t="n">
        <v>5053</v>
      </c>
      <c r="C378" t="inlineStr">
        <is>
          <t>BELLTECH</t>
        </is>
      </c>
      <c r="D378" t="inlineStr">
        <is>
          <t>BELLTECH</t>
        </is>
      </c>
      <c r="E378" s="3" t="n">
        <v>46093</v>
      </c>
      <c r="F378" s="3" t="n">
        <v>46092</v>
      </c>
      <c r="G378" t="inlineStr">
        <is>
          <t>09:04:00</t>
        </is>
      </c>
      <c r="H378" t="n">
        <v>241524550</v>
      </c>
      <c r="I378" t="n">
        <v>241524550</v>
      </c>
      <c r="J378" t="n">
        <v>0</v>
      </c>
      <c r="K378" t="n">
        <v>0</v>
      </c>
      <c r="M378">
        <f>I378-(H378+J378-K378)- L378</f>
        <v/>
      </c>
      <c r="N378">
        <f>IF(M378=0,"Cuadrado",IF(M378&gt;0,"Faltante","Sobrante"))</f>
        <v/>
      </c>
      <c r="O378" t="inlineStr">
        <is>
          <t>Cajero cuadrado, sin observación por parte de la sucursal</t>
        </is>
      </c>
      <c r="P378" t="n">
        <v>1083026284</v>
      </c>
    </row>
    <row r="379">
      <c r="A379" t="n">
        <v>115</v>
      </c>
      <c r="B379" t="n">
        <v>5080</v>
      </c>
      <c r="C379" t="inlineStr">
        <is>
          <t>BELLTECH</t>
        </is>
      </c>
      <c r="D379" t="inlineStr">
        <is>
          <t>BELLTECH</t>
        </is>
      </c>
      <c r="E379" s="3" t="n">
        <v>46093</v>
      </c>
      <c r="F379" s="3" t="n">
        <v>46092</v>
      </c>
      <c r="G379" t="inlineStr">
        <is>
          <t>09:03:00</t>
        </is>
      </c>
      <c r="H379" t="n">
        <v>307006600</v>
      </c>
      <c r="I379" t="n">
        <v>295086600</v>
      </c>
      <c r="J379" t="n">
        <v>180000</v>
      </c>
      <c r="K379" t="n">
        <v>12100000</v>
      </c>
      <c r="M379">
        <f>I379-(H379+J379-K379)- L379</f>
        <v/>
      </c>
      <c r="N379">
        <f>IF(M379=0,"Cuadrado",IF(M379&gt;0,"Faltante","Sobrante"))</f>
        <v/>
      </c>
      <c r="O379" t="inlineStr">
        <is>
          <t>Cajero cuadrado, sin observación por parte de la sucursal</t>
        </is>
      </c>
      <c r="P379" t="n">
        <v>42158306</v>
      </c>
    </row>
    <row r="380">
      <c r="A380" t="n">
        <v>318</v>
      </c>
      <c r="B380" t="n">
        <v>5136</v>
      </c>
      <c r="C380" t="inlineStr">
        <is>
          <t>BELLTECH</t>
        </is>
      </c>
      <c r="D380" t="inlineStr">
        <is>
          <t>BELLTECH</t>
        </is>
      </c>
      <c r="E380" s="3" t="n">
        <v>46093</v>
      </c>
      <c r="F380" s="3" t="n">
        <v>46092</v>
      </c>
      <c r="G380" t="inlineStr">
        <is>
          <t>09:22:00</t>
        </is>
      </c>
      <c r="H380" t="n">
        <v>394667050</v>
      </c>
      <c r="I380" t="n">
        <v>310297050</v>
      </c>
      <c r="J380" t="n">
        <v>2880000</v>
      </c>
      <c r="K380" t="n">
        <v>87250000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Cajero cuadrado, sin observación por parte de la sucursal</t>
        </is>
      </c>
      <c r="P380" t="n">
        <v>1065862494</v>
      </c>
    </row>
    <row r="381">
      <c r="A381" t="n">
        <v>725</v>
      </c>
      <c r="B381" t="n">
        <v>5166</v>
      </c>
      <c r="C381" t="inlineStr">
        <is>
          <t>BELLTECH</t>
        </is>
      </c>
      <c r="D381" t="inlineStr">
        <is>
          <t>BELLTECH</t>
        </is>
      </c>
      <c r="E381" s="3" t="n">
        <v>46093</v>
      </c>
      <c r="F381" s="3" t="n">
        <v>46092</v>
      </c>
      <c r="G381" t="inlineStr">
        <is>
          <t>09:14:00</t>
        </is>
      </c>
      <c r="H381" t="n">
        <v>249486000</v>
      </c>
      <c r="I381" t="n">
        <v>216256000</v>
      </c>
      <c r="J381" t="n">
        <v>770000</v>
      </c>
      <c r="K381" t="n">
        <v>34000000</v>
      </c>
      <c r="L381" t="n">
        <v>0</v>
      </c>
      <c r="M381">
        <f>I381-(H381+J381-K381)- L381</f>
        <v/>
      </c>
      <c r="N381">
        <f>IF(M381=0,"Cuadrado",IF(M381&gt;0,"Faltante","Sobrante"))</f>
        <v/>
      </c>
      <c r="O381" t="inlineStr">
        <is>
          <t>El faltante $40.000 es cruzado con sobrante contabilizado el día 11/03/2026 el cual es reversado por la seccion el día 12/03/2026</t>
        </is>
      </c>
      <c r="P381" t="n">
        <v>1093220078</v>
      </c>
    </row>
    <row r="382">
      <c r="A382" t="n">
        <v>302</v>
      </c>
      <c r="B382" t="n">
        <v>5170</v>
      </c>
      <c r="C382" t="inlineStr">
        <is>
          <t>BELLTECH</t>
        </is>
      </c>
      <c r="D382" t="inlineStr">
        <is>
          <t>BELLTECH</t>
        </is>
      </c>
      <c r="E382" s="3" t="n">
        <v>46093</v>
      </c>
      <c r="F382" s="3" t="n">
        <v>46092</v>
      </c>
      <c r="G382" t="inlineStr">
        <is>
          <t>09:13:00</t>
        </is>
      </c>
      <c r="H382" t="n">
        <v>165896900</v>
      </c>
      <c r="I382" t="n">
        <v>176856900</v>
      </c>
      <c r="J382" t="n">
        <v>11760000</v>
      </c>
      <c r="K382" t="n">
        <v>800000</v>
      </c>
      <c r="L382" t="n">
        <v>10000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La diferencia es contabilizada por la Gerencia De Autoservicios y Efectivo de manera centralizada a la cuenta de sobrantes 279510020 el 12/03/2026</t>
        </is>
      </c>
      <c r="P382" t="n">
        <v>1102374502</v>
      </c>
    </row>
    <row r="383">
      <c r="A383" t="n">
        <v>93</v>
      </c>
      <c r="B383" t="n">
        <v>7126</v>
      </c>
      <c r="C383" t="inlineStr">
        <is>
          <t>BELLTECH</t>
        </is>
      </c>
      <c r="D383" t="inlineStr">
        <is>
          <t>BELLTECH</t>
        </is>
      </c>
      <c r="E383" s="3" t="n">
        <v>46093</v>
      </c>
      <c r="F383" s="3" t="n">
        <v>46092</v>
      </c>
      <c r="G383" t="inlineStr">
        <is>
          <t>14:08:00</t>
        </is>
      </c>
      <c r="H383" t="n">
        <v>249527800</v>
      </c>
      <c r="I383" t="n">
        <v>231651150</v>
      </c>
      <c r="J383" t="n">
        <v>13790000</v>
      </c>
      <c r="K383" t="n">
        <v>31666650</v>
      </c>
      <c r="M383">
        <f>I383-(H383+J383-K383)- L383</f>
        <v/>
      </c>
      <c r="N383">
        <f>IF(M383=0,"Cuadrado",IF(M383&gt;0,"Faltante","Sobrante"))</f>
        <v/>
      </c>
      <c r="O383" t="inlineStr">
        <is>
          <t>Cajero cuadrado, sin observación por parte de la sucursal</t>
        </is>
      </c>
      <c r="P383" t="n">
        <v>1067931735</v>
      </c>
    </row>
    <row r="384">
      <c r="A384" t="n">
        <v>725</v>
      </c>
      <c r="B384" t="n">
        <v>8090</v>
      </c>
      <c r="C384" t="inlineStr">
        <is>
          <t>BELLTECH</t>
        </is>
      </c>
      <c r="D384" t="inlineStr">
        <is>
          <t>BELLTECH</t>
        </is>
      </c>
      <c r="E384" s="3" t="n">
        <v>46093</v>
      </c>
      <c r="F384" s="3" t="n">
        <v>46092</v>
      </c>
      <c r="G384" t="inlineStr">
        <is>
          <t>09:52:00</t>
        </is>
      </c>
      <c r="H384" t="n">
        <v>147875200</v>
      </c>
      <c r="I384" t="n">
        <v>145705200</v>
      </c>
      <c r="J384" t="n">
        <v>2380000</v>
      </c>
      <c r="K384" t="n">
        <v>4550000</v>
      </c>
      <c r="M384">
        <f>I384-(H384+J384-K384)- L384</f>
        <v/>
      </c>
      <c r="N384">
        <f>IF(M384=0,"Cuadrado",IF(M384&gt;0,"Faltante","Sobrante"))</f>
        <v/>
      </c>
      <c r="O384" t="inlineStr">
        <is>
          <t>Cajero cuadrado, sin observación por parte de la sucursal</t>
        </is>
      </c>
      <c r="P384" t="n">
        <v>1093220078</v>
      </c>
    </row>
    <row r="385">
      <c r="A385" t="n">
        <v>556</v>
      </c>
      <c r="B385" t="n">
        <v>8333</v>
      </c>
      <c r="C385" t="inlineStr">
        <is>
          <t>BELLTECH</t>
        </is>
      </c>
      <c r="D385" t="inlineStr">
        <is>
          <t>BELLTECH</t>
        </is>
      </c>
      <c r="E385" s="3" t="n">
        <v>46093</v>
      </c>
      <c r="F385" s="3" t="n">
        <v>46092</v>
      </c>
      <c r="G385" t="inlineStr">
        <is>
          <t>09:00:00</t>
        </is>
      </c>
      <c r="H385" t="n">
        <v>532663450</v>
      </c>
      <c r="I385" t="n">
        <v>521247450</v>
      </c>
      <c r="J385" t="n">
        <v>2340000</v>
      </c>
      <c r="K385" t="n">
        <v>13756000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39450196</v>
      </c>
    </row>
    <row r="386">
      <c r="A386" t="n">
        <v>348</v>
      </c>
      <c r="B386" t="n">
        <v>192</v>
      </c>
      <c r="C386" t="inlineStr">
        <is>
          <t>BELLTECH</t>
        </is>
      </c>
      <c r="D386" t="inlineStr">
        <is>
          <t>BELLTECH</t>
        </is>
      </c>
      <c r="E386" s="3" t="n">
        <v>46097</v>
      </c>
      <c r="F386" s="3" t="n">
        <v>46094</v>
      </c>
      <c r="G386" t="inlineStr">
        <is>
          <t>16:22:00</t>
        </is>
      </c>
      <c r="H386" t="n">
        <v>331471800</v>
      </c>
      <c r="I386" t="n">
        <v>237963800</v>
      </c>
      <c r="J386" t="n">
        <v>16150000</v>
      </c>
      <c r="K386" t="n">
        <v>105999950</v>
      </c>
      <c r="M386">
        <f>I386-(H386+J386-K386)- L386</f>
        <v/>
      </c>
      <c r="N386">
        <f>IF(M386=0,"Cuadrado",IF(M386&gt;0,"Faltante","Sobrante"))</f>
        <v/>
      </c>
      <c r="P386" t="n">
        <v>1123633014</v>
      </c>
    </row>
    <row r="387">
      <c r="A387" t="n">
        <v>879</v>
      </c>
      <c r="B387" t="n">
        <v>5045</v>
      </c>
      <c r="C387" t="inlineStr">
        <is>
          <t>BELLTECH</t>
        </is>
      </c>
      <c r="D387" t="inlineStr">
        <is>
          <t>BELLTECH</t>
        </is>
      </c>
      <c r="E387" s="3" t="n">
        <v>46097</v>
      </c>
      <c r="F387" s="3" t="n">
        <v>46094</v>
      </c>
      <c r="G387" t="inlineStr">
        <is>
          <t>15:36:00</t>
        </is>
      </c>
      <c r="H387" t="n">
        <v>135333700</v>
      </c>
      <c r="I387" t="n">
        <v>60514700</v>
      </c>
      <c r="J387" t="n">
        <v>10220000</v>
      </c>
      <c r="K387" t="n">
        <v>199399000</v>
      </c>
      <c r="M387">
        <f>I387-(H387+J387-K387)- L387</f>
        <v/>
      </c>
      <c r="N387">
        <f>IF(M387=0,"Cuadrado",IF(M387&gt;0,"Faltante","Sobrante"))</f>
        <v/>
      </c>
      <c r="P387" t="n">
        <v>1085303632</v>
      </c>
    </row>
    <row r="388">
      <c r="A388" t="n">
        <v>769</v>
      </c>
      <c r="B388" t="n">
        <v>5051</v>
      </c>
      <c r="C388" t="inlineStr">
        <is>
          <t>BELLTECH</t>
        </is>
      </c>
      <c r="D388" t="inlineStr">
        <is>
          <t>BELLTECH</t>
        </is>
      </c>
      <c r="E388" s="3" t="n">
        <v>46097</v>
      </c>
      <c r="F388" s="3" t="n">
        <v>46094</v>
      </c>
      <c r="G388" t="inlineStr">
        <is>
          <t>10:43:00</t>
        </is>
      </c>
      <c r="H388" t="n">
        <v>135121800</v>
      </c>
      <c r="I388" t="n">
        <v>94259800</v>
      </c>
      <c r="J388" t="n">
        <v>890000</v>
      </c>
      <c r="K388" t="n">
        <v>41872000</v>
      </c>
      <c r="M388">
        <f>I388-(H388+J388-K388)- L388</f>
        <v/>
      </c>
      <c r="N388">
        <f>IF(M388=0,"Cuadrado",IF(M388&gt;0,"Faltante","Sobrante"))</f>
        <v/>
      </c>
      <c r="P388" t="n">
        <v>1129580385</v>
      </c>
    </row>
    <row r="389">
      <c r="A389" t="n">
        <v>24</v>
      </c>
      <c r="B389" t="n">
        <v>5066</v>
      </c>
      <c r="C389" t="inlineStr">
        <is>
          <t>BELLTECH</t>
        </is>
      </c>
      <c r="D389" t="inlineStr">
        <is>
          <t>BELLTECH</t>
        </is>
      </c>
      <c r="E389" s="3" t="n">
        <v>46097</v>
      </c>
      <c r="F389" s="3" t="n">
        <v>46094</v>
      </c>
      <c r="G389" t="inlineStr">
        <is>
          <t>12:46:00</t>
        </is>
      </c>
      <c r="H389" t="n">
        <v>207331300</v>
      </c>
      <c r="I389" t="n">
        <v>172009900</v>
      </c>
      <c r="J389" t="n">
        <v>18130000</v>
      </c>
      <c r="K389" t="n">
        <v>53976400</v>
      </c>
      <c r="M389">
        <f>I389-(H389+J389-K389)- L389</f>
        <v/>
      </c>
      <c r="N389">
        <f>IF(M389=0,"Cuadrado",IF(M389&gt;0,"Faltante","Sobrante"))</f>
        <v/>
      </c>
      <c r="P389" t="n">
        <v>39447263</v>
      </c>
    </row>
    <row r="390">
      <c r="A390" t="n">
        <v>789</v>
      </c>
      <c r="B390" t="n">
        <v>5118</v>
      </c>
      <c r="C390" t="inlineStr">
        <is>
          <t>DIEBOLD</t>
        </is>
      </c>
      <c r="D390" t="inlineStr">
        <is>
          <t>BELLTECH</t>
        </is>
      </c>
      <c r="E390" s="3" t="n">
        <v>46097</v>
      </c>
      <c r="F390" s="3" t="n">
        <v>46094</v>
      </c>
      <c r="G390" t="inlineStr">
        <is>
          <t>15:01:00</t>
        </is>
      </c>
      <c r="H390" t="n">
        <v>268698800</v>
      </c>
      <c r="I390" t="n">
        <v>141932800</v>
      </c>
      <c r="J390" t="n">
        <v>25990000</v>
      </c>
      <c r="K390" t="n">
        <v>142716000</v>
      </c>
      <c r="M390">
        <f>I390-(H390+J390-K390)- L390</f>
        <v/>
      </c>
      <c r="N390">
        <f>IF(M390=0,"Cuadrado",IF(M390&gt;0,"Faltante","Sobrante"))</f>
        <v/>
      </c>
      <c r="P390" t="n">
        <v>1102835683</v>
      </c>
    </row>
    <row r="391">
      <c r="A391" t="n">
        <v>667</v>
      </c>
      <c r="B391" t="n">
        <v>5167</v>
      </c>
      <c r="C391" t="inlineStr">
        <is>
          <t>BELLTECH</t>
        </is>
      </c>
      <c r="D391" t="inlineStr">
        <is>
          <t>BELLTECH</t>
        </is>
      </c>
      <c r="E391" s="3" t="n">
        <v>46097</v>
      </c>
      <c r="F391" s="3" t="n">
        <v>46093</v>
      </c>
      <c r="G391" t="inlineStr">
        <is>
          <t>08:18:00</t>
        </is>
      </c>
      <c r="H391" t="n">
        <v>323195550</v>
      </c>
      <c r="I391" t="n">
        <v>323415550</v>
      </c>
      <c r="J391" t="n">
        <v>0</v>
      </c>
      <c r="K391" t="n">
        <v>0</v>
      </c>
      <c r="M391">
        <f>I391-(H391+J391-K391)- L391</f>
        <v/>
      </c>
      <c r="N391">
        <f>IF(M391=0,"Cuadrado",IF(M391&gt;0,"Faltante","Sobrante"))</f>
        <v/>
      </c>
      <c r="P391" t="n">
        <v>79953058</v>
      </c>
    </row>
    <row r="392">
      <c r="A392" t="n">
        <v>698</v>
      </c>
      <c r="B392" t="n">
        <v>5187</v>
      </c>
      <c r="C392" t="inlineStr">
        <is>
          <t>BELLTECH</t>
        </is>
      </c>
      <c r="D392" t="inlineStr">
        <is>
          <t>BELLTECH</t>
        </is>
      </c>
      <c r="E392" s="3" t="n">
        <v>46097</v>
      </c>
      <c r="F392" s="3" t="n">
        <v>46094</v>
      </c>
      <c r="G392" t="inlineStr">
        <is>
          <t>10:31:00</t>
        </is>
      </c>
      <c r="H392" t="n">
        <v>190586250</v>
      </c>
      <c r="I392" t="n">
        <v>189606750</v>
      </c>
      <c r="J392" t="n">
        <v>1820000</v>
      </c>
      <c r="K392" t="n">
        <v>2800000</v>
      </c>
      <c r="M392">
        <f>I392-(H392+J392-K392)- L392</f>
        <v/>
      </c>
      <c r="N392">
        <f>IF(M392=0,"Cuadrado",IF(M392&gt;0,"Faltante","Sobrante"))</f>
        <v/>
      </c>
      <c r="P392" t="n">
        <v>80177355</v>
      </c>
    </row>
    <row r="393">
      <c r="A393" t="n">
        <v>674</v>
      </c>
      <c r="B393" t="n">
        <v>5200</v>
      </c>
      <c r="C393" t="inlineStr">
        <is>
          <t>BELLTECH</t>
        </is>
      </c>
      <c r="D393" t="inlineStr">
        <is>
          <t>BELLTECH</t>
        </is>
      </c>
      <c r="E393" s="3" t="n">
        <v>46097</v>
      </c>
      <c r="F393" s="3" t="n">
        <v>46094</v>
      </c>
      <c r="G393" t="inlineStr">
        <is>
          <t>11:38:00</t>
        </is>
      </c>
      <c r="H393" t="n">
        <v>116721250</v>
      </c>
      <c r="I393" t="n">
        <v>110741250</v>
      </c>
      <c r="J393" t="n">
        <v>3960000</v>
      </c>
      <c r="K393" t="n">
        <v>9650000</v>
      </c>
      <c r="M393">
        <f>I393-(H393+J393-K393)- L393</f>
        <v/>
      </c>
      <c r="N393">
        <f>IF(M393=0,"Cuadrado",IF(M393&gt;0,"Faltante","Sobrante"))</f>
        <v/>
      </c>
      <c r="P393" t="n">
        <v>5200</v>
      </c>
    </row>
    <row r="394">
      <c r="A394" t="n">
        <v>178</v>
      </c>
      <c r="B394" t="n">
        <v>6218</v>
      </c>
      <c r="C394" t="inlineStr">
        <is>
          <t>BELLTECH</t>
        </is>
      </c>
      <c r="D394" t="inlineStr">
        <is>
          <t>BELLTECH</t>
        </is>
      </c>
      <c r="E394" s="3" t="n">
        <v>46097</v>
      </c>
      <c r="F394" s="3" t="n">
        <v>46094</v>
      </c>
      <c r="G394" t="inlineStr">
        <is>
          <t>09:25:00</t>
        </is>
      </c>
      <c r="H394" t="n">
        <v>289070150</v>
      </c>
      <c r="I394" t="n">
        <v>284740150</v>
      </c>
      <c r="J394" t="n">
        <v>4000000</v>
      </c>
      <c r="K394" t="n">
        <v>8400000</v>
      </c>
      <c r="M394">
        <f>I394-(H394+J394-K394)- L394</f>
        <v/>
      </c>
      <c r="N394">
        <f>IF(M394=0,"Cuadrado",IF(M394&gt;0,"Faltante","Sobrante"))</f>
        <v/>
      </c>
      <c r="P394" t="n">
        <v>79516051</v>
      </c>
    </row>
    <row r="395">
      <c r="A395" t="n">
        <v>78</v>
      </c>
      <c r="B395" t="n">
        <v>6246</v>
      </c>
      <c r="C395" t="inlineStr">
        <is>
          <t>BELLTECH</t>
        </is>
      </c>
      <c r="D395" t="inlineStr">
        <is>
          <t>BELLTECH</t>
        </is>
      </c>
      <c r="E395" s="3" t="n">
        <v>46097</v>
      </c>
      <c r="F395" s="3" t="n">
        <v>46094</v>
      </c>
      <c r="G395" t="inlineStr">
        <is>
          <t>13:51:00</t>
        </is>
      </c>
      <c r="H395" t="n">
        <v>216413850</v>
      </c>
      <c r="I395" t="n">
        <v>183337250</v>
      </c>
      <c r="J395" t="n">
        <v>13610000</v>
      </c>
      <c r="K395" t="n">
        <v>53106600</v>
      </c>
      <c r="M395">
        <f>I395-(H395+J395-K395)- L395</f>
        <v/>
      </c>
      <c r="N395">
        <f>IF(M395=0,"Cuadrado",IF(M395&gt;0,"Faltante","Sobrante"))</f>
        <v/>
      </c>
      <c r="P395" t="n">
        <v>1098657131</v>
      </c>
    </row>
    <row r="396">
      <c r="A396" t="n">
        <v>337</v>
      </c>
      <c r="B396" t="n">
        <v>6253</v>
      </c>
      <c r="C396" t="inlineStr">
        <is>
          <t>BELLTECH</t>
        </is>
      </c>
      <c r="D396" t="inlineStr">
        <is>
          <t>BELLTECH</t>
        </is>
      </c>
      <c r="E396" s="3" t="n">
        <v>46097</v>
      </c>
      <c r="F396" s="3" t="n">
        <v>46094</v>
      </c>
      <c r="G396" t="inlineStr">
        <is>
          <t>11:07:00</t>
        </is>
      </c>
      <c r="H396" t="n">
        <v>183608600</v>
      </c>
      <c r="I396" t="n">
        <v>217906300</v>
      </c>
      <c r="J396" t="n">
        <v>22440000</v>
      </c>
      <c r="K396" t="n">
        <v>15243300</v>
      </c>
      <c r="M396">
        <f>I396-(H396+J396-K396)- L396</f>
        <v/>
      </c>
      <c r="N396">
        <f>IF(M396=0,"Cuadrado",IF(M396&gt;0,"Faltante","Sobrante"))</f>
        <v/>
      </c>
      <c r="P396" t="n">
        <v>80386330</v>
      </c>
    </row>
    <row r="397">
      <c r="A397" t="n">
        <v>348</v>
      </c>
      <c r="B397" t="n">
        <v>6724</v>
      </c>
      <c r="C397" t="inlineStr">
        <is>
          <t>DIEBOLD</t>
        </is>
      </c>
      <c r="D397" t="inlineStr">
        <is>
          <t>DIEBOLD</t>
        </is>
      </c>
      <c r="E397" s="3" t="n">
        <v>46097</v>
      </c>
      <c r="F397" s="3" t="n">
        <v>46094</v>
      </c>
      <c r="G397" t="inlineStr">
        <is>
          <t>09:59:00</t>
        </is>
      </c>
      <c r="H397" t="n">
        <v>206070900</v>
      </c>
      <c r="I397" t="n">
        <v>172242100</v>
      </c>
      <c r="J397" t="n">
        <v>2370000</v>
      </c>
      <c r="K397" t="n">
        <v>36080400</v>
      </c>
      <c r="M397">
        <f>I397-(H397+J397-K397)- L397</f>
        <v/>
      </c>
      <c r="N397">
        <f>IF(M397=0,"Cuadrado",IF(M397&gt;0,"Faltante","Sobrante"))</f>
        <v/>
      </c>
      <c r="P397" t="n">
        <v>1123633014</v>
      </c>
    </row>
    <row r="398">
      <c r="A398" t="n">
        <v>741</v>
      </c>
      <c r="B398" t="n">
        <v>6843</v>
      </c>
      <c r="C398" t="inlineStr">
        <is>
          <t>DIEBOLD</t>
        </is>
      </c>
      <c r="D398" t="inlineStr">
        <is>
          <t>DIEBOLD</t>
        </is>
      </c>
      <c r="E398" s="3" t="n">
        <v>46097</v>
      </c>
      <c r="F398" s="3" t="n">
        <v>46094</v>
      </c>
      <c r="G398" t="inlineStr">
        <is>
          <t>10:32:00</t>
        </is>
      </c>
      <c r="H398" t="n">
        <v>173666500</v>
      </c>
      <c r="I398" t="n">
        <v>185201500</v>
      </c>
      <c r="J398" t="n">
        <v>13390000</v>
      </c>
      <c r="K398" t="n">
        <v>1460000</v>
      </c>
      <c r="M398">
        <f>I398-(H398+J398-K398)- L398</f>
        <v/>
      </c>
      <c r="N398">
        <f>IF(M398=0,"Cuadrado",IF(M398&gt;0,"Faltante","Sobrante"))</f>
        <v/>
      </c>
      <c r="P398" t="n">
        <v>1130637714</v>
      </c>
    </row>
    <row r="399">
      <c r="A399" t="n">
        <v>385</v>
      </c>
      <c r="B399" t="n">
        <v>7139</v>
      </c>
      <c r="C399" t="inlineStr">
        <is>
          <t>BELLTECH</t>
        </is>
      </c>
      <c r="D399" t="inlineStr">
        <is>
          <t>BELLTECH</t>
        </is>
      </c>
      <c r="E399" s="3" t="n">
        <v>46097</v>
      </c>
      <c r="F399" s="3" t="n">
        <v>46094</v>
      </c>
      <c r="G399" t="inlineStr">
        <is>
          <t>15:45:00</t>
        </is>
      </c>
      <c r="H399" t="n">
        <v>164563250</v>
      </c>
      <c r="I399" t="n">
        <v>161822250</v>
      </c>
      <c r="J399" t="n">
        <v>38310000</v>
      </c>
      <c r="K399" t="n">
        <v>46141000</v>
      </c>
      <c r="M399">
        <f>I399-(H399+J399-K399)- L399</f>
        <v/>
      </c>
      <c r="N399">
        <f>IF(M399=0,"Cuadrado",IF(M399&gt;0,"Faltante","Sobrante"))</f>
        <v/>
      </c>
      <c r="P399" t="n">
        <v>1077970238</v>
      </c>
    </row>
    <row r="400">
      <c r="A400" t="n">
        <v>389</v>
      </c>
      <c r="B400" t="n">
        <v>7327</v>
      </c>
      <c r="C400" t="inlineStr">
        <is>
          <t>DIEBOLD</t>
        </is>
      </c>
      <c r="D400" t="inlineStr">
        <is>
          <t>BELLTECH</t>
        </is>
      </c>
      <c r="E400" s="3" t="n">
        <v>46097</v>
      </c>
      <c r="F400" s="3" t="n">
        <v>46094</v>
      </c>
      <c r="G400" t="inlineStr">
        <is>
          <t>08:45:00</t>
        </is>
      </c>
      <c r="H400" t="n">
        <v>167849800</v>
      </c>
      <c r="I400" t="n">
        <v>170587550</v>
      </c>
      <c r="J400" t="n">
        <v>2720000</v>
      </c>
      <c r="K400" t="n">
        <v>0</v>
      </c>
      <c r="M400">
        <f>I400-(H400+J400-K400)- L400</f>
        <v/>
      </c>
      <c r="N400">
        <f>IF(M400=0,"Cuadrado",IF(M400&gt;0,"Faltante","Sobrante"))</f>
        <v/>
      </c>
      <c r="P400" t="n">
        <v>14319846</v>
      </c>
    </row>
    <row r="401">
      <c r="A401" t="n">
        <v>453</v>
      </c>
      <c r="B401" t="n">
        <v>8018</v>
      </c>
      <c r="C401" t="inlineStr">
        <is>
          <t>BELLTECH</t>
        </is>
      </c>
      <c r="D401" t="inlineStr">
        <is>
          <t>BELLTECH</t>
        </is>
      </c>
      <c r="E401" s="3" t="n">
        <v>46097</v>
      </c>
      <c r="F401" s="3" t="n">
        <v>46094</v>
      </c>
      <c r="G401" t="inlineStr">
        <is>
          <t>08:06:00</t>
        </is>
      </c>
      <c r="H401" t="n">
        <v>398032150</v>
      </c>
      <c r="I401" t="n">
        <v>411702150</v>
      </c>
      <c r="J401" t="n">
        <v>620000</v>
      </c>
      <c r="K401" t="n">
        <v>2100000</v>
      </c>
      <c r="M401">
        <f>I401-(H401+J401-K401)- L401</f>
        <v/>
      </c>
      <c r="N401">
        <f>IF(M401=0,"Cuadrado",IF(M401&gt;0,"Faltante","Sobrante"))</f>
        <v/>
      </c>
      <c r="P401" t="n">
        <v>1083897578</v>
      </c>
    </row>
    <row r="402">
      <c r="A402" t="n">
        <v>453</v>
      </c>
      <c r="B402" t="n">
        <v>8019</v>
      </c>
      <c r="C402" t="inlineStr">
        <is>
          <t>BELLTECH</t>
        </is>
      </c>
      <c r="D402" t="inlineStr">
        <is>
          <t>BELLTECH</t>
        </is>
      </c>
      <c r="E402" s="3" t="n">
        <v>46097</v>
      </c>
      <c r="F402" s="3" t="n">
        <v>46094</v>
      </c>
      <c r="G402" t="inlineStr">
        <is>
          <t>08:09:00</t>
        </is>
      </c>
      <c r="H402" t="n">
        <v>214523100</v>
      </c>
      <c r="I402" t="n">
        <v>218440600</v>
      </c>
      <c r="J402" t="n">
        <v>0</v>
      </c>
      <c r="K402" t="n">
        <v>0</v>
      </c>
      <c r="M402">
        <f>I402-(H402+J402-K402)- L402</f>
        <v/>
      </c>
      <c r="N402">
        <f>IF(M402=0,"Cuadrado",IF(M402&gt;0,"Faltante","Sobrante"))</f>
        <v/>
      </c>
      <c r="P402" t="n">
        <v>1083897578</v>
      </c>
    </row>
    <row r="403">
      <c r="A403" t="n">
        <v>556</v>
      </c>
      <c r="B403" t="n">
        <v>8333</v>
      </c>
      <c r="C403" t="inlineStr">
        <is>
          <t>BELLTECH</t>
        </is>
      </c>
      <c r="D403" t="inlineStr">
        <is>
          <t>BELLTECH</t>
        </is>
      </c>
      <c r="E403" s="3" t="n">
        <v>46097</v>
      </c>
      <c r="F403" s="3" t="n">
        <v>46094</v>
      </c>
      <c r="G403" t="inlineStr">
        <is>
          <t>10:08:00</t>
        </is>
      </c>
      <c r="H403" t="n">
        <v>335832450</v>
      </c>
      <c r="I403" t="n">
        <v>326064500</v>
      </c>
      <c r="J403" t="n">
        <v>6820000</v>
      </c>
      <c r="K403" t="n">
        <v>16583500</v>
      </c>
      <c r="M403">
        <f>I403-(H403+J403-K403)- L403</f>
        <v/>
      </c>
      <c r="N403">
        <f>IF(M403=0,"Cuadrado",IF(M403&gt;0,"Faltante","Sobrante"))</f>
        <v/>
      </c>
      <c r="P403" t="n">
        <v>39450196</v>
      </c>
    </row>
    <row r="404">
      <c r="A404" t="n">
        <v>769</v>
      </c>
      <c r="B404" t="n">
        <v>8679</v>
      </c>
      <c r="C404" t="inlineStr">
        <is>
          <t>BELLTECH</t>
        </is>
      </c>
      <c r="D404" t="inlineStr">
        <is>
          <t>BELLTECH</t>
        </is>
      </c>
      <c r="E404" s="3" t="n">
        <v>46097</v>
      </c>
      <c r="F404" s="3" t="n">
        <v>46094</v>
      </c>
      <c r="G404" t="inlineStr">
        <is>
          <t>11:09:00</t>
        </is>
      </c>
      <c r="H404" t="n">
        <v>87502300</v>
      </c>
      <c r="I404" t="n">
        <v>65809200</v>
      </c>
      <c r="J404" t="n">
        <v>7140000</v>
      </c>
      <c r="K404" t="n">
        <v>18893100</v>
      </c>
      <c r="M404">
        <f>I404-(H404+J404-K404)- L404</f>
        <v/>
      </c>
      <c r="N404">
        <f>IF(M404=0,"Cuadrado",IF(M404&gt;0,"Faltante","Sobrante"))</f>
        <v/>
      </c>
      <c r="P404" t="n">
        <v>1129580385</v>
      </c>
    </row>
    <row r="405">
      <c r="A405" t="n">
        <v>60</v>
      </c>
      <c r="B405" t="n">
        <v>8727</v>
      </c>
      <c r="C405" t="inlineStr">
        <is>
          <t>BELLTECH</t>
        </is>
      </c>
      <c r="D405" t="inlineStr">
        <is>
          <t>BELLTECH</t>
        </is>
      </c>
      <c r="E405" s="3" t="n">
        <v>46097</v>
      </c>
      <c r="F405" s="3" t="n">
        <v>46094</v>
      </c>
      <c r="G405" t="inlineStr">
        <is>
          <t>15:04:00</t>
        </is>
      </c>
      <c r="H405" t="n">
        <v>105704050</v>
      </c>
      <c r="I405" t="n">
        <v>243171450</v>
      </c>
      <c r="J405" t="n">
        <v>27980000</v>
      </c>
      <c r="K405" t="n">
        <v>40699600</v>
      </c>
      <c r="M405">
        <f>I405-(H405+J405-K405)- L405</f>
        <v/>
      </c>
      <c r="N405">
        <f>IF(M405=0,"Cuadrado",IF(M405&gt;0,"Faltante","Sobrante"))</f>
        <v/>
      </c>
      <c r="P405" t="n">
        <v>14697128</v>
      </c>
    </row>
    <row r="406">
      <c r="A406" t="n">
        <v>60</v>
      </c>
      <c r="B406" t="n">
        <v>8729</v>
      </c>
      <c r="C406" t="inlineStr">
        <is>
          <t>BELLTECH</t>
        </is>
      </c>
      <c r="D406" t="inlineStr">
        <is>
          <t>BELLTECH</t>
        </is>
      </c>
      <c r="E406" s="3" t="n">
        <v>46097</v>
      </c>
      <c r="F406" s="3" t="n">
        <v>46094</v>
      </c>
      <c r="G406" t="inlineStr">
        <is>
          <t>10:59:00</t>
        </is>
      </c>
      <c r="H406" t="n">
        <v>112531100</v>
      </c>
      <c r="I406" t="n">
        <v>-37079900</v>
      </c>
      <c r="J406" t="n">
        <v>9960000</v>
      </c>
      <c r="K406" t="n">
        <v>10484000</v>
      </c>
      <c r="M406">
        <f>I406-(H406+J406-K406)- L406</f>
        <v/>
      </c>
      <c r="N406">
        <f>IF(M406=0,"Cuadrado",IF(M406&gt;0,"Faltante","Sobrante"))</f>
        <v/>
      </c>
      <c r="P406" t="n">
        <v>14697128</v>
      </c>
    </row>
    <row r="407">
      <c r="A407" t="n">
        <v>33</v>
      </c>
      <c r="B407" t="n">
        <v>8861</v>
      </c>
      <c r="C407" t="inlineStr">
        <is>
          <t>BELLTECH</t>
        </is>
      </c>
      <c r="D407" t="inlineStr">
        <is>
          <t>BELLTECH</t>
        </is>
      </c>
      <c r="E407" s="3" t="n">
        <v>46097</v>
      </c>
      <c r="F407" s="3" t="n">
        <v>46094</v>
      </c>
      <c r="G407" t="inlineStr">
        <is>
          <t>14:36:00</t>
        </is>
      </c>
      <c r="H407" t="n">
        <v>241416650</v>
      </c>
      <c r="I407" t="n">
        <v>252694650</v>
      </c>
      <c r="J407" t="n">
        <v>26940000</v>
      </c>
      <c r="K407" t="n">
        <v>28477000</v>
      </c>
      <c r="M407">
        <f>I407-(H407+J407-K407)- L407</f>
        <v/>
      </c>
      <c r="N407">
        <f>IF(M407=0,"Cuadrado",IF(M407&gt;0,"Faltante","Sobrante"))</f>
        <v/>
      </c>
      <c r="P407" t="n">
        <v>79659379</v>
      </c>
    </row>
    <row r="408">
      <c r="A408" t="n">
        <v>225</v>
      </c>
      <c r="B408" t="n">
        <v>8868</v>
      </c>
      <c r="C408" t="inlineStr">
        <is>
          <t>BELLTECH</t>
        </is>
      </c>
      <c r="D408" t="inlineStr">
        <is>
          <t>BELLTECH</t>
        </is>
      </c>
      <c r="E408" s="3" t="n">
        <v>46097</v>
      </c>
      <c r="F408" s="3" t="n">
        <v>46094</v>
      </c>
      <c r="G408" t="inlineStr">
        <is>
          <t>10:38:00</t>
        </is>
      </c>
      <c r="H408" t="n">
        <v>149615950</v>
      </c>
      <c r="I408" t="n">
        <v>141645950</v>
      </c>
      <c r="J408" t="n">
        <v>7470000</v>
      </c>
      <c r="K408" t="n">
        <v>3970000</v>
      </c>
      <c r="M408">
        <f>I408-(H408+J408-K408)- L408</f>
        <v/>
      </c>
      <c r="N408">
        <f>IF(M408=0,"Cuadrado",IF(M408&gt;0,"Faltante","Sobrante"))</f>
        <v/>
      </c>
      <c r="P408" t="n">
        <v>80212698</v>
      </c>
    </row>
    <row r="409">
      <c r="A409" t="n">
        <v>225</v>
      </c>
      <c r="B409" t="n">
        <v>8869</v>
      </c>
      <c r="C409" t="inlineStr">
        <is>
          <t>BELLTECH</t>
        </is>
      </c>
      <c r="D409" t="inlineStr">
        <is>
          <t>BELLTECH</t>
        </is>
      </c>
      <c r="E409" s="3" t="n">
        <v>46097</v>
      </c>
      <c r="F409" s="3" t="n">
        <v>46094</v>
      </c>
      <c r="G409" t="inlineStr">
        <is>
          <t>10:24:00</t>
        </is>
      </c>
      <c r="H409" t="n">
        <v>265457950</v>
      </c>
      <c r="I409" t="n">
        <v>230207950</v>
      </c>
      <c r="J409" t="n">
        <v>19880000</v>
      </c>
      <c r="K409" t="n">
        <v>55430000</v>
      </c>
      <c r="M409">
        <f>I409-(H409+J409-K409)- L409</f>
        <v/>
      </c>
      <c r="N409">
        <f>IF(M409=0,"Cuadrado",IF(M409&gt;0,"Faltante","Sobrante"))</f>
        <v/>
      </c>
      <c r="P409" t="n">
        <v>80212698</v>
      </c>
    </row>
    <row r="410">
      <c r="A410" t="n">
        <v>457</v>
      </c>
      <c r="B410" t="n">
        <v>9004</v>
      </c>
      <c r="C410" t="inlineStr">
        <is>
          <t>BELLTECH</t>
        </is>
      </c>
      <c r="D410" t="inlineStr">
        <is>
          <t>BELLTECH</t>
        </is>
      </c>
      <c r="E410" s="3" t="n">
        <v>46097</v>
      </c>
      <c r="F410" s="3" t="n">
        <v>46094</v>
      </c>
      <c r="G410" t="inlineStr">
        <is>
          <t>09:20:00</t>
        </is>
      </c>
      <c r="H410" t="n">
        <v>289891700</v>
      </c>
      <c r="I410" t="n">
        <v>281371500</v>
      </c>
      <c r="J410" t="n">
        <v>1330000</v>
      </c>
      <c r="K410" t="n">
        <v>9950000</v>
      </c>
      <c r="M410">
        <f>I410-(H410+J410-K410)- L410</f>
        <v/>
      </c>
      <c r="N410">
        <f>IF(M410=0,"Cuadrado",IF(M410&gt;0,"Faltante","Sobrante"))</f>
        <v/>
      </c>
      <c r="P410" t="n">
        <v>33750644</v>
      </c>
    </row>
    <row r="411">
      <c r="A411" t="n">
        <v>348</v>
      </c>
      <c r="B411" t="n">
        <v>9009</v>
      </c>
      <c r="C411" t="inlineStr">
        <is>
          <t>BELLTECH</t>
        </is>
      </c>
      <c r="D411" t="inlineStr">
        <is>
          <t>BELLTECH</t>
        </is>
      </c>
      <c r="E411" s="3" t="n">
        <v>46097</v>
      </c>
      <c r="F411" s="3" t="n">
        <v>46094</v>
      </c>
      <c r="G411" t="inlineStr">
        <is>
          <t>16:08:00</t>
        </is>
      </c>
      <c r="H411" t="n">
        <v>31607400</v>
      </c>
      <c r="I411" t="n">
        <v>25017400</v>
      </c>
      <c r="J411" t="n">
        <v>0</v>
      </c>
      <c r="K411" t="n">
        <v>0</v>
      </c>
      <c r="M411">
        <f>I411-(H411+J411-K411)- L411</f>
        <v/>
      </c>
      <c r="N411">
        <f>IF(M411=0,"Cuadrado",IF(M411&gt;0,"Faltante","Sobrante"))</f>
        <v/>
      </c>
      <c r="P411" t="n">
        <v>1123633014</v>
      </c>
    </row>
    <row r="412">
      <c r="A412" t="n">
        <v>467</v>
      </c>
      <c r="B412" t="n">
        <v>9051</v>
      </c>
      <c r="C412" t="inlineStr">
        <is>
          <t>BELLTECH</t>
        </is>
      </c>
      <c r="D412" t="inlineStr">
        <is>
          <t>BELLTECH</t>
        </is>
      </c>
      <c r="E412" s="3" t="n">
        <v>46097</v>
      </c>
      <c r="F412" s="3" t="n">
        <v>46094</v>
      </c>
      <c r="G412" t="inlineStr">
        <is>
          <t>13:27:00</t>
        </is>
      </c>
      <c r="H412" t="n">
        <v>197423150</v>
      </c>
      <c r="I412" t="n">
        <v>111167050</v>
      </c>
      <c r="J412" t="n">
        <v>23350000</v>
      </c>
      <c r="K412" t="n">
        <v>33723000</v>
      </c>
      <c r="M412">
        <f>I412-(H412+J412-K412)- L412</f>
        <v/>
      </c>
      <c r="N412">
        <f>IF(M412=0,"Cuadrado",IF(M412&gt;0,"Faltante","Sobrante"))</f>
        <v/>
      </c>
      <c r="P412" t="n">
        <v>52539189</v>
      </c>
    </row>
    <row r="413">
      <c r="A413" t="n">
        <v>467</v>
      </c>
      <c r="B413" t="n">
        <v>9052</v>
      </c>
      <c r="C413" t="inlineStr">
        <is>
          <t>BELLTECH</t>
        </is>
      </c>
      <c r="D413" t="inlineStr">
        <is>
          <t>BELLTECH</t>
        </is>
      </c>
      <c r="E413" s="3" t="n">
        <v>46097</v>
      </c>
      <c r="F413" s="3" t="n">
        <v>46094</v>
      </c>
      <c r="G413" t="inlineStr">
        <is>
          <t>13:51:00</t>
        </is>
      </c>
      <c r="H413" t="n">
        <v>180243200</v>
      </c>
      <c r="I413" t="n">
        <v>174904050</v>
      </c>
      <c r="J413" t="n">
        <v>12240000</v>
      </c>
      <c r="K413" t="n">
        <v>16331000</v>
      </c>
      <c r="M413">
        <f>I413-(H413+J413-K413)- L413</f>
        <v/>
      </c>
      <c r="N413">
        <f>IF(M413=0,"Cuadrado",IF(M413&gt;0,"Faltante","Sobrante"))</f>
        <v/>
      </c>
      <c r="P413" t="n">
        <v>52539189</v>
      </c>
    </row>
    <row r="414">
      <c r="A414" t="n">
        <v>551</v>
      </c>
      <c r="B414" t="n">
        <v>9643</v>
      </c>
      <c r="C414" t="inlineStr">
        <is>
          <t>BELLTECH</t>
        </is>
      </c>
      <c r="D414" t="inlineStr">
        <is>
          <t>BELLTECH</t>
        </is>
      </c>
      <c r="E414" s="3" t="n">
        <v>46097</v>
      </c>
      <c r="F414" s="3" t="n">
        <v>46094</v>
      </c>
      <c r="G414" t="inlineStr">
        <is>
          <t>12:05:00</t>
        </is>
      </c>
      <c r="H414" t="n">
        <v>317417400</v>
      </c>
      <c r="I414" t="n">
        <v>275536300</v>
      </c>
      <c r="J414" t="n">
        <v>11140000</v>
      </c>
      <c r="K414" t="n">
        <v>53010000</v>
      </c>
      <c r="M414">
        <f>I414-(H414+J414-K414)- L414</f>
        <v/>
      </c>
      <c r="N414">
        <f>IF(M414=0,"Cuadrado",IF(M414&gt;0,"Faltante","Sobrante"))</f>
        <v/>
      </c>
      <c r="P414" t="n">
        <v>1152213498</v>
      </c>
    </row>
    <row r="415">
      <c r="A415" t="n">
        <v>516</v>
      </c>
      <c r="B415" t="n">
        <v>9729</v>
      </c>
      <c r="C415" t="inlineStr">
        <is>
          <t>BELLTECH</t>
        </is>
      </c>
      <c r="D415" t="inlineStr">
        <is>
          <t>BELLTECH</t>
        </is>
      </c>
      <c r="E415" s="3" t="n">
        <v>46097</v>
      </c>
      <c r="F415" s="3" t="n">
        <v>46094</v>
      </c>
      <c r="G415" t="inlineStr">
        <is>
          <t>09:29:00</t>
        </is>
      </c>
      <c r="H415" t="n">
        <v>114949850</v>
      </c>
      <c r="I415" t="n">
        <v>112262150</v>
      </c>
      <c r="J415" t="n">
        <v>14140000</v>
      </c>
      <c r="K415" t="n">
        <v>20370000</v>
      </c>
      <c r="M415">
        <f>I415-(H415+J415-K415)- L415</f>
        <v/>
      </c>
      <c r="N415">
        <f>IF(M415=0,"Cuadrado",IF(M415&gt;0,"Faltante","Sobrante"))</f>
        <v/>
      </c>
      <c r="P415" t="n">
        <v>57292451</v>
      </c>
    </row>
    <row r="416">
      <c r="A416" t="n">
        <v>511</v>
      </c>
      <c r="B416" t="n">
        <v>5122</v>
      </c>
      <c r="C416" t="inlineStr">
        <is>
          <t>BELLTECH</t>
        </is>
      </c>
      <c r="D416" t="inlineStr">
        <is>
          <t>BELLTECH</t>
        </is>
      </c>
      <c r="E416" s="3" t="n">
        <v>46097</v>
      </c>
      <c r="F416" s="3" t="n">
        <v>46094</v>
      </c>
      <c r="G416" t="inlineStr">
        <is>
          <t>09:11:00</t>
        </is>
      </c>
      <c r="H416" t="n">
        <v>283207050</v>
      </c>
      <c r="I416" t="n">
        <v>284982050</v>
      </c>
      <c r="J416" t="n">
        <v>9670000</v>
      </c>
      <c r="K416" t="n">
        <v>7895000</v>
      </c>
      <c r="L416" t="n">
        <v>0</v>
      </c>
      <c r="M416">
        <f>I416-(H416+J416-K416)- L416</f>
        <v/>
      </c>
      <c r="N416">
        <f>IF(M416=0,"Cuadrado",IF(M416&gt;0,"Faltante","Sobrante"))</f>
        <v/>
      </c>
      <c r="O416" t="inlineStr">
        <is>
          <t>Cajero cuadrado, sin observación por parte de la sucursal</t>
        </is>
      </c>
      <c r="P416" t="n">
        <v>1152438348</v>
      </c>
    </row>
    <row r="417">
      <c r="A417" t="n">
        <v>300</v>
      </c>
      <c r="B417" t="n">
        <v>5139</v>
      </c>
      <c r="C417" t="inlineStr">
        <is>
          <t>BELLTECH</t>
        </is>
      </c>
      <c r="D417" t="inlineStr">
        <is>
          <t>BELLTECH</t>
        </is>
      </c>
      <c r="E417" s="3" t="n">
        <v>46097</v>
      </c>
      <c r="F417" s="3" t="n">
        <v>46094</v>
      </c>
      <c r="G417" t="inlineStr">
        <is>
          <t>11:59:00</t>
        </is>
      </c>
      <c r="H417" t="n">
        <v>281699650</v>
      </c>
      <c r="I417" t="n">
        <v>268433650</v>
      </c>
      <c r="J417" t="n">
        <v>15500000</v>
      </c>
      <c r="K417" t="n">
        <v>28766000</v>
      </c>
      <c r="L417" t="n">
        <v>0</v>
      </c>
      <c r="M417">
        <f>I417-(H417+J417-K417)- L417</f>
        <v/>
      </c>
      <c r="N417">
        <f>IF(M417=0,"Cuadrado",IF(M417&gt;0,"Faltante","Sobrante"))</f>
        <v/>
      </c>
      <c r="O417" t="inlineStr">
        <is>
          <t>Cajero cuadrado, sin observación por parte de la sucursal</t>
        </is>
      </c>
      <c r="P417" t="n">
        <v>53097567</v>
      </c>
    </row>
    <row r="418">
      <c r="A418" t="n">
        <v>718</v>
      </c>
      <c r="B418" t="n">
        <v>6248</v>
      </c>
      <c r="C418" t="inlineStr">
        <is>
          <t>BELLTECH</t>
        </is>
      </c>
      <c r="D418" t="inlineStr">
        <is>
          <t>BELLTECH</t>
        </is>
      </c>
      <c r="E418" s="3" t="n">
        <v>46097</v>
      </c>
      <c r="F418" s="3" t="n">
        <v>46094</v>
      </c>
      <c r="G418" t="inlineStr">
        <is>
          <t>08:09:00</t>
        </is>
      </c>
      <c r="H418" t="n">
        <v>180929850</v>
      </c>
      <c r="I418" t="n">
        <v>174729850</v>
      </c>
      <c r="J418" t="n">
        <v>0</v>
      </c>
      <c r="K418" t="n">
        <v>6200000</v>
      </c>
      <c r="L418" t="n">
        <v>0</v>
      </c>
      <c r="M418">
        <f>I418-(H418+J418-K418)- L418</f>
        <v/>
      </c>
      <c r="N418">
        <f>IF(M418=0,"Cuadrado",IF(M418&gt;0,"Faltante","Sobrante"))</f>
        <v/>
      </c>
      <c r="O418" t="inlineStr">
        <is>
          <t>Cajero cuadrado, sin observación por parte de la sucursal</t>
        </is>
      </c>
      <c r="P418" t="n">
        <v>1110458168</v>
      </c>
    </row>
    <row r="419">
      <c r="A419" t="n">
        <v>37</v>
      </c>
      <c r="B419" t="n">
        <v>6406</v>
      </c>
      <c r="C419" t="inlineStr">
        <is>
          <t>BELLTECH</t>
        </is>
      </c>
      <c r="D419" t="inlineStr">
        <is>
          <t>BELLTECH</t>
        </is>
      </c>
      <c r="E419" s="3" t="n">
        <v>46097</v>
      </c>
      <c r="F419" s="3" t="n">
        <v>46094</v>
      </c>
      <c r="G419" t="inlineStr">
        <is>
          <t>09:02:00</t>
        </is>
      </c>
      <c r="H419" t="n">
        <v>150351400</v>
      </c>
      <c r="I419" t="n">
        <v>150351400</v>
      </c>
      <c r="J419" t="n">
        <v>0</v>
      </c>
      <c r="K419" t="n">
        <v>0</v>
      </c>
      <c r="L419" t="n">
        <v>0</v>
      </c>
      <c r="M419">
        <f>I419-(H419+J419-K419)- L419</f>
        <v/>
      </c>
      <c r="N419">
        <f>IF(M419=0,"Cuadrado",IF(M419&gt;0,"Faltante","Sobrante"))</f>
        <v/>
      </c>
      <c r="O419" t="inlineStr">
        <is>
          <t>Cajero cuadrado, sin observación por parte de la sucursal</t>
        </is>
      </c>
      <c r="P419" t="n">
        <v>1018444239</v>
      </c>
    </row>
    <row r="420">
      <c r="A420" t="n">
        <v>728</v>
      </c>
      <c r="B420" t="n">
        <v>8586</v>
      </c>
      <c r="C420" t="inlineStr">
        <is>
          <t>BELLTECH</t>
        </is>
      </c>
      <c r="D420" t="inlineStr">
        <is>
          <t>BELLTECH</t>
        </is>
      </c>
      <c r="E420" s="3" t="n">
        <v>46097</v>
      </c>
      <c r="F420" s="3" t="n">
        <v>46094</v>
      </c>
      <c r="G420" t="inlineStr">
        <is>
          <t>14:40:00</t>
        </is>
      </c>
      <c r="H420" t="n">
        <v>71611650</v>
      </c>
      <c r="I420" t="n">
        <v>97971650</v>
      </c>
      <c r="J420" t="n">
        <v>26360000</v>
      </c>
      <c r="K420" t="n">
        <v>0</v>
      </c>
      <c r="L420" t="n">
        <v>0</v>
      </c>
      <c r="M420">
        <f>I420-(H420+J420-K420)- L420</f>
        <v/>
      </c>
      <c r="N420">
        <f>IF(M420=0,"Cuadrado",IF(M420&gt;0,"Faltante","Sobrante"))</f>
        <v/>
      </c>
      <c r="O420" t="inlineStr">
        <is>
          <t>Cajero cuadrado, sin observación por parte de la sucursal</t>
        </is>
      </c>
      <c r="P420" t="n">
        <v>1112783690</v>
      </c>
    </row>
    <row r="421">
      <c r="A421" t="n">
        <v>728</v>
      </c>
      <c r="B421" t="n">
        <v>8587</v>
      </c>
      <c r="C421" t="inlineStr">
        <is>
          <t>BELLTECH</t>
        </is>
      </c>
      <c r="D421" t="inlineStr">
        <is>
          <t>BELLTECH</t>
        </is>
      </c>
      <c r="E421" s="3" t="n">
        <v>46097</v>
      </c>
      <c r="F421" s="3" t="n">
        <v>46094</v>
      </c>
      <c r="G421" t="inlineStr">
        <is>
          <t>14:55:00</t>
        </is>
      </c>
      <c r="H421" t="n">
        <v>272030750</v>
      </c>
      <c r="I421" t="n">
        <v>146290750</v>
      </c>
      <c r="J421" t="n">
        <v>34040000</v>
      </c>
      <c r="K421" t="n">
        <v>159780000</v>
      </c>
      <c r="L421" t="n">
        <v>0</v>
      </c>
      <c r="M421">
        <f>I421-(H421+J421-K421)- L421</f>
        <v/>
      </c>
      <c r="N421">
        <f>IF(M421=0,"Cuadrado",IF(M421&gt;0,"Faltante","Sobrante"))</f>
        <v/>
      </c>
      <c r="O421" t="inlineStr">
        <is>
          <t>Cajero cuadrado, sin observación por parte de la sucursal</t>
        </is>
      </c>
      <c r="P421" t="n">
        <v>1112783690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DIEBOLD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MIGGARZO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DIEBOLD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4"/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28/02/2025</t>
        </is>
      </c>
    </row>
    <row r="14">
      <c r="A14" t="inlineStr">
        <is>
          <t xml:space="preserve">Cuadrado </t>
        </is>
      </c>
    </row>
    <row r="15"/>
    <row r="16"/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19"/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6"/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28"/>
    <row r="29"/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2026-03-17T04:45:30Z</dcterms:created>
  <dcterms:modified xsi:type="dcterms:W3CDTF">2026-03-17T04:45:31Z</dcterms:modified>
</cp:coreProperties>
</file>